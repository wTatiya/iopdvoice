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45.246\Quality\Aaa\ESB\2568\5. May 68\"/>
    </mc:Choice>
  </mc:AlternateContent>
  <xr:revisionPtr revIDLastSave="0" documentId="13_ncr:1_{5C298B8A-7199-40B8-834F-EC44A0849607}" xr6:coauthVersionLast="47" xr6:coauthVersionMax="47" xr10:uidLastSave="{00000000-0000-0000-0000-000000000000}"/>
  <bookViews>
    <workbookView xWindow="28680" yWindow="-120" windowWidth="29040" windowHeight="15840" activeTab="1" xr2:uid="{00000000-000D-0000-FFFF-FFFF00000000}"/>
  </bookViews>
  <sheets>
    <sheet name="Total Table" sheetId="1" r:id="rId1"/>
    <sheet name="Summary" sheetId="2" r:id="rId2"/>
  </sheets>
  <definedNames>
    <definedName name="OLE_LINK1" localSheetId="1">Summary!#REF!</definedName>
    <definedName name="_xlnm.Print_Area" localSheetId="0">'Total Table'!$A$1:$N$116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68" i="1" l="1"/>
  <c r="O22" i="1"/>
  <c r="L22" i="1"/>
  <c r="H22" i="1"/>
  <c r="I45" i="1"/>
  <c r="O45" i="1"/>
  <c r="N45" i="1"/>
  <c r="M45" i="1"/>
  <c r="L45" i="1"/>
  <c r="K45" i="1"/>
  <c r="J45" i="1"/>
  <c r="E11" i="2"/>
  <c r="F91" i="1"/>
  <c r="K68" i="1"/>
  <c r="H45" i="1"/>
  <c r="G45" i="1"/>
  <c r="F45" i="1"/>
  <c r="E45" i="1"/>
  <c r="D45" i="1"/>
  <c r="C45" i="1"/>
  <c r="B45" i="1"/>
  <c r="R22" i="1"/>
  <c r="N22" i="1"/>
  <c r="M22" i="1"/>
  <c r="K22" i="1"/>
  <c r="I22" i="1"/>
  <c r="G22" i="1"/>
  <c r="F22" i="1"/>
  <c r="E22" i="1"/>
  <c r="C22" i="1"/>
  <c r="B22" i="1"/>
  <c r="G68" i="1"/>
  <c r="C91" i="1"/>
  <c r="B91" i="1"/>
  <c r="E68" i="1"/>
  <c r="O91" i="1" l="1"/>
  <c r="L68" i="1" l="1"/>
  <c r="M68" i="1"/>
  <c r="P68" i="1"/>
  <c r="P91" i="1"/>
  <c r="D91" i="1"/>
  <c r="E91" i="1"/>
  <c r="G91" i="1"/>
  <c r="H91" i="1"/>
  <c r="I91" i="1"/>
  <c r="J91" i="1"/>
  <c r="K91" i="1"/>
  <c r="L91" i="1"/>
  <c r="M91" i="1"/>
  <c r="B68" i="1"/>
  <c r="C68" i="1"/>
  <c r="D68" i="1"/>
  <c r="F68" i="1"/>
  <c r="I68" i="1"/>
  <c r="J68" i="1"/>
</calcChain>
</file>

<file path=xl/sharedStrings.xml><?xml version="1.0" encoding="utf-8"?>
<sst xmlns="http://schemas.openxmlformats.org/spreadsheetml/2006/main" count="491" uniqueCount="240">
  <si>
    <t>หัวข้อ</t>
  </si>
  <si>
    <t>ทันตกรรม</t>
  </si>
  <si>
    <t>ORTHO</t>
  </si>
  <si>
    <t>ศัลยกรรม</t>
  </si>
  <si>
    <t>พัฒนาการเด็ก</t>
  </si>
  <si>
    <t>ANC</t>
  </si>
  <si>
    <t>เบาหวาน</t>
  </si>
  <si>
    <t>จักษุ</t>
  </si>
  <si>
    <t>จำนวนใบประเมิน</t>
  </si>
  <si>
    <t>ระดับคะแนนเฉลี่ย</t>
  </si>
  <si>
    <t>คิดเป็นร้อยละ</t>
  </si>
  <si>
    <t>ไตเทียม</t>
  </si>
  <si>
    <t>ห้องคลอด</t>
  </si>
  <si>
    <t>ตึกสว่าง</t>
  </si>
  <si>
    <t>MICU</t>
  </si>
  <si>
    <t>18A</t>
  </si>
  <si>
    <t>18B</t>
  </si>
  <si>
    <t>18C</t>
  </si>
  <si>
    <t>18D</t>
  </si>
  <si>
    <t>19A</t>
  </si>
  <si>
    <t>19C</t>
  </si>
  <si>
    <t>19D</t>
  </si>
  <si>
    <t>21D</t>
  </si>
  <si>
    <t>22A</t>
  </si>
  <si>
    <t>22B</t>
  </si>
  <si>
    <t>22C</t>
  </si>
  <si>
    <t>22D</t>
  </si>
  <si>
    <t>23A</t>
  </si>
  <si>
    <t>24A</t>
  </si>
  <si>
    <t>25A</t>
  </si>
  <si>
    <t>25B</t>
  </si>
  <si>
    <t>26A</t>
  </si>
  <si>
    <t>26B</t>
  </si>
  <si>
    <t>OPD</t>
  </si>
  <si>
    <t>IPD</t>
  </si>
  <si>
    <t>ER</t>
  </si>
  <si>
    <t>BLD</t>
  </si>
  <si>
    <t>OR</t>
  </si>
  <si>
    <t>ข้อเสนอแนะ OPD</t>
  </si>
  <si>
    <t>1. ด้านบริการ</t>
  </si>
  <si>
    <t>2. ด้านบุคลากร</t>
  </si>
  <si>
    <t>3. ด้านอุปกรณ์ เครื่องมือ สถานที่</t>
  </si>
  <si>
    <t>ข้อเสนอแนะ IPD</t>
  </si>
  <si>
    <t>OB-GYN</t>
  </si>
  <si>
    <t>การแนะนำญาติหรือคนรู้จักให้มาใช้บริการที่โรงพยาบาล (ร้อยละ)</t>
  </si>
  <si>
    <t>21A</t>
  </si>
  <si>
    <t>SICU</t>
  </si>
  <si>
    <t>19B</t>
  </si>
  <si>
    <t>NICU</t>
  </si>
  <si>
    <t>PED</t>
  </si>
  <si>
    <t>จิตเวช</t>
  </si>
  <si>
    <t xml:space="preserve"> </t>
  </si>
  <si>
    <t>Burn U.</t>
  </si>
  <si>
    <t xml:space="preserve">สรุปผล ข้อเสนอแนะที่ต้องได้รับการปรับปรุง คือ </t>
  </si>
  <si>
    <t>ฝังเข็ม</t>
  </si>
  <si>
    <t>ปฐมภูมิ</t>
  </si>
  <si>
    <t>ENT</t>
  </si>
  <si>
    <t>นอกเวลา</t>
  </si>
  <si>
    <t>Meta</t>
  </si>
  <si>
    <t>ผ่าตัดวิสัญญี</t>
  </si>
  <si>
    <t>MED</t>
  </si>
  <si>
    <t>กายภาพ</t>
  </si>
  <si>
    <t>ส่องกล้อง</t>
  </si>
  <si>
    <t>คลินิกเวชปฏิบัติ</t>
  </si>
  <si>
    <t>ผิวหนัง</t>
  </si>
  <si>
    <t xml:space="preserve"> -</t>
  </si>
  <si>
    <t>-</t>
  </si>
  <si>
    <t>ศูนย์ประกันสุขภาพ</t>
  </si>
  <si>
    <t>เวชกรรม
ฟื้นฟู</t>
  </si>
  <si>
    <t>ชั้น 1
 อาคาร 
150 ปี</t>
  </si>
  <si>
    <t>หัตถการ</t>
  </si>
  <si>
    <t>ห้องบัตร ชั้น 1</t>
  </si>
  <si>
    <t>HBO</t>
  </si>
  <si>
    <t>1. แพทย์ให้ความสำคัญกับการตรวจร่างกายเพื่อวินิจฉัยโรค</t>
  </si>
  <si>
    <t>2. แพทย์ให้ข้อมูล/แนะนำวิธีการและทางเลือกในการรักษา</t>
  </si>
  <si>
    <t>3. คำถามและข้อสงสัย ได้รับคำตอบที่ชัดเจนจากแพทย์</t>
  </si>
  <si>
    <t>4. แพทย์รับฟัง/พูดคุยให้ท่านคลายความกังวลในอาการเจ็บป่วย</t>
  </si>
  <si>
    <t>5. ท่านได้มีโอกาสพูดคุยกับพยาบาลหรือเจ้าหน้าที่เรื่องอาการเจ็บป่วย</t>
  </si>
  <si>
    <t>6. พยาบาลเจ้าหน้าที่สามารถตอบข้อสงสัยได้ชัดเจน</t>
  </si>
  <si>
    <t>7. ท่านได้รับการดูแลเอาใจใส่</t>
  </si>
  <si>
    <t>8. ท่านมีส่วนร่วมในการตัดสินใจเรื่องการรักษาพยาบาล</t>
  </si>
  <si>
    <t>9. ท่านได้รับการดูแลอย่างเท่าเทียม ไม่เลือกปฏิบัติ</t>
  </si>
  <si>
    <t>10. ท่านได้รับคำแนะนำและขั้นตอนในการรับบริการโรงพยาบาล</t>
  </si>
  <si>
    <t>11. อาการเจ็บป่วยทางกายและใจได้รับการดูแลอย่างดี</t>
  </si>
  <si>
    <t>12. แพทย์เปิดโอกาสให้ผู้ป่วย/ญาติได้ซักถาม</t>
  </si>
  <si>
    <t>13. ผู้ป่วยและญาติได้รับข้อมูลการรักษาที่เป็นประโยชน์ สามารถดูแลตัวเองได้</t>
  </si>
  <si>
    <t>14. ท่านได้รับข้อมูลการใช้ยาและผลข้างเคียงอย่างชัดเจน</t>
  </si>
  <si>
    <t>15. ท่านได้รับคำแนะนำอย่างชัดเจนถึงอาการที่ควรกลับมาพบแพทย์</t>
  </si>
  <si>
    <t>16. ท่านพึงพอใจต่อการบริการของโรงพยาบาลโดยรวมในระดับใด</t>
  </si>
  <si>
    <t>PICU</t>
  </si>
  <si>
    <t>20B</t>
  </si>
  <si>
    <t>20C</t>
  </si>
  <si>
    <t>CCU</t>
  </si>
  <si>
    <t>เคมีบำบัด
และโรคเลือด</t>
  </si>
  <si>
    <t>ผ่าตัด 
นอกเวลา</t>
  </si>
  <si>
    <t>การเงิน 
และบัญชี</t>
  </si>
  <si>
    <t>Stroke</t>
  </si>
  <si>
    <t>สรุปการประเมินผล OP-IP VOICE เดือนพฤษภาคม 2568</t>
  </si>
  <si>
    <t>1340</t>
  </si>
  <si>
    <t>ค่าเฉลี่ยการแนะนำญาติหรือคนรู้จักให้มาใช้บริการที่โรงพยาบาล  OPD = 96.38% IPD = 96.12%</t>
  </si>
  <si>
    <t xml:space="preserve">ค่าเฉลี่ยความพึงพอใจการใช้บริการของโรงพยาบาล OPD = 86.54% IPD = 91.44%  </t>
  </si>
  <si>
    <t>-	เวลายื่นตรวจสอบสิทธิ์ ควรมีการเรียกบัตรคิวแล้วนั่งรอจะดีกว่ายืนรอ เนื่องจากผู้สูงอายุ หรือผู้บาดเจ็บ จะยืนรอนานไม่ได้</t>
  </si>
  <si>
    <t>-	แพทย์และพยาบาล  ควรเพิ่มจำนวนมากกว่านี้</t>
  </si>
  <si>
    <t xml:space="preserve">-	คิวตรวจรอนานมาก แพทย์มาช้า </t>
  </si>
  <si>
    <t>-ระบบค่อนข้างวุ่นวายซับซ้อน</t>
  </si>
  <si>
    <t>-	เสียงเรียกเบาไม่ค่อยได้ยิน</t>
  </si>
  <si>
    <t>-	ห้องยาช้า</t>
  </si>
  <si>
    <t>-	ใช้คำพูดดีแต่ไม่จริงใจกับผู้ป่วย</t>
  </si>
  <si>
    <t>-	ห้องจ่ายยาหน้าห้องตรวจ หมายเลข 18 ถ้ามาครั้งแรกอาจมองไม่เห็น ควรติดป้ายให้ชัดเจน (คลินิกพิเศษเฉพาะทางนอกเวลา)</t>
  </si>
  <si>
    <t>-	เป็นการรักษาแบบแพทย์นัดไม่ระบุแพทย์  ผู้ป่วยจะมีความกังวลต่อการรักษาที่ต่อเนื่อง  ขอให้การส่งต่อการวินิยฉัยระหว่างแพทย์มีความต่อเนื่องกันมากที่สุดนะคะ  บางทีผู้ป่วยสับสนและกังวลค่ะ</t>
  </si>
  <si>
    <t>-	บริการช้ามาก แล้วพักบ่อยมาก</t>
  </si>
  <si>
    <t>-	มาตั้งแต่ 8.00 น. เช้าจนตอนนี้ 19.30 น. ยังไม่ได้กลับ ช้าเกิน แย่ ๆ</t>
  </si>
  <si>
    <t>-	เวลาในการรอตรวจนานมาก นานจนผู้ป่วยหายป่วย มีแพทย์คนเดียว แย่มาก</t>
  </si>
  <si>
    <t>-	จิตใจการกระทำพฤติกรรมของบุคลากรสวนทางกันกับเทคโนโลยีอย่างชัดเจน</t>
  </si>
  <si>
    <t>-รอคิวนานมาก ตั้ง 15.00 น.  กว่าแพทย์จะเรียก นานมาก ต้องการให้แก้ไข ตรงนี้ด้วยค่ะ</t>
  </si>
  <si>
    <t>-	การทำงานผิดพลาดของแพทย์และพยาบาล</t>
  </si>
  <si>
    <t xml:space="preserve">-	ความผิดพลาดในการประสานงานของคลินิกนอกเวลาและคลินิกในเวลาปกติ </t>
  </si>
  <si>
    <t>-	ช้ามาก มีอาการไอ เจ็บคอ มาหาแพทย์ตรวจอาการเป็นวัน น่าจะมีการปรับปรุงการตรวจที่ดีกว่านี้</t>
  </si>
  <si>
    <t>-	น่าจะมีป้ายบอกลำดับคิวผู้ป่วยที่กำลังเข้าตรวจ เพื่อที่ผู้ป่วยจะได้รู้ว่าอยู่คิวที่เท่าไหร่  เพราะผู้ป่วยอาจจะกะเวลาการไปเข้าห้องน้ำ หรือซื้ออาหารทาน</t>
  </si>
  <si>
    <t>-	เก้าอี้ไม่เพียงพอต่อจำนวนผู้ป่วย (คลินิกศัลยกรรม)</t>
  </si>
  <si>
    <t xml:space="preserve">-	การเรียกคิวในส่วนที่พบแพทย์ ต้องเพิ่มเสียงเล็กน้อย ในการเรียก หรือถามสามารถมีการนำคิวขึ้นหน้าจอทีวีได้จะดีมาก </t>
  </si>
  <si>
    <t>-	ปรับปรุงเวลาเข้ารับบริการ</t>
  </si>
  <si>
    <t>-	อยากให้มีป้าย หรือระบบการแจ้งคิวเข้าตรวจ และการเรียกผู้ป่วยรอเข้าตรวจเบาเกินไป ผู้ป่วยได้ยินไม่ชัดเจน</t>
  </si>
  <si>
    <t>-	ควรพูดจากับผู้ป่วยให้เพราะ</t>
  </si>
  <si>
    <t>-	ใช้คำพูดและใช้อารมณ์ในการพูดกับผู้ป่วย</t>
  </si>
  <si>
    <t>-	ไม่พอใจที่ไม่อธิบายให้ฟังตั้งแต่แรก เสียเวลารอทั้งวัน ทั้ง ๆ ที่ไม่ฟรี แล้วบอกให้ไปฉีดวัคซีนศูนย์ ส่งให้เดินขึ้น ๆ ลง ๆ พยาบาลชั้น 5 ให้ไปชั้น 1 ชั้น 1 ส่งมาชั้น 4 กว่าจะได้เรื่องราว สรุป รอก็ไม่ได้ฉีด</t>
  </si>
  <si>
    <t>-	โทรมาเลื่อนนัดแพทย์ แต่พยาบาลกลับตอบปัดแล้วบอกว่า มาแบบผิดนัดเอาสิ แล้ววางสายใส่ รู้สึกว่าปัญหาไม่ได้รับการแก้ไข พยาบาลปัดๆไป เหมือนไม่อยากทำงาน</t>
  </si>
  <si>
    <t>-	ควรปรับปรุงการพบพยาบาล พบแพทย์ พบพยาบาลหน้าห้อง พบพยาบาลอีกรอบ เสียเวลา ทำงานช้า สิ้นเปลืองทรัพยากรบุคคลโดยใช่เหตุ</t>
  </si>
  <si>
    <t>-	ควรเพิ่มจุดลงทะเบียนช่วงเช้า คิวยาวมาก ๆ</t>
  </si>
  <si>
    <t>-	ปรับปรุงระยะเวลาการให้บริการ</t>
  </si>
  <si>
    <t xml:space="preserve">-	อยากให้บริการรวดเร็วกว่านี้ </t>
  </si>
  <si>
    <t>-	อยากให้เจ้าหน้าที่แผนกกุมารเวชกรรมใส่ชุดลายตุ๊กตา  อาจทำให้บรรยากาศเป็นกันเองมากขึ้น</t>
  </si>
  <si>
    <t>-	จุดลงทะเบียนตอนเช้า คนเยอะ ล่าช้าเกินไป</t>
  </si>
  <si>
    <t>-	การลงทะเบียน หรือติดต่อเอกสาร ช้า วนไปวนมา ไม่สะดวก ควรมีตู้แบบเสียบบัตร แล้วมีเจ้าหน้าที่แนะนำค่อยดู</t>
  </si>
  <si>
    <t>-	ควรมีคิวให้คนที่ไปรับการรักษาทราบถึงคิว</t>
  </si>
  <si>
    <t>-	ไม่ประทับใจระบบตั้งแต่หน้าประตูทางเข้า ระบบทำให้ผู้คนต้องนั่งรอ ควรมีระบบให้คนไข้สแกน QR Code รันคิว ระบบคัดกรองไม่โอเค ทำงานซ้ำซ้อน</t>
  </si>
  <si>
    <t xml:space="preserve">-	การจ่ายเงินซ้ำซ้อน ทอนเงินไม่ครบ  </t>
  </si>
  <si>
    <t>-	ควรกระจายชั้นรับยา ไปอัดกันอยู่ชั้น 6 รอยานาน</t>
  </si>
  <si>
    <t>-	จุดตรวจสอบสิทธิ์ชั้น 1 ควรบริการให้ดีกว่านี้</t>
  </si>
  <si>
    <t xml:space="preserve">-	ปรับปรุงระบบลิฟต์ </t>
  </si>
  <si>
    <t>-	ใช้เวลานานในการเรียกตรวจ</t>
  </si>
  <si>
    <t>-	ควรเพิ่มที่นั่งรอให้กับญาติผู้ป่วย ที่นั่งรอหน้าห้องผ่าตัดมีน้อย</t>
  </si>
  <si>
    <t>-	อยากให้เพิ่มจำนวนเจ้าหน้าที่เพิ่มเติม วันหยุดเจ้าหน้าที่น้อย</t>
  </si>
  <si>
    <t>-	วันหยุดยาวเจ้าหน้าที่น้อย รอนานกว่าปรกติ</t>
  </si>
  <si>
    <t>-	บางครั้งสียงดัง</t>
  </si>
  <si>
    <t xml:space="preserve">-	อยากให้มีที่นั่งที่สามารถปรับนอนได้ให้กับผู้ป่วยที่เป็นโรคไต บางครั้งมารอนานๆ มีอาการเพลีย ปวดหัว 
-	</t>
  </si>
  <si>
    <t>-ชั้น1 ควรเพิ่มที่นั่งให้มากขึ้นสำหรับคนที่มารอรับคิวตอนเช้า ที่นั่งรอไม่เพียงพอ</t>
  </si>
  <si>
    <t xml:space="preserve">-	ควรมีเวลาที่ชัดเจนในการให้บริการ </t>
  </si>
  <si>
    <t>-	ช่วงเวลารอรับยานานมาก</t>
  </si>
  <si>
    <t>-	ควรปรับปรุงการให้บริการที่รวดเร็วกว่านี้</t>
  </si>
  <si>
    <t>-	ค่าที่จอดรถแพง (2)</t>
  </si>
  <si>
    <t>-รอนาน (2)</t>
  </si>
  <si>
    <t>-	รอจุดคัดกรองนาน</t>
  </si>
  <si>
    <t>-	รอคิวนาน (2)</t>
  </si>
  <si>
    <t>-	การบริการช้า (2)</t>
  </si>
  <si>
    <t xml:space="preserve">-	ในการรอเข้าคิวกการรักษาอยากให้ต่อคิวเหมือนตึก 150 ปี </t>
  </si>
  <si>
    <t>-	ตึก 100 ปี อยากให้มีจุดวัดความดันเพิ่มขึ้น</t>
  </si>
  <si>
    <t>-	แพทย์น้อย ไม่เพียงพอ (4)</t>
  </si>
  <si>
    <t xml:space="preserve">-	ตึก 100 ปีช่องเรียกชื่อ ลำโพงแตก เวลาเรียกจะไม่ค่อยได้ยิน </t>
  </si>
  <si>
    <t>-	การจัดการคิวไม่ดี แทรกคิว</t>
  </si>
  <si>
    <t xml:space="preserve">-	มีการให้ยาผิดตัว วันนี้มาเพื่อเปลี่ยนยา เพราะทานแล้วรู้สึกคลื่นใส้ </t>
  </si>
  <si>
    <t>-	การมารอคิวทำฟัน 2 วัน ติดต่อทำทุกอย่างแต่ถึงเวลาไม่มีคิว มาอีกก็ไม่รู้ว่าจะได้คิวไหม พอตรวจแพทย์ต้องทำใบส่งตัวไปทำที่คลินิกอื่น หรือโรงพยาบาลเอกชน ซึ่งค่าบริการแพงขึ้น แต่ถ้าจะทำที่นี่ก็ต้องรอถึง 2 ปี อยากให้มีบริการที่มากขึ้นกว่านี้</t>
  </si>
  <si>
    <t>-ที่จอดรถไม่เพียงพอ</t>
  </si>
  <si>
    <t xml:space="preserve">-	โปรดอนุญาติให้ญาติเข้าไปให้กำลังใจผู้ป่วยบ้าง </t>
  </si>
  <si>
    <t>-รอพบแพทย์นาน (2)</t>
  </si>
  <si>
    <t>152</t>
  </si>
  <si>
    <t>-	ปรับปรุงน้ำเสียงและอารมณ์เวลาพูดคุยกับญาติ</t>
  </si>
  <si>
    <t>-	บางครั้งแอบตกใจเสียงพูดที่แข็งและดังเกินไป</t>
  </si>
  <si>
    <t>-	อยากให้มีห้องน้ำพิเศษสำหรับ ICU (CCU)</t>
  </si>
  <si>
    <t>-	ปรับปรุงสิ่งอำนวยความสะดวก (MICU)</t>
  </si>
  <si>
    <t>-	รอแอดมิทนานมาก</t>
  </si>
  <si>
    <t>-	ปรับปรุงเรื่องสถานที่จอดรถ</t>
  </si>
  <si>
    <t>-	อยากให้บริเวณเคาน์เตอร์ลดการใช้เสียงลงสักหน่อย (18B)</t>
  </si>
  <si>
    <t>-	อยากให้ผู้บริการมาดูแลสวัสดิการณ์ของเจ้าหน้าที่ให้มากขึ้น พยาบาล 1 ท่าน ดูแลผู้ป่วยมากกว่า 10-16 คน อยากให้เพิ่มเงินเดือนให้มาก ๆ จะได้มีแรงดูแลผู้ป่วย</t>
  </si>
  <si>
    <t>-	หลังบ่ายมีพยาบาลคอยดูแลแค่ 1 ท่าน นาน ๆ ที จะเดินมาเช็คความดัน (18C)</t>
  </si>
  <si>
    <t>-	ห้องยาควรเปิดให้ตรงเวลา</t>
  </si>
  <si>
    <t>-	ปรับปรุงขั้นตอนการลงทะเบียน</t>
  </si>
  <si>
    <t>-	ไม่ควรเอาผู้ป่วยที่น็อคแอลกอฮอล์มาอยู่ร่วมกับผู้ป่วยปรกติ เพราะผู้ป่วยจะส่งเสียงร้องทั้งคืน ทำให้ผู้ป่วยคนอื่นไม่ได้พักผ่อน</t>
  </si>
  <si>
    <t>-	ได้พูดคุยกับแพทย์น้อยมาก</t>
  </si>
  <si>
    <t>-	บางครั้งเจอการพูดจาที่ไม่สุภาพ</t>
  </si>
  <si>
    <t>-	ปรับปรุงการประสานงานของ OPD</t>
  </si>
  <si>
    <t>-	ปรับปรุงเรื่องการสื่อสารภายในองค์กร</t>
  </si>
  <si>
    <t>-	ปรับเรื่องแอร์ บางครั้งร้อนมาก (20C)</t>
  </si>
  <si>
    <t>-	เวลามีญาติมาสอบถามอาการ รบกวนแสดงสีหน้าและท่าทางด้วยความเต็มใจ ยิ้มแย้ม (22A)</t>
  </si>
  <si>
    <t>-	การทำความสะอาดพื้นไม่ค่อยสะอาด (22A)</t>
  </si>
  <si>
    <t xml:space="preserve">-	ไม่ประทับใจคลินิกนอกเวลา ผู้ป่วยมาตอน 21.00 น. รอนจนถึง 23.00 น. กลับหยุดตรวจ และส่งตัวไปที่ห้องฉุกเฉินเที่ยงคืน กว่าจะได้เข้าตรวจก็เป็นเวลา 03.00 น. </t>
  </si>
  <si>
    <t>-	อยากให้มีชุดสำหรับผู้ป่วยที่มีน้ำหนักตัวเยอะ และเป็นกางเกง</t>
  </si>
  <si>
    <t>-	อุปกรณ์ต่าง ๆ ผ้าม่าน ควรดูแลและติดตั้งให้ครบ (22D)</t>
  </si>
  <si>
    <t>-	ควรมีเก้าอี้ให้ญาติที่มาเยี่ยมห้องรวม อย่างน้องเตียงละ 1 ตัว บางทีเป็นผู้สูงวัย ยืนนาน ๆ ไม่ไหว</t>
  </si>
  <si>
    <t>-	มารยาท การพูดจาที่ปฏิบัติกับคนไข้  ไม่เข้าใจความรู้สึกคนไข้ คิดอยากจะพูดอะไรก็ได้ น้ำเสียงที่ไม่ดี (23A)</t>
  </si>
  <si>
    <t>-	ได้ยินการดุผู้ป่วยที่ไม่รู้สึกตัว หรือไม่มีสติ 100% รู้สึกแย่ (22D)</t>
  </si>
  <si>
    <t>-	ควรเพิ่มเจ้าหน้าที่ให้มากขึ้น เพื่อการดูแลที่ทั่วถึง</t>
  </si>
  <si>
    <t>-	ขั้นตอนการชำระเงินยุ่งยาก</t>
  </si>
  <si>
    <t>-	อยากให้มีการอัพเดทข้อมูลอาการเจ็บป่วย หรืออาการของลูกให้ไวกว่านี้</t>
  </si>
  <si>
    <t>-	เวลาซักประวัติผู้ป่วยจะถามเร็วมาและเสียงเบา ผู้ป่วยฟังไม่ทัน</t>
  </si>
  <si>
    <t>-	การแจ้งคิวให้ผู้เข้ารับบริการ ควรมีการลำดับคิวที่ชัดเจนมากกว่านี้</t>
  </si>
  <si>
    <t>-	ที่จอดรถไม่เพียงพอ (2)</t>
  </si>
  <si>
    <t>-	ควรมีผ้าเช็ดเท้าที่สามารถอุ้มน้ำได้มากกว่านี้  ในใกล้พื้นที่เปียก (23A)</t>
  </si>
  <si>
    <t>-	ปริมาณห้องพัก และเตียงค่อนข้างน้อย</t>
  </si>
  <si>
    <t>-	ปรับปรุงเรื่องทำความสะอาดห้อง ควรทำความสะอาดมากกว่านี้  (24A)</t>
  </si>
  <si>
    <t xml:space="preserve">-	อยากให้เจ้าหน้าที่จุดซักประวัติมีความไวในการปฏิบัติหน้าที่เอาใจใส่หน้าที่ของตนเองให้ดีกว่านี้ ควรมีบุคลิกภาพที่ดี เหมาะสม </t>
  </si>
  <si>
    <t xml:space="preserve">-	ขั้นตอนการรอกลับบ้าน ทำเอกสารค่อนข้างนาน </t>
  </si>
  <si>
    <t>-	ขั้นตอนการรอเครมประกันช้ามาก (2)</t>
  </si>
  <si>
    <t>-	รอแอดมิทนานมาก เพราะรอผู้ป่วยก่อนหน้าเคลมประกัน</t>
  </si>
  <si>
    <t xml:space="preserve">  จะได้ไม่ต้องมานั่งรอเคลีย</t>
  </si>
  <si>
    <t>-	เสนอให้มีเจ้าหน้าที่กายภาพช่วยดูแลผู้ป่วยหลังผ่าตัด  และช่วยในการเดิน สอนญาติในการดูแล</t>
  </si>
  <si>
    <t>-	ประเมินค่ารักษาไม่ถูกต้อง เนื่องจากไม่มีเจ้าหน้าที่การเงินเข้ามาทำหน้าที่โดยตรง</t>
  </si>
  <si>
    <t>-	การจองห้องพิเศษ ผู้ให้ข้อมูลไม่มีความรู้ในเรื่องการเบิกจ่าย สิทธิข้าราชการ สิทธิส่วนลด</t>
  </si>
  <si>
    <t>-	รอรถเข็นนาน</t>
  </si>
  <si>
    <t>-	สายชำระแข็ง บีบลำบาก (25A)</t>
  </si>
  <si>
    <t>-	ควรเพิ่มชุดจานชามในห้องพัก (25A)</t>
  </si>
  <si>
    <t xml:space="preserve">-	ห้องฉุกเฉินประเมินให้ผู้ป่วยมารอตรวจแบบปรกติ ทั้งๆที่ผู้ป่วยแจ้งว่าปวดท้องรุนแรง มาตรวจในเวลาปรกติ รอนานมาก มารอตรวจ 60 กว่าคิว สุดท้ายคือใส่ติ่ง </t>
  </si>
  <si>
    <t xml:space="preserve"> ถ้าผู้ป่วยทนพิษบาดแผลไม่ไหวหรือใส้ติ่งแตกอาจเกิดการเจ็บป่วยที่มากกว่านี้ หรือเกิดการสูญเสีย เจ้าหน้าที่ห้องฉุกเฉิน ควรปรับปรุงเรื่องการคัดกรองเคสต่าง ๆ ถ้าไม่รุนแรงจริง ๆ </t>
  </si>
  <si>
    <t xml:space="preserve"> ผู้ป่วยคงไม่มาห้องฉุกเฉิน  ส่วนจุดคัดกรองก็ควรใส่ใจผู้ป่วยมากกว่านี้ </t>
  </si>
  <si>
    <t xml:space="preserve">-	รอแอดมิทนานมาก มารอแต่เช้า กว่าจะเจาะเลือด เอ็กซเรย์ เจอแพทย์ จน 17.00 น. เพิ่งจะได้เข้าแอดมิท  </t>
  </si>
  <si>
    <t>-	กลอนห้องน้ำล็อคยาก ไม่ลงล็อค (25B)</t>
  </si>
  <si>
    <t>-	ระบบการลงทะเบียนห้องพักล่าช้า รอนานมาก นัดลงทะเบียน 10.00 น. กว่าจะได้เข้าแอทมิทก็ 17.30 น.</t>
  </si>
  <si>
    <t>-	ใบนัด 2 ใบ มีความขัดแย้งกัน 
•	ใบนัดนอนโรงพยาบาลให้ติดต่อที่ชั้น 1 เวลา 10.00 น.
•	ใบนัดอีกใบ ให้ไปติดต่อที่ชั้น 5 เวลา 8.00 น.
ผู้ป่วยเลยเลือกที่จะไปที่ชั้น 5 เวลา 8.00 น. แต่พอไปแล้วเจ้าหน้าที่กลับให้ไปลงทะเบียนก่อน และให้ไปติดต่อจุดที่นัดนอนโรงพยาบาลก่อน รอคิวเรียก 9.00 น. และรอตรวจเอกสารประมาณเวลา 11.00 น. กว่าจะได้คำแนะนำว่าต้องตรวจอะไรบ้าง เมื่อทำกระบวนการต่าง ๆ แล้วเสร็จกว่าจะได้ขึ้นห้องก็เป็นเวลา 15.00 น. แล้ว ผู้ป่วยเข้าใจว่าโรงพยาบาลมีผู้ป่วยเยอะ แต่โรงพยาบาลควรจะสร้างหรือวางระบบขั้นตอนต่าง ๆ ไม่ให้ซ้ำซ้อน ให้เข้าถึงได้สะดวกและรวดเร็วกว่านี้</t>
  </si>
  <si>
    <t>-	ปรับปรุงเรื่องอาหาร (4)</t>
  </si>
  <si>
    <t>-	สายฉีดชำระน้ำไม่ค่อยไหลออกมา ไหลไม่แรง ควรเปลี่ยนใหม่ (26B)</t>
  </si>
  <si>
    <t>-	ปรับปรุงเรื่องระบบที่จอดรถสำหรับผู้ป่วยที่มานอนโรงพยาบาล</t>
  </si>
  <si>
    <t>-	ควรมีคู่มือ หรือข้อแนะนำในการใช้รีโมท การดูหนังทาง internet / ดาวเทียม เพราะดูไม่ได้  (26B)</t>
  </si>
  <si>
    <t>-	บางครั้งลืมบอกขั้นตอนว่าต้องทำอะไร หรือกินยาอะไร และควรเพิ่มความระมัดระวังในการสวมใส่ถุงมือ</t>
  </si>
  <si>
    <t>อันดับ 2 อุปกรณ์ เครื่องมือ และสถานที่ไม่สมบูรณ์ (OPD : 13  IPD : 21 )</t>
  </si>
  <si>
    <t xml:space="preserve">-	รอนาน ระบบการบริการเปลี่ยนไปเปลี่ยนมา มาแต่ละครั้งไม่เหมือนกัน ทำให้ผู้มารับบริการสับสน </t>
  </si>
  <si>
    <t>-	มาเปิดบัตรคิวเวลา 15.22 น. ผู้ป่วยมีฝีที่แขนซ้าย ได้เข้าพบแพทย์ประมาณ 22.00 น. แพทย์แจ้งว่าจะผ่าฝีให้แต่ต้องรอตรวจผู้ป่วยท่านอื่นให้เสร็จก่อน ระยะเวลารอคอย 7 ชั่วโมง ล่าช้าเกินไป</t>
  </si>
  <si>
    <t>-	มาตั้งแตเวลา 9.00 น. จนถึง 15.30 น. ยังไม่ได้รับการตรวจ ช้ามาก ๆ อยากให้ตรวจไวกว่านี้ ช่วยแก้ไขด้วย</t>
  </si>
  <si>
    <t>-	ในเรื่องของการรับบัตรคิวในการเข้ารับการรักษา อยากให้ผู้ที่มาพบแพทย์จริง ๆ เป็นผู้มารับเอง ไม่อยากให้จ้างวินมอไซด์มารับบัตรคิว</t>
  </si>
  <si>
    <t>-	เพิ่มการชี้แนะจากห้องยา เช่น ยานี้ กินยังไง รักษาอะไร ผลข้างเคียงมีไหม</t>
  </si>
  <si>
    <t>-	วันนี้ที่มาใช้บริการและไม่พึ่งพอใจเพราะมาตามนัดและไม่ได้รับการรักษาใด ๆ แต่ต้องเสียเวลาและเสียเงินทั้ง ๆ ที่ไม่ได้รับการรักษา ต้องขาดรายได้ เพื่อมาตามนัดที่แพทย์นัดผิดพลาด</t>
  </si>
  <si>
    <t>อันดับ 3 การทำงานและพฤติกรรมของบุคลากร (OPD :  11 IPD : 12 )</t>
  </si>
  <si>
    <t>อันดับ 1 การให้บริการโดยรวม (OPD : 51 IPD : 25 )</t>
  </si>
  <si>
    <t>-	คลินิกนอกเวลาควรมีเก้าอี้เพิ่ม</t>
  </si>
  <si>
    <t xml:space="preserve">-ระบบขั้นตอนการเข้าห้องพักรอนาน นัด 10.00 น. ได้เข้าห้องพักเวลา 13.30 น. กระบวนการก่อนหน้าไม่มีอะไรมาก  แค่รอห้องว่างอย่างเดียว เสนอให้มีการจัดระบบคอนเฟิร์มห้องว่างก่อน 1 วัน ถ้ามีห้องว่าจึงมาก่อนเวลา 10.00 น. </t>
  </si>
  <si>
    <t xml:space="preserve">-	ปรับปรุงสถานที่จอดรถ และควรพิจารณาลดอัตตราค่าบริการสำหรับผู้ป่วยที่เข้ารับการรักษา เพราะมาใช่สิทธิการรักษาตามที่ตนเองมี แต่ต้องไปเสียค่าที่จอดรถแพงมาก </t>
  </si>
  <si>
    <t>-	แอร์ที่ห้องมีเสียงดัง  (26B)</t>
  </si>
  <si>
    <t>-	ลดเสียงการสนทนาลง ในเวลาที่เจ้าหน้าที่ลงเวร , ไม่คุยเสียงดัง , ไม่เล่นเสียงดัง</t>
  </si>
  <si>
    <t>-	โรงพยาบาลไม่มีระบบบัตรคิวที่ดี ทำให้ผู้มารับบริการรอนาน และไม่ทราบว่าตนเองจะได้รับบริการเมื่อไหร่</t>
  </si>
  <si>
    <t>-	รอเข้าแอดมิทนานมาก เนื่องจากไม่ได้ทราบรายละเอียดจากเจ้าหน้าที่ ทำให้ต้องเกิดระยะเวลารอคอยกว่า 7 ชั่วโมง</t>
  </si>
  <si>
    <t>-	ห้องคลอดควรมีน้ำดื่มมากกว่านี้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</si>
</sst>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###0.00"/>
  </numFmts>
  <fonts count="33">
    <font>
      <sz val="11"/>
      <color theme="1"/>
      <name val="Tahoma"/>
      <family val="2"/>
      <charset val="222"/>
      <scheme val="minor"/>
    </font>
    <font>
      <b/>
      <sz val="16"/>
      <color theme="1"/>
      <name val="TH SarabunPSK"/>
      <family val="2"/>
      <charset val="222"/>
    </font>
    <font>
      <b/>
      <sz val="16"/>
      <color rgb="FF000000"/>
      <name val="TH SarabunPSK"/>
      <family val="2"/>
      <charset val="222"/>
    </font>
    <font>
      <sz val="16"/>
      <color theme="1"/>
      <name val="TH SarabunPSK"/>
      <family val="2"/>
      <charset val="222"/>
    </font>
    <font>
      <b/>
      <sz val="16"/>
      <color theme="1"/>
      <name val="TH SarabunPSK"/>
      <family val="2"/>
    </font>
    <font>
      <sz val="16"/>
      <color theme="1"/>
      <name val="TH SarabunPSK"/>
      <family val="2"/>
    </font>
    <font>
      <b/>
      <sz val="16"/>
      <color rgb="FF000000"/>
      <name val="TH SarabunPSK"/>
      <family val="2"/>
    </font>
    <font>
      <b/>
      <sz val="20"/>
      <color theme="1"/>
      <name val="TH SarabunPSK"/>
      <family val="2"/>
      <charset val="222"/>
    </font>
    <font>
      <b/>
      <sz val="20"/>
      <color theme="1"/>
      <name val="TH SarabunPSK"/>
      <family val="2"/>
    </font>
    <font>
      <sz val="20"/>
      <color theme="1"/>
      <name val="TH SarabunPSK"/>
      <family val="2"/>
    </font>
    <font>
      <b/>
      <u/>
      <sz val="16"/>
      <color theme="1"/>
      <name val="TH SarabunPSK"/>
      <family val="2"/>
    </font>
    <font>
      <sz val="8"/>
      <name val="Tahoma"/>
      <family val="2"/>
      <charset val="222"/>
      <scheme val="minor"/>
    </font>
    <font>
      <sz val="11"/>
      <color theme="1"/>
      <name val="Tahoma"/>
      <family val="2"/>
      <scheme val="minor"/>
    </font>
    <font>
      <sz val="16"/>
      <color rgb="FFFF0000"/>
      <name val="TH SarabunPSK"/>
      <family val="2"/>
    </font>
    <font>
      <sz val="16"/>
      <name val="TH SarabunPSK"/>
      <family val="2"/>
    </font>
    <font>
      <b/>
      <sz val="16"/>
      <name val="TH SarabunPSK"/>
      <family val="2"/>
    </font>
    <font>
      <sz val="10"/>
      <name val="Arial"/>
      <family val="2"/>
    </font>
    <font>
      <b/>
      <sz val="16"/>
      <color rgb="FFFF0000"/>
      <name val="TH SarabunPSK"/>
      <family val="2"/>
    </font>
    <font>
      <sz val="9"/>
      <color indexed="8"/>
      <name val="Arial"/>
      <family val="2"/>
    </font>
    <font>
      <sz val="10"/>
      <color indexed="8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1"/>
      <color rgb="FF000000"/>
      <name val="Calibri"/>
      <family val="2"/>
      <charset val="222"/>
    </font>
    <font>
      <sz val="11"/>
      <color rgb="FF000000"/>
      <name val="Calibri"/>
      <family val="2"/>
      <charset val="1"/>
    </font>
    <font>
      <b/>
      <sz val="10"/>
      <color theme="1"/>
      <name val="Arial"/>
      <family val="2"/>
      <charset val="222"/>
    </font>
    <font>
      <b/>
      <sz val="10"/>
      <name val="Arial"/>
      <family val="2"/>
      <charset val="222"/>
    </font>
    <font>
      <sz val="16"/>
      <color rgb="FF000000"/>
      <name val="TH SarabunPSK"/>
      <family val="2"/>
    </font>
    <font>
      <sz val="16"/>
      <color indexed="8"/>
      <name val="TH SarabunPSK"/>
      <family val="2"/>
    </font>
    <font>
      <sz val="10"/>
      <color theme="1"/>
      <name val="Arial"/>
      <family val="2"/>
      <charset val="222"/>
    </font>
    <font>
      <b/>
      <sz val="12"/>
      <color rgb="FF000000"/>
      <name val="TH SarabunPSK"/>
      <family val="2"/>
      <charset val="222"/>
    </font>
    <font>
      <b/>
      <sz val="18"/>
      <color theme="1"/>
      <name val="TH SarabunPSK"/>
      <family val="2"/>
    </font>
    <font>
      <sz val="16"/>
      <color theme="1"/>
      <name val="TH Sarabun New"/>
      <family val="2"/>
    </font>
    <font>
      <sz val="16"/>
      <name val="TH Sarabun New"/>
      <family val="2"/>
    </font>
  </fonts>
  <fills count="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8EAADB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8">
    <xf numFmtId="0" fontId="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2" fillId="0" borderId="0"/>
    <xf numFmtId="0" fontId="23" fillId="0" borderId="0"/>
    <xf numFmtId="0" fontId="22" fillId="0" borderId="0"/>
  </cellStyleXfs>
  <cellXfs count="110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6" fillId="3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1" fillId="0" borderId="3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/>
    </xf>
    <xf numFmtId="0" fontId="6" fillId="5" borderId="1" xfId="0" applyFont="1" applyFill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187" fontId="19" fillId="0" borderId="1" xfId="11" applyNumberFormat="1" applyFont="1" applyBorder="1" applyAlignment="1">
      <alignment horizontal="center" vertical="center"/>
    </xf>
    <xf numFmtId="187" fontId="19" fillId="0" borderId="1" xfId="13" applyNumberFormat="1" applyFont="1" applyBorder="1" applyAlignment="1">
      <alignment horizontal="center" vertical="center"/>
    </xf>
    <xf numFmtId="2" fontId="21" fillId="6" borderId="1" xfId="0" applyNumberFormat="1" applyFont="1" applyFill="1" applyBorder="1" applyAlignment="1">
      <alignment horizontal="center" vertical="center" wrapText="1"/>
    </xf>
    <xf numFmtId="187" fontId="18" fillId="0" borderId="1" xfId="12" applyNumberFormat="1" applyFont="1" applyBorder="1" applyAlignment="1">
      <alignment horizontal="center" vertical="center"/>
    </xf>
    <xf numFmtId="2" fontId="21" fillId="0" borderId="1" xfId="0" applyNumberFormat="1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25" fillId="0" borderId="7" xfId="16" applyFont="1" applyBorder="1" applyAlignment="1">
      <alignment horizontal="center" vertical="center"/>
    </xf>
    <xf numFmtId="0" fontId="25" fillId="0" borderId="6" xfId="16" applyFont="1" applyBorder="1" applyAlignment="1">
      <alignment horizontal="center" vertical="center"/>
    </xf>
    <xf numFmtId="2" fontId="14" fillId="7" borderId="1" xfId="0" applyNumberFormat="1" applyFont="1" applyFill="1" applyBorder="1" applyAlignment="1">
      <alignment horizontal="center" vertical="center" wrapText="1"/>
    </xf>
    <xf numFmtId="187" fontId="19" fillId="7" borderId="1" xfId="14" applyNumberFormat="1" applyFont="1" applyFill="1" applyBorder="1" applyAlignment="1">
      <alignment horizontal="center" vertical="center"/>
    </xf>
    <xf numFmtId="0" fontId="24" fillId="7" borderId="5" xfId="0" applyFont="1" applyFill="1" applyBorder="1" applyAlignment="1">
      <alignment horizontal="center" vertical="center" wrapText="1"/>
    </xf>
    <xf numFmtId="187" fontId="19" fillId="7" borderId="1" xfId="12" applyNumberFormat="1" applyFont="1" applyFill="1" applyBorder="1" applyAlignment="1">
      <alignment horizontal="center" vertical="center"/>
    </xf>
    <xf numFmtId="49" fontId="26" fillId="0" borderId="0" xfId="0" applyNumberFormat="1" applyFont="1" applyAlignment="1">
      <alignment vertical="center"/>
    </xf>
    <xf numFmtId="49" fontId="5" fillId="0" borderId="0" xfId="0" applyNumberFormat="1" applyFont="1"/>
    <xf numFmtId="49" fontId="26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vertical="center"/>
    </xf>
    <xf numFmtId="49" fontId="5" fillId="0" borderId="0" xfId="0" applyNumberFormat="1" applyFont="1" applyAlignment="1">
      <alignment horizontal="left" vertical="center" indent="3"/>
    </xf>
    <xf numFmtId="49" fontId="13" fillId="0" borderId="0" xfId="0" applyNumberFormat="1" applyFont="1" applyAlignment="1">
      <alignment horizontal="left" vertical="center" indent="3"/>
    </xf>
    <xf numFmtId="49" fontId="4" fillId="0" borderId="0" xfId="0" applyNumberFormat="1" applyFont="1" applyAlignment="1">
      <alignment vertical="center" wrapText="1"/>
    </xf>
    <xf numFmtId="49" fontId="14" fillId="0" borderId="0" xfId="0" applyNumberFormat="1" applyFont="1" applyAlignment="1">
      <alignment horizontal="left" vertical="center" indent="3"/>
    </xf>
    <xf numFmtId="49" fontId="5" fillId="0" borderId="0" xfId="0" quotePrefix="1" applyNumberFormat="1" applyFont="1" applyAlignment="1">
      <alignment horizontal="left" vertical="center" wrapText="1" indent="1"/>
    </xf>
    <xf numFmtId="49" fontId="5" fillId="0" borderId="0" xfId="0" applyNumberFormat="1" applyFont="1" applyAlignment="1">
      <alignment horizontal="left" vertical="center"/>
    </xf>
    <xf numFmtId="49" fontId="4" fillId="0" borderId="0" xfId="0" applyNumberFormat="1" applyFont="1" applyAlignment="1">
      <alignment wrapText="1"/>
    </xf>
    <xf numFmtId="49" fontId="5" fillId="0" borderId="0" xfId="0" quotePrefix="1" applyNumberFormat="1" applyFont="1" applyAlignment="1">
      <alignment horizontal="left" indent="1"/>
    </xf>
    <xf numFmtId="49" fontId="14" fillId="0" borderId="0" xfId="0" quotePrefix="1" applyNumberFormat="1" applyFont="1" applyAlignment="1">
      <alignment horizontal="left" vertical="center" indent="3"/>
    </xf>
    <xf numFmtId="49" fontId="15" fillId="0" borderId="0" xfId="0" applyNumberFormat="1" applyFont="1" applyAlignment="1">
      <alignment horizontal="left"/>
    </xf>
    <xf numFmtId="49" fontId="5" fillId="0" borderId="0" xfId="0" quotePrefix="1" applyNumberFormat="1" applyFont="1" applyAlignment="1">
      <alignment horizontal="left" vertical="center"/>
    </xf>
    <xf numFmtId="49" fontId="14" fillId="0" borderId="0" xfId="0" applyNumberFormat="1" applyFont="1" applyAlignment="1">
      <alignment vertical="center"/>
    </xf>
    <xf numFmtId="49" fontId="4" fillId="0" borderId="0" xfId="0" applyNumberFormat="1" applyFont="1" applyAlignment="1">
      <alignment horizontal="left" vertical="center" wrapText="1"/>
    </xf>
    <xf numFmtId="49" fontId="15" fillId="0" borderId="0" xfId="0" applyNumberFormat="1" applyFont="1" applyAlignment="1">
      <alignment vertical="center"/>
    </xf>
    <xf numFmtId="49" fontId="17" fillId="0" borderId="0" xfId="0" applyNumberFormat="1" applyFont="1" applyAlignment="1">
      <alignment vertical="center"/>
    </xf>
    <xf numFmtId="49" fontId="4" fillId="0" borderId="1" xfId="0" applyNumberFormat="1" applyFont="1" applyBorder="1" applyAlignment="1">
      <alignment horizontal="center" vertical="center" wrapText="1"/>
    </xf>
    <xf numFmtId="49" fontId="6" fillId="4" borderId="1" xfId="0" applyNumberFormat="1" applyFont="1" applyFill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left" vertical="center" wrapText="1"/>
    </xf>
    <xf numFmtId="49" fontId="14" fillId="7" borderId="1" xfId="0" applyNumberFormat="1" applyFont="1" applyFill="1" applyBorder="1" applyAlignment="1">
      <alignment horizontal="center" vertical="center" wrapText="1"/>
    </xf>
    <xf numFmtId="49" fontId="14" fillId="0" borderId="1" xfId="0" applyNumberFormat="1" applyFont="1" applyBorder="1" applyAlignment="1">
      <alignment horizontal="center" vertical="center" wrapText="1"/>
    </xf>
    <xf numFmtId="49" fontId="5" fillId="0" borderId="0" xfId="0" applyNumberFormat="1" applyFont="1" applyAlignment="1">
      <alignment horizontal="left" vertical="center" indent="4"/>
    </xf>
    <xf numFmtId="49" fontId="5" fillId="0" borderId="0" xfId="0" applyNumberFormat="1" applyFont="1" applyAlignment="1">
      <alignment horizontal="left" vertical="center" wrapText="1"/>
    </xf>
    <xf numFmtId="2" fontId="14" fillId="0" borderId="0" xfId="0" applyNumberFormat="1" applyFont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20" fillId="0" borderId="4" xfId="0" applyFont="1" applyBorder="1" applyAlignment="1">
      <alignment horizontal="center" vertical="center" wrapText="1"/>
    </xf>
    <xf numFmtId="2" fontId="19" fillId="6" borderId="1" xfId="14" applyNumberFormat="1" applyFont="1" applyFill="1" applyBorder="1" applyAlignment="1">
      <alignment horizontal="center" vertical="center" wrapText="1"/>
    </xf>
    <xf numFmtId="187" fontId="16" fillId="7" borderId="4" xfId="10" applyNumberFormat="1" applyFill="1" applyBorder="1" applyAlignment="1">
      <alignment horizontal="center" vertical="center"/>
    </xf>
    <xf numFmtId="2" fontId="19" fillId="6" borderId="4" xfId="13" applyNumberFormat="1" applyFont="1" applyFill="1" applyBorder="1" applyAlignment="1">
      <alignment horizontal="center" vertical="center" wrapText="1"/>
    </xf>
    <xf numFmtId="0" fontId="1" fillId="7" borderId="2" xfId="0" applyFont="1" applyFill="1" applyBorder="1" applyAlignment="1">
      <alignment horizontal="center" vertical="center" wrapText="1"/>
    </xf>
    <xf numFmtId="0" fontId="3" fillId="7" borderId="0" xfId="0" applyFont="1" applyFill="1" applyAlignment="1">
      <alignment vertical="center"/>
    </xf>
    <xf numFmtId="187" fontId="16" fillId="0" borderId="4" xfId="10" applyNumberFormat="1" applyBorder="1" applyAlignment="1">
      <alignment horizontal="center" vertical="center"/>
    </xf>
    <xf numFmtId="49" fontId="10" fillId="0" borderId="0" xfId="0" applyNumberFormat="1" applyFont="1" applyAlignment="1">
      <alignment horizontal="left" vertical="center"/>
    </xf>
    <xf numFmtId="49" fontId="14" fillId="0" borderId="0" xfId="0" applyNumberFormat="1" applyFont="1" applyAlignment="1">
      <alignment horizontal="left" vertical="center"/>
    </xf>
    <xf numFmtId="49" fontId="14" fillId="0" borderId="0" xfId="0" applyNumberFormat="1" applyFont="1"/>
    <xf numFmtId="2" fontId="27" fillId="0" borderId="0" xfId="11" applyNumberFormat="1" applyFont="1" applyAlignment="1">
      <alignment horizontal="center" vertical="center" wrapText="1"/>
    </xf>
    <xf numFmtId="49" fontId="13" fillId="0" borderId="0" xfId="0" applyNumberFormat="1" applyFont="1"/>
    <xf numFmtId="187" fontId="19" fillId="0" borderId="1" xfId="12" applyNumberFormat="1" applyFont="1" applyBorder="1" applyAlignment="1">
      <alignment horizontal="center" vertical="center"/>
    </xf>
    <xf numFmtId="2" fontId="21" fillId="0" borderId="4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/>
    </xf>
    <xf numFmtId="0" fontId="28" fillId="6" borderId="1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24" fillId="0" borderId="4" xfId="0" applyFont="1" applyBorder="1" applyAlignment="1">
      <alignment horizontal="center" vertical="center" wrapText="1"/>
    </xf>
    <xf numFmtId="0" fontId="24" fillId="7" borderId="8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87" fontId="27" fillId="0" borderId="1" xfId="11" applyNumberFormat="1" applyFont="1" applyBorder="1" applyAlignment="1">
      <alignment horizontal="center" vertical="center"/>
    </xf>
    <xf numFmtId="187" fontId="14" fillId="7" borderId="4" xfId="10" applyNumberFormat="1" applyFont="1" applyFill="1" applyBorder="1" applyAlignment="1">
      <alignment horizontal="center" vertical="center"/>
    </xf>
    <xf numFmtId="49" fontId="14" fillId="7" borderId="0" xfId="0" applyNumberFormat="1" applyFont="1" applyFill="1" applyAlignment="1">
      <alignment vertical="center"/>
    </xf>
    <xf numFmtId="0" fontId="29" fillId="2" borderId="1" xfId="0" applyFont="1" applyFill="1" applyBorder="1" applyAlignment="1">
      <alignment horizontal="center" vertical="center" wrapText="1"/>
    </xf>
    <xf numFmtId="0" fontId="5" fillId="0" borderId="9" xfId="0" applyFont="1" applyBorder="1" applyAlignment="1">
      <alignment vertical="center" wrapText="1"/>
    </xf>
    <xf numFmtId="0" fontId="5" fillId="0" borderId="10" xfId="0" applyFont="1" applyBorder="1" applyAlignment="1">
      <alignment vertical="center" wrapText="1"/>
    </xf>
    <xf numFmtId="0" fontId="21" fillId="0" borderId="4" xfId="0" applyFont="1" applyBorder="1" applyAlignment="1">
      <alignment horizontal="center" vertical="center" wrapText="1"/>
    </xf>
    <xf numFmtId="0" fontId="21" fillId="6" borderId="1" xfId="0" applyFont="1" applyFill="1" applyBorder="1" applyAlignment="1">
      <alignment horizontal="center" vertical="center" wrapText="1"/>
    </xf>
    <xf numFmtId="49" fontId="5" fillId="0" borderId="0" xfId="0" applyNumberFormat="1" applyFont="1" applyAlignment="1">
      <alignment vertical="center" wrapText="1"/>
    </xf>
    <xf numFmtId="2" fontId="31" fillId="0" borderId="1" xfId="0" applyNumberFormat="1" applyFont="1" applyBorder="1" applyAlignment="1">
      <alignment horizontal="center" vertical="center" wrapText="1"/>
    </xf>
    <xf numFmtId="187" fontId="32" fillId="7" borderId="4" xfId="10" applyNumberFormat="1" applyFont="1" applyFill="1" applyBorder="1" applyAlignment="1">
      <alignment horizontal="center" vertical="center"/>
    </xf>
    <xf numFmtId="0" fontId="31" fillId="0" borderId="1" xfId="0" applyFont="1" applyBorder="1" applyAlignment="1">
      <alignment horizontal="center" vertical="center" wrapText="1"/>
    </xf>
    <xf numFmtId="49" fontId="14" fillId="0" borderId="0" xfId="0" applyNumberFormat="1" applyFont="1" applyAlignment="1">
      <alignment horizontal="left"/>
    </xf>
    <xf numFmtId="49" fontId="5" fillId="0" borderId="0" xfId="0" applyNumberFormat="1" applyFont="1" applyAlignment="1">
      <alignment horizontal="left" vertical="top" wrapText="1"/>
    </xf>
    <xf numFmtId="49" fontId="14" fillId="0" borderId="0" xfId="0" quotePrefix="1" applyNumberFormat="1" applyFont="1" applyAlignment="1">
      <alignment vertical="center"/>
    </xf>
    <xf numFmtId="49" fontId="14" fillId="0" borderId="0" xfId="0" quotePrefix="1" applyNumberFormat="1" applyFont="1" applyAlignment="1">
      <alignment vertical="top"/>
    </xf>
    <xf numFmtId="49" fontId="14" fillId="0" borderId="0" xfId="0" applyNumberFormat="1" applyFont="1" applyAlignment="1">
      <alignment horizontal="left" vertical="top" wrapText="1"/>
    </xf>
    <xf numFmtId="49" fontId="13" fillId="0" borderId="0" xfId="0" quotePrefix="1" applyNumberFormat="1" applyFont="1" applyAlignment="1">
      <alignment vertical="center"/>
    </xf>
    <xf numFmtId="0" fontId="8" fillId="0" borderId="0" xfId="0" applyFont="1" applyAlignment="1">
      <alignment horizontal="center" vertical="center"/>
    </xf>
    <xf numFmtId="49" fontId="5" fillId="0" borderId="0" xfId="0" applyNumberFormat="1" applyFont="1" applyAlignment="1">
      <alignment horizontal="left" wrapText="1"/>
    </xf>
    <xf numFmtId="49" fontId="5" fillId="0" borderId="0" xfId="0" applyNumberFormat="1" applyFont="1" applyAlignment="1">
      <alignment horizontal="left" vertical="center" wrapText="1"/>
    </xf>
    <xf numFmtId="49" fontId="14" fillId="0" borderId="0" xfId="0" applyNumberFormat="1" applyFont="1" applyAlignment="1">
      <alignment horizontal="left" vertical="top" wrapText="1"/>
    </xf>
    <xf numFmtId="49" fontId="5" fillId="0" borderId="0" xfId="0" applyNumberFormat="1" applyFont="1" applyAlignment="1">
      <alignment horizontal="left" vertical="top" wrapText="1"/>
    </xf>
    <xf numFmtId="49" fontId="26" fillId="0" borderId="0" xfId="0" applyNumberFormat="1" applyFont="1" applyAlignment="1">
      <alignment horizontal="left" vertical="top" wrapText="1"/>
    </xf>
    <xf numFmtId="49" fontId="15" fillId="0" borderId="0" xfId="0" applyNumberFormat="1" applyFont="1" applyAlignment="1">
      <alignment horizontal="left" vertical="center"/>
    </xf>
    <xf numFmtId="49" fontId="8" fillId="0" borderId="0" xfId="0" applyNumberFormat="1" applyFont="1" applyAlignment="1">
      <alignment horizontal="center" vertical="center"/>
    </xf>
    <xf numFmtId="49" fontId="30" fillId="0" borderId="0" xfId="0" applyNumberFormat="1" applyFont="1" applyAlignment="1">
      <alignment horizontal="center" vertical="center"/>
    </xf>
    <xf numFmtId="49" fontId="10" fillId="0" borderId="0" xfId="0" applyNumberFormat="1" applyFont="1" applyAlignment="1">
      <alignment horizontal="left" vertical="center"/>
    </xf>
    <xf numFmtId="49" fontId="14" fillId="0" borderId="0" xfId="0" applyNumberFormat="1" applyFont="1" applyAlignment="1">
      <alignment horizontal="left" vertical="center"/>
    </xf>
    <xf numFmtId="49" fontId="14" fillId="7" borderId="0" xfId="0" applyNumberFormat="1" applyFont="1" applyFill="1" applyAlignment="1">
      <alignment horizontal="left" vertical="center"/>
    </xf>
  </cellXfs>
  <cellStyles count="18">
    <cellStyle name="Normal" xfId="0" builtinId="0"/>
    <cellStyle name="Normal_IPD November" xfId="12" xr:uid="{00000000-0005-0000-0000-000001000000}"/>
    <cellStyle name="Normal_IPD_1" xfId="13" xr:uid="{00000000-0005-0000-0000-000002000000}"/>
    <cellStyle name="Normal_OPD August" xfId="11" xr:uid="{00000000-0005-0000-0000-000003000000}"/>
    <cellStyle name="Normal_OPD July" xfId="10" xr:uid="{00000000-0005-0000-0000-000004000000}"/>
    <cellStyle name="Normal_OPD_1" xfId="14" xr:uid="{00000000-0005-0000-0000-000005000000}"/>
    <cellStyle name="style1683707694983" xfId="1" xr:uid="{00000000-0005-0000-0000-000006000000}"/>
    <cellStyle name="style1683707695268" xfId="2" xr:uid="{00000000-0005-0000-0000-000007000000}"/>
    <cellStyle name="style1683707695497" xfId="3" xr:uid="{00000000-0005-0000-0000-000008000000}"/>
    <cellStyle name="style1683873781043" xfId="4" xr:uid="{00000000-0005-0000-0000-000009000000}"/>
    <cellStyle name="style1683873781293" xfId="5" xr:uid="{00000000-0005-0000-0000-00000A000000}"/>
    <cellStyle name="style1683873781509" xfId="6" xr:uid="{00000000-0005-0000-0000-00000B000000}"/>
    <cellStyle name="style1690951585398" xfId="8" xr:uid="{00000000-0005-0000-0000-00000C000000}"/>
    <cellStyle name="style1690951585625" xfId="9" xr:uid="{00000000-0005-0000-0000-00000D000000}"/>
    <cellStyle name="style1690951585802" xfId="7" xr:uid="{00000000-0005-0000-0000-00000E000000}"/>
    <cellStyle name="ปกติ 2" xfId="16" xr:uid="{00000000-0005-0000-0000-00000F000000}"/>
    <cellStyle name="ปกติ 3" xfId="17" xr:uid="{00000000-0005-0000-0000-000010000000}"/>
    <cellStyle name="ปกติ 4" xfId="15" xr:uid="{00000000-0005-0000-0000-000011000000}"/>
  </cellStyles>
  <dxfs count="0"/>
  <tableStyles count="0" defaultTableStyle="TableStyleMedium2" defaultPivotStyle="PivotStyleLight16"/>
  <colors>
    <mruColors>
      <color rgb="FF33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15"/>
  <sheetViews>
    <sheetView zoomScale="90" zoomScaleNormal="90" zoomScaleSheetLayoutView="80" workbookViewId="0">
      <selection activeCell="R92" sqref="R92"/>
    </sheetView>
  </sheetViews>
  <sheetFormatPr defaultColWidth="9" defaultRowHeight="21"/>
  <cols>
    <col min="1" max="1" width="62.625" style="4" customWidth="1"/>
    <col min="2" max="2" width="10.75" style="4" customWidth="1"/>
    <col min="3" max="18" width="10.75" style="3" customWidth="1"/>
    <col min="19" max="16384" width="9" style="3"/>
  </cols>
  <sheetData>
    <row r="1" spans="1:18" s="13" customFormat="1" ht="49.7" customHeight="1">
      <c r="A1" s="98" t="s">
        <v>97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</row>
    <row r="2" spans="1:18" s="13" customFormat="1" ht="49.7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</row>
    <row r="3" spans="1:18" s="2" customFormat="1" ht="54.75" customHeight="1">
      <c r="A3" s="6" t="s">
        <v>0</v>
      </c>
      <c r="B3" s="83" t="s">
        <v>69</v>
      </c>
      <c r="C3" s="83" t="s">
        <v>71</v>
      </c>
      <c r="D3" s="83" t="s">
        <v>67</v>
      </c>
      <c r="E3" s="1" t="s">
        <v>2</v>
      </c>
      <c r="F3" s="1" t="s">
        <v>57</v>
      </c>
      <c r="G3" s="1" t="s">
        <v>63</v>
      </c>
      <c r="H3" s="1" t="s">
        <v>58</v>
      </c>
      <c r="I3" s="1" t="s">
        <v>3</v>
      </c>
      <c r="J3" s="1" t="s">
        <v>4</v>
      </c>
      <c r="K3" s="1" t="s">
        <v>60</v>
      </c>
      <c r="L3" s="1" t="s">
        <v>49</v>
      </c>
      <c r="M3" s="1" t="s">
        <v>43</v>
      </c>
      <c r="N3" s="1" t="s">
        <v>5</v>
      </c>
      <c r="O3" s="1" t="s">
        <v>64</v>
      </c>
      <c r="P3" s="1" t="s">
        <v>61</v>
      </c>
      <c r="Q3" s="1" t="s">
        <v>68</v>
      </c>
      <c r="R3" s="1" t="s">
        <v>54</v>
      </c>
    </row>
    <row r="4" spans="1:18" s="79" customFormat="1" ht="24.75" customHeight="1" thickBot="1">
      <c r="A4" s="76" t="s">
        <v>8</v>
      </c>
      <c r="B4" s="24">
        <v>2</v>
      </c>
      <c r="C4" s="77">
        <v>2</v>
      </c>
      <c r="D4" s="60" t="s">
        <v>65</v>
      </c>
      <c r="E4" s="78">
        <v>25</v>
      </c>
      <c r="F4" s="86">
        <v>35</v>
      </c>
      <c r="G4" s="86">
        <v>9</v>
      </c>
      <c r="H4" s="60">
        <v>2</v>
      </c>
      <c r="I4" s="77">
        <v>107</v>
      </c>
      <c r="J4" s="60" t="s">
        <v>65</v>
      </c>
      <c r="K4" s="77">
        <v>10</v>
      </c>
      <c r="L4" s="77">
        <v>26</v>
      </c>
      <c r="M4" s="77">
        <v>72</v>
      </c>
      <c r="N4" s="77">
        <v>109</v>
      </c>
      <c r="O4" s="77">
        <v>1</v>
      </c>
      <c r="P4" s="60" t="s">
        <v>65</v>
      </c>
      <c r="Q4" s="60" t="s">
        <v>65</v>
      </c>
      <c r="R4" s="60">
        <v>1</v>
      </c>
    </row>
    <row r="5" spans="1:18" s="2" customFormat="1" ht="24" customHeight="1" thickBot="1">
      <c r="A5" s="84" t="s">
        <v>73</v>
      </c>
      <c r="B5" s="23">
        <v>4.5</v>
      </c>
      <c r="C5" s="73">
        <v>1.5</v>
      </c>
      <c r="D5" s="86" t="s">
        <v>65</v>
      </c>
      <c r="E5" s="29">
        <v>4.5199999999999996</v>
      </c>
      <c r="F5" s="73">
        <v>4.4285714285714288</v>
      </c>
      <c r="G5" s="23">
        <v>2.7777777777777777</v>
      </c>
      <c r="H5" s="73">
        <v>4.5</v>
      </c>
      <c r="I5" s="19">
        <v>4.1962616822429917</v>
      </c>
      <c r="J5" s="86" t="s">
        <v>65</v>
      </c>
      <c r="K5" s="19">
        <v>4.1999999999999993</v>
      </c>
      <c r="L5" s="19">
        <v>4.4230769230769234</v>
      </c>
      <c r="M5" s="19">
        <v>4.416666666666667</v>
      </c>
      <c r="N5" s="19">
        <v>4.2752293577981657</v>
      </c>
      <c r="O5" s="23">
        <v>5</v>
      </c>
      <c r="P5" s="86" t="s">
        <v>65</v>
      </c>
      <c r="Q5" s="86" t="s">
        <v>65</v>
      </c>
      <c r="R5" s="86">
        <v>5</v>
      </c>
    </row>
    <row r="6" spans="1:18" s="2" customFormat="1" ht="24" customHeight="1" thickBot="1">
      <c r="A6" s="85" t="s">
        <v>74</v>
      </c>
      <c r="B6" s="23">
        <v>4</v>
      </c>
      <c r="C6" s="73">
        <v>3.5</v>
      </c>
      <c r="D6" s="86" t="s">
        <v>65</v>
      </c>
      <c r="E6" s="29">
        <v>4.5199999999999996</v>
      </c>
      <c r="F6" s="73">
        <v>4.3714285714285719</v>
      </c>
      <c r="G6" s="23">
        <v>2.5555555555555554</v>
      </c>
      <c r="H6" s="73">
        <v>4.5</v>
      </c>
      <c r="I6" s="19">
        <v>4.1775700934579438</v>
      </c>
      <c r="J6" s="86" t="s">
        <v>65</v>
      </c>
      <c r="K6" s="19">
        <v>4.1999999999999993</v>
      </c>
      <c r="L6" s="19">
        <v>4.2692307692307683</v>
      </c>
      <c r="M6" s="19">
        <v>4.5555555555555545</v>
      </c>
      <c r="N6" s="19">
        <v>4.3761467889908259</v>
      </c>
      <c r="O6" s="23">
        <v>5</v>
      </c>
      <c r="P6" s="86" t="s">
        <v>65</v>
      </c>
      <c r="Q6" s="86" t="s">
        <v>65</v>
      </c>
      <c r="R6" s="86">
        <v>5</v>
      </c>
    </row>
    <row r="7" spans="1:18" s="2" customFormat="1" ht="24" customHeight="1" thickBot="1">
      <c r="A7" s="85" t="s">
        <v>75</v>
      </c>
      <c r="B7" s="23">
        <v>4</v>
      </c>
      <c r="C7" s="73">
        <v>3.5</v>
      </c>
      <c r="D7" s="86" t="s">
        <v>65</v>
      </c>
      <c r="E7" s="29">
        <v>4.4400000000000013</v>
      </c>
      <c r="F7" s="73">
        <v>4.3142857142857132</v>
      </c>
      <c r="G7" s="23">
        <v>2.4444444444444446</v>
      </c>
      <c r="H7" s="73">
        <v>4.5</v>
      </c>
      <c r="I7" s="19">
        <v>4.1775700934579438</v>
      </c>
      <c r="J7" s="86" t="s">
        <v>65</v>
      </c>
      <c r="K7" s="19">
        <v>4.3</v>
      </c>
      <c r="L7" s="19">
        <v>4.3076923076923075</v>
      </c>
      <c r="M7" s="19">
        <v>4.5416666666666679</v>
      </c>
      <c r="N7" s="19">
        <v>4.3669724770642215</v>
      </c>
      <c r="O7" s="23">
        <v>5</v>
      </c>
      <c r="P7" s="86" t="s">
        <v>65</v>
      </c>
      <c r="Q7" s="86" t="s">
        <v>65</v>
      </c>
      <c r="R7" s="86">
        <v>5</v>
      </c>
    </row>
    <row r="8" spans="1:18" s="2" customFormat="1" ht="24" customHeight="1" thickBot="1">
      <c r="A8" s="85" t="s">
        <v>76</v>
      </c>
      <c r="B8" s="23">
        <v>4.5</v>
      </c>
      <c r="C8" s="73">
        <v>3.5</v>
      </c>
      <c r="D8" s="86" t="s">
        <v>65</v>
      </c>
      <c r="E8" s="29">
        <v>4.4400000000000013</v>
      </c>
      <c r="F8" s="73">
        <v>4.3142857142857141</v>
      </c>
      <c r="G8" s="23">
        <v>2.4444444444444446</v>
      </c>
      <c r="H8" s="73">
        <v>4.5</v>
      </c>
      <c r="I8" s="19">
        <v>4.1028037383177551</v>
      </c>
      <c r="J8" s="86" t="s">
        <v>65</v>
      </c>
      <c r="K8" s="19">
        <v>4.3</v>
      </c>
      <c r="L8" s="19">
        <v>4.3846153846153832</v>
      </c>
      <c r="M8" s="19">
        <v>4.5694444444444446</v>
      </c>
      <c r="N8" s="19">
        <v>4.3211009174311927</v>
      </c>
      <c r="O8" s="23">
        <v>5</v>
      </c>
      <c r="P8" s="86" t="s">
        <v>65</v>
      </c>
      <c r="Q8" s="86" t="s">
        <v>65</v>
      </c>
      <c r="R8" s="86">
        <v>5</v>
      </c>
    </row>
    <row r="9" spans="1:18" s="2" customFormat="1" ht="24" customHeight="1" thickBot="1">
      <c r="A9" s="85" t="s">
        <v>77</v>
      </c>
      <c r="B9" s="23">
        <v>4.5</v>
      </c>
      <c r="C9" s="73">
        <v>1.5</v>
      </c>
      <c r="D9" s="86" t="s">
        <v>65</v>
      </c>
      <c r="E9" s="29">
        <v>4.1999999999999993</v>
      </c>
      <c r="F9" s="73">
        <v>4.2</v>
      </c>
      <c r="G9" s="23">
        <v>2.2222222222222223</v>
      </c>
      <c r="H9" s="73">
        <v>4.5</v>
      </c>
      <c r="I9" s="19">
        <v>3.8785046728971961</v>
      </c>
      <c r="J9" s="86" t="s">
        <v>65</v>
      </c>
      <c r="K9" s="19">
        <v>3.4000000000000004</v>
      </c>
      <c r="L9" s="19">
        <v>4.4230769230769234</v>
      </c>
      <c r="M9" s="19">
        <v>4.4305555555555554</v>
      </c>
      <c r="N9" s="19">
        <v>4.1834862385321117</v>
      </c>
      <c r="O9" s="23">
        <v>5</v>
      </c>
      <c r="P9" s="86" t="s">
        <v>65</v>
      </c>
      <c r="Q9" s="86" t="s">
        <v>65</v>
      </c>
      <c r="R9" s="86">
        <v>5</v>
      </c>
    </row>
    <row r="10" spans="1:18" s="2" customFormat="1" ht="24" customHeight="1" thickBot="1">
      <c r="A10" s="85" t="s">
        <v>78</v>
      </c>
      <c r="B10" s="23">
        <v>4</v>
      </c>
      <c r="C10" s="73">
        <v>1.5</v>
      </c>
      <c r="D10" s="86" t="s">
        <v>65</v>
      </c>
      <c r="E10" s="29">
        <v>4.4400000000000013</v>
      </c>
      <c r="F10" s="73">
        <v>4.2571428571428562</v>
      </c>
      <c r="G10" s="23">
        <v>2.2222222222222223</v>
      </c>
      <c r="H10" s="73">
        <v>4.5</v>
      </c>
      <c r="I10" s="19">
        <v>4.018691588785047</v>
      </c>
      <c r="J10" s="86" t="s">
        <v>65</v>
      </c>
      <c r="K10" s="19">
        <v>3.5</v>
      </c>
      <c r="L10" s="19">
        <v>4.6538461538461533</v>
      </c>
      <c r="M10" s="19">
        <v>4.5000000000000009</v>
      </c>
      <c r="N10" s="19">
        <v>4.3761467889908277</v>
      </c>
      <c r="O10" s="23">
        <v>5</v>
      </c>
      <c r="P10" s="86" t="s">
        <v>65</v>
      </c>
      <c r="Q10" s="86" t="s">
        <v>65</v>
      </c>
      <c r="R10" s="86">
        <v>5</v>
      </c>
    </row>
    <row r="11" spans="1:18" s="2" customFormat="1" ht="24" customHeight="1" thickBot="1">
      <c r="A11" s="85" t="s">
        <v>79</v>
      </c>
      <c r="B11" s="23">
        <v>4.5</v>
      </c>
      <c r="C11" s="73">
        <v>1.5</v>
      </c>
      <c r="D11" s="86" t="s">
        <v>65</v>
      </c>
      <c r="E11" s="29">
        <v>4.4000000000000004</v>
      </c>
      <c r="F11" s="73">
        <v>4.2857142857142856</v>
      </c>
      <c r="G11" s="23">
        <v>2</v>
      </c>
      <c r="H11" s="73">
        <v>4.5</v>
      </c>
      <c r="I11" s="19">
        <v>3.9158878504672905</v>
      </c>
      <c r="J11" s="86" t="s">
        <v>65</v>
      </c>
      <c r="K11" s="19">
        <v>3.6999999999999997</v>
      </c>
      <c r="L11" s="19">
        <v>4.6923076923076916</v>
      </c>
      <c r="M11" s="19">
        <v>4.4861111111111116</v>
      </c>
      <c r="N11" s="19">
        <v>4.3119266055045875</v>
      </c>
      <c r="O11" s="23">
        <v>5</v>
      </c>
      <c r="P11" s="86" t="s">
        <v>65</v>
      </c>
      <c r="Q11" s="86" t="s">
        <v>65</v>
      </c>
      <c r="R11" s="86">
        <v>5</v>
      </c>
    </row>
    <row r="12" spans="1:18" s="2" customFormat="1" ht="24" customHeight="1" thickBot="1">
      <c r="A12" s="85" t="s">
        <v>80</v>
      </c>
      <c r="B12" s="23">
        <v>5</v>
      </c>
      <c r="C12" s="73">
        <v>3.5</v>
      </c>
      <c r="D12" s="86" t="s">
        <v>65</v>
      </c>
      <c r="E12" s="29">
        <v>4.4000000000000004</v>
      </c>
      <c r="F12" s="73">
        <v>4.3142857142857132</v>
      </c>
      <c r="G12" s="23">
        <v>2.5555555555555554</v>
      </c>
      <c r="H12" s="73">
        <v>4.5</v>
      </c>
      <c r="I12" s="19">
        <v>4.0373831775700912</v>
      </c>
      <c r="J12" s="86" t="s">
        <v>65</v>
      </c>
      <c r="K12" s="19">
        <v>3.9</v>
      </c>
      <c r="L12" s="19">
        <v>4.4230769230769234</v>
      </c>
      <c r="M12" s="19">
        <v>4.5000000000000009</v>
      </c>
      <c r="N12" s="19">
        <v>4.28440366972477</v>
      </c>
      <c r="O12" s="23">
        <v>5</v>
      </c>
      <c r="P12" s="86" t="s">
        <v>65</v>
      </c>
      <c r="Q12" s="86" t="s">
        <v>65</v>
      </c>
      <c r="R12" s="86">
        <v>5</v>
      </c>
    </row>
    <row r="13" spans="1:18" s="2" customFormat="1" ht="24" customHeight="1" thickBot="1">
      <c r="A13" s="85" t="s">
        <v>81</v>
      </c>
      <c r="B13" s="23">
        <v>5</v>
      </c>
      <c r="C13" s="73">
        <v>1.5</v>
      </c>
      <c r="D13" s="86" t="s">
        <v>65</v>
      </c>
      <c r="E13" s="29">
        <v>4.4800000000000004</v>
      </c>
      <c r="F13" s="73">
        <v>4.3142857142857149</v>
      </c>
      <c r="G13" s="23">
        <v>2.4444444444444446</v>
      </c>
      <c r="H13" s="73">
        <v>4.5</v>
      </c>
      <c r="I13" s="19">
        <v>4.1121495327102782</v>
      </c>
      <c r="J13" s="86" t="s">
        <v>65</v>
      </c>
      <c r="K13" s="19">
        <v>4</v>
      </c>
      <c r="L13" s="19">
        <v>4.6153846153846159</v>
      </c>
      <c r="M13" s="19">
        <v>4.5694444444444446</v>
      </c>
      <c r="N13" s="19">
        <v>4.3669724770642215</v>
      </c>
      <c r="O13" s="23">
        <v>5</v>
      </c>
      <c r="P13" s="86" t="s">
        <v>65</v>
      </c>
      <c r="Q13" s="86" t="s">
        <v>65</v>
      </c>
      <c r="R13" s="86">
        <v>5</v>
      </c>
    </row>
    <row r="14" spans="1:18" s="2" customFormat="1" ht="24" customHeight="1" thickBot="1">
      <c r="A14" s="85" t="s">
        <v>82</v>
      </c>
      <c r="B14" s="23">
        <v>4.5</v>
      </c>
      <c r="C14" s="73">
        <v>1.5</v>
      </c>
      <c r="D14" s="86" t="s">
        <v>65</v>
      </c>
      <c r="E14" s="29">
        <v>4.5600000000000005</v>
      </c>
      <c r="F14" s="73">
        <v>4.3428571428571425</v>
      </c>
      <c r="G14" s="23">
        <v>2.6666666666666665</v>
      </c>
      <c r="H14" s="73">
        <v>4.5</v>
      </c>
      <c r="I14" s="19">
        <v>4.0467289719626178</v>
      </c>
      <c r="J14" s="86" t="s">
        <v>65</v>
      </c>
      <c r="K14" s="19">
        <v>4.1999999999999993</v>
      </c>
      <c r="L14" s="19">
        <v>4.6538461538461542</v>
      </c>
      <c r="M14" s="19">
        <v>4.5694444444444455</v>
      </c>
      <c r="N14" s="19">
        <v>4.3302752293577988</v>
      </c>
      <c r="O14" s="23">
        <v>5</v>
      </c>
      <c r="P14" s="86" t="s">
        <v>65</v>
      </c>
      <c r="Q14" s="86" t="s">
        <v>65</v>
      </c>
      <c r="R14" s="86">
        <v>5</v>
      </c>
    </row>
    <row r="15" spans="1:18" s="2" customFormat="1" ht="24" customHeight="1" thickBot="1">
      <c r="A15" s="85" t="s">
        <v>83</v>
      </c>
      <c r="B15" s="23">
        <v>4.5</v>
      </c>
      <c r="C15" s="73">
        <v>2</v>
      </c>
      <c r="D15" s="86" t="s">
        <v>65</v>
      </c>
      <c r="E15" s="29">
        <v>4.5600000000000005</v>
      </c>
      <c r="F15" s="73">
        <v>4.3142857142857132</v>
      </c>
      <c r="G15" s="23">
        <v>2.2222222222222223</v>
      </c>
      <c r="H15" s="73">
        <v>4.5</v>
      </c>
      <c r="I15" s="19">
        <v>4.05607476635514</v>
      </c>
      <c r="J15" s="86" t="s">
        <v>65</v>
      </c>
      <c r="K15" s="19">
        <v>4.0999999999999996</v>
      </c>
      <c r="L15" s="19">
        <v>4.6538461538461542</v>
      </c>
      <c r="M15" s="19">
        <v>4.5833333333333313</v>
      </c>
      <c r="N15" s="19">
        <v>4.3394495412844023</v>
      </c>
      <c r="O15" s="23">
        <v>5</v>
      </c>
      <c r="P15" s="86" t="s">
        <v>65</v>
      </c>
      <c r="Q15" s="86" t="s">
        <v>65</v>
      </c>
      <c r="R15" s="86">
        <v>5</v>
      </c>
    </row>
    <row r="16" spans="1:18" s="2" customFormat="1" ht="24" customHeight="1" thickBot="1">
      <c r="A16" s="85" t="s">
        <v>84</v>
      </c>
      <c r="B16" s="23">
        <v>5</v>
      </c>
      <c r="C16" s="73">
        <v>3.5</v>
      </c>
      <c r="D16" s="86" t="s">
        <v>65</v>
      </c>
      <c r="E16" s="29">
        <v>4.5200000000000005</v>
      </c>
      <c r="F16" s="73">
        <v>4.5142857142857142</v>
      </c>
      <c r="G16" s="23">
        <v>2.5555555555555554</v>
      </c>
      <c r="H16" s="73">
        <v>4.5</v>
      </c>
      <c r="I16" s="19">
        <v>4.1028037383177569</v>
      </c>
      <c r="J16" s="86" t="s">
        <v>65</v>
      </c>
      <c r="K16" s="19">
        <v>3.9</v>
      </c>
      <c r="L16" s="19">
        <v>4.4230769230769234</v>
      </c>
      <c r="M16" s="19">
        <v>4.4999999999999982</v>
      </c>
      <c r="N16" s="19">
        <v>4.3486238532110111</v>
      </c>
      <c r="O16" s="23">
        <v>5</v>
      </c>
      <c r="P16" s="86" t="s">
        <v>65</v>
      </c>
      <c r="Q16" s="86" t="s">
        <v>65</v>
      </c>
      <c r="R16" s="86">
        <v>5</v>
      </c>
    </row>
    <row r="17" spans="1:18" s="2" customFormat="1" ht="24" customHeight="1" thickBot="1">
      <c r="A17" s="85" t="s">
        <v>85</v>
      </c>
      <c r="B17" s="23">
        <v>4.5</v>
      </c>
      <c r="C17" s="73">
        <v>3.5</v>
      </c>
      <c r="D17" s="86" t="s">
        <v>65</v>
      </c>
      <c r="E17" s="29">
        <v>4.5199999999999996</v>
      </c>
      <c r="F17" s="73">
        <v>4.3142857142857141</v>
      </c>
      <c r="G17" s="23">
        <v>2.5555555555555554</v>
      </c>
      <c r="H17" s="73">
        <v>4.5</v>
      </c>
      <c r="I17" s="19">
        <v>4.0841121495327117</v>
      </c>
      <c r="J17" s="86" t="s">
        <v>65</v>
      </c>
      <c r="K17" s="19">
        <v>4.1999999999999993</v>
      </c>
      <c r="L17" s="19">
        <v>4.5</v>
      </c>
      <c r="M17" s="19">
        <v>4.4999999999999982</v>
      </c>
      <c r="N17" s="19">
        <v>4.3486238532110111</v>
      </c>
      <c r="O17" s="23">
        <v>5</v>
      </c>
      <c r="P17" s="86" t="s">
        <v>65</v>
      </c>
      <c r="Q17" s="86" t="s">
        <v>65</v>
      </c>
      <c r="R17" s="86">
        <v>5</v>
      </c>
    </row>
    <row r="18" spans="1:18" s="2" customFormat="1" ht="24" customHeight="1" thickBot="1">
      <c r="A18" s="85" t="s">
        <v>86</v>
      </c>
      <c r="B18" s="23">
        <v>4.5</v>
      </c>
      <c r="C18" s="73">
        <v>3</v>
      </c>
      <c r="D18" s="86" t="s">
        <v>65</v>
      </c>
      <c r="E18" s="29">
        <v>4.4800000000000004</v>
      </c>
      <c r="F18" s="73">
        <v>4.2857142857142865</v>
      </c>
      <c r="G18" s="23">
        <v>2.6666666666666665</v>
      </c>
      <c r="H18" s="73">
        <v>4.5</v>
      </c>
      <c r="I18" s="19">
        <v>4.0560747663551409</v>
      </c>
      <c r="J18" s="86" t="s">
        <v>65</v>
      </c>
      <c r="K18" s="19">
        <v>4.1999999999999993</v>
      </c>
      <c r="L18" s="19">
        <v>4.5769230769230766</v>
      </c>
      <c r="M18" s="19">
        <v>4.4722222222222214</v>
      </c>
      <c r="N18" s="19">
        <v>4.3669724770642198</v>
      </c>
      <c r="O18" s="23">
        <v>5</v>
      </c>
      <c r="P18" s="86" t="s">
        <v>65</v>
      </c>
      <c r="Q18" s="86" t="s">
        <v>65</v>
      </c>
      <c r="R18" s="86">
        <v>5</v>
      </c>
    </row>
    <row r="19" spans="1:18" s="2" customFormat="1" ht="24" customHeight="1" thickBot="1">
      <c r="A19" s="85" t="s">
        <v>87</v>
      </c>
      <c r="B19" s="23">
        <v>5</v>
      </c>
      <c r="C19" s="73">
        <v>1.5</v>
      </c>
      <c r="D19" s="86" t="s">
        <v>65</v>
      </c>
      <c r="E19" s="29">
        <v>4.5600000000000014</v>
      </c>
      <c r="F19" s="73">
        <v>4.2285714285714295</v>
      </c>
      <c r="G19" s="23">
        <v>2.4444444444444446</v>
      </c>
      <c r="H19" s="73">
        <v>4.5</v>
      </c>
      <c r="I19" s="19">
        <v>4.1028037383177542</v>
      </c>
      <c r="J19" s="86" t="s">
        <v>65</v>
      </c>
      <c r="K19" s="19">
        <v>4.1999999999999993</v>
      </c>
      <c r="L19" s="19">
        <v>4.5384615384615383</v>
      </c>
      <c r="M19" s="19">
        <v>4.5416666666666679</v>
      </c>
      <c r="N19" s="19">
        <v>4.4220183486238538</v>
      </c>
      <c r="O19" s="23">
        <v>5</v>
      </c>
      <c r="P19" s="86" t="s">
        <v>65</v>
      </c>
      <c r="Q19" s="86" t="s">
        <v>65</v>
      </c>
      <c r="R19" s="86">
        <v>5</v>
      </c>
    </row>
    <row r="20" spans="1:18" s="2" customFormat="1" ht="24" customHeight="1" thickBot="1">
      <c r="A20" s="85" t="s">
        <v>88</v>
      </c>
      <c r="B20" s="23">
        <v>4.5</v>
      </c>
      <c r="C20" s="73">
        <v>1.5</v>
      </c>
      <c r="D20" s="86" t="s">
        <v>65</v>
      </c>
      <c r="E20" s="29">
        <v>4.4800000000000004</v>
      </c>
      <c r="F20" s="73">
        <v>4.3142857142857141</v>
      </c>
      <c r="G20" s="23">
        <v>2.1111111111111112</v>
      </c>
      <c r="H20" s="73">
        <v>4.5</v>
      </c>
      <c r="I20" s="19">
        <v>4.1121495327102799</v>
      </c>
      <c r="J20" s="86" t="s">
        <v>65</v>
      </c>
      <c r="K20" s="19">
        <v>3.6</v>
      </c>
      <c r="L20" s="19">
        <v>4.5769230769230766</v>
      </c>
      <c r="M20" s="19">
        <v>4.6249999999999991</v>
      </c>
      <c r="N20" s="19">
        <v>4.4770642201834852</v>
      </c>
      <c r="O20" s="23">
        <v>5</v>
      </c>
      <c r="P20" s="86" t="s">
        <v>65</v>
      </c>
      <c r="Q20" s="86" t="s">
        <v>65</v>
      </c>
      <c r="R20" s="86">
        <v>5</v>
      </c>
    </row>
    <row r="21" spans="1:18" s="2" customFormat="1" ht="24" customHeight="1">
      <c r="A21" s="15" t="s">
        <v>9</v>
      </c>
      <c r="B21" s="23">
        <v>4.53125</v>
      </c>
      <c r="C21" s="73">
        <v>2.375</v>
      </c>
      <c r="D21" s="86" t="s">
        <v>65</v>
      </c>
      <c r="E21" s="29">
        <v>4.4700000000000015</v>
      </c>
      <c r="F21" s="73">
        <v>4.3196428571428571</v>
      </c>
      <c r="G21" s="23">
        <v>2.4305555555555554</v>
      </c>
      <c r="H21" s="73">
        <v>4.5</v>
      </c>
      <c r="I21" s="19">
        <v>4.0735981308411207</v>
      </c>
      <c r="J21" s="86" t="s">
        <v>65</v>
      </c>
      <c r="K21" s="19">
        <v>3.9937499999999999</v>
      </c>
      <c r="L21" s="19">
        <v>4.5072115384615383</v>
      </c>
      <c r="M21" s="19">
        <v>4.5225694444444446</v>
      </c>
      <c r="N21" s="19">
        <v>4.3434633027522942</v>
      </c>
      <c r="O21" s="23">
        <v>5</v>
      </c>
      <c r="P21" s="86" t="s">
        <v>65</v>
      </c>
      <c r="Q21" s="86" t="s">
        <v>65</v>
      </c>
      <c r="R21" s="86">
        <v>5</v>
      </c>
    </row>
    <row r="22" spans="1:18" s="2" customFormat="1" ht="24.75" customHeight="1">
      <c r="A22" s="8" t="s">
        <v>10</v>
      </c>
      <c r="B22" s="62">
        <f t="shared" ref="B22:O22" si="0">B21*20</f>
        <v>90.625</v>
      </c>
      <c r="C22" s="62">
        <f t="shared" si="0"/>
        <v>47.5</v>
      </c>
      <c r="D22" s="86" t="s">
        <v>65</v>
      </c>
      <c r="E22" s="62">
        <f t="shared" si="0"/>
        <v>89.400000000000034</v>
      </c>
      <c r="F22" s="62">
        <f t="shared" si="0"/>
        <v>86.392857142857139</v>
      </c>
      <c r="G22" s="62">
        <f t="shared" si="0"/>
        <v>48.611111111111107</v>
      </c>
      <c r="H22" s="62">
        <f t="shared" si="0"/>
        <v>90</v>
      </c>
      <c r="I22" s="62">
        <f t="shared" si="0"/>
        <v>81.47196261682241</v>
      </c>
      <c r="J22" s="86" t="s">
        <v>65</v>
      </c>
      <c r="K22" s="62">
        <f t="shared" si="0"/>
        <v>79.875</v>
      </c>
      <c r="L22" s="62">
        <f>L21*20</f>
        <v>90.144230769230774</v>
      </c>
      <c r="M22" s="62">
        <f t="shared" si="0"/>
        <v>90.451388888888886</v>
      </c>
      <c r="N22" s="62">
        <f t="shared" si="0"/>
        <v>86.869266055045884</v>
      </c>
      <c r="O22" s="62">
        <f t="shared" si="0"/>
        <v>100</v>
      </c>
      <c r="P22" s="86" t="s">
        <v>65</v>
      </c>
      <c r="Q22" s="86" t="s">
        <v>65</v>
      </c>
      <c r="R22" s="62">
        <f>O21*20</f>
        <v>100</v>
      </c>
    </row>
    <row r="23" spans="1:18">
      <c r="A23" s="16" t="s">
        <v>44</v>
      </c>
      <c r="B23" s="61">
        <v>100</v>
      </c>
      <c r="C23" s="21">
        <v>50</v>
      </c>
      <c r="D23" s="87" t="s">
        <v>66</v>
      </c>
      <c r="E23" s="61">
        <v>96</v>
      </c>
      <c r="F23" s="21">
        <v>97.142857142857139</v>
      </c>
      <c r="G23" s="61">
        <v>44.444444444444443</v>
      </c>
      <c r="H23" s="87">
        <v>100</v>
      </c>
      <c r="I23" s="61">
        <v>97.196261682242991</v>
      </c>
      <c r="J23" s="87" t="s">
        <v>66</v>
      </c>
      <c r="K23" s="61">
        <v>70</v>
      </c>
      <c r="L23" s="61">
        <v>92.307692307692307</v>
      </c>
      <c r="M23" s="61">
        <v>98.611111111111114</v>
      </c>
      <c r="N23" s="61">
        <v>99.082568807339456</v>
      </c>
      <c r="O23" s="61">
        <v>100</v>
      </c>
      <c r="P23" s="87" t="s">
        <v>66</v>
      </c>
      <c r="Q23" s="87" t="s">
        <v>66</v>
      </c>
      <c r="R23" s="61">
        <v>100</v>
      </c>
    </row>
    <row r="25" spans="1:18" ht="24" customHeight="1"/>
    <row r="26" spans="1:18" ht="59.25" customHeight="1">
      <c r="A26" s="6" t="s">
        <v>0</v>
      </c>
      <c r="B26" s="1" t="s">
        <v>93</v>
      </c>
      <c r="C26" s="1" t="s">
        <v>6</v>
      </c>
      <c r="D26" s="1" t="s">
        <v>7</v>
      </c>
      <c r="E26" s="1" t="s">
        <v>56</v>
      </c>
      <c r="F26" s="1" t="s">
        <v>62</v>
      </c>
      <c r="G26" s="1" t="s">
        <v>59</v>
      </c>
      <c r="H26" s="1" t="s">
        <v>94</v>
      </c>
      <c r="I26" s="1" t="s">
        <v>11</v>
      </c>
      <c r="J26" s="1" t="s">
        <v>45</v>
      </c>
      <c r="K26" s="1" t="s">
        <v>70</v>
      </c>
      <c r="L26" s="1" t="s">
        <v>50</v>
      </c>
      <c r="M26" s="1" t="s">
        <v>55</v>
      </c>
      <c r="N26" s="1" t="s">
        <v>1</v>
      </c>
      <c r="O26" s="1" t="s">
        <v>35</v>
      </c>
      <c r="P26" s="1" t="s">
        <v>72</v>
      </c>
      <c r="Q26" s="1" t="s">
        <v>95</v>
      </c>
    </row>
    <row r="27" spans="1:18" s="25" customFormat="1" ht="24" customHeight="1" thickBot="1">
      <c r="A27" s="8" t="s">
        <v>8</v>
      </c>
      <c r="B27" s="60">
        <v>15</v>
      </c>
      <c r="C27" s="60">
        <v>18</v>
      </c>
      <c r="D27" s="24">
        <v>7</v>
      </c>
      <c r="E27" s="24">
        <v>37</v>
      </c>
      <c r="F27" s="60">
        <v>6</v>
      </c>
      <c r="G27" s="24">
        <v>36</v>
      </c>
      <c r="H27" s="24">
        <v>20</v>
      </c>
      <c r="I27" s="60">
        <v>82</v>
      </c>
      <c r="J27" s="24">
        <v>19</v>
      </c>
      <c r="K27" s="60">
        <v>1</v>
      </c>
      <c r="L27" s="24">
        <v>18</v>
      </c>
      <c r="M27" s="24">
        <v>42</v>
      </c>
      <c r="N27" s="24">
        <v>2</v>
      </c>
      <c r="O27" s="24">
        <v>98</v>
      </c>
      <c r="P27" s="60" t="s">
        <v>65</v>
      </c>
      <c r="Q27" s="60" t="s">
        <v>65</v>
      </c>
    </row>
    <row r="28" spans="1:18" ht="24" customHeight="1" thickBot="1">
      <c r="A28" s="84" t="s">
        <v>73</v>
      </c>
      <c r="B28" s="73">
        <v>4.6000000000000005</v>
      </c>
      <c r="C28" s="73">
        <v>4.5000000000000009</v>
      </c>
      <c r="D28" s="19">
        <v>4.4285714285714288</v>
      </c>
      <c r="E28" s="23">
        <v>4.4324324324324298</v>
      </c>
      <c r="F28" s="73">
        <v>5</v>
      </c>
      <c r="G28" s="19">
        <v>4.7499999999999991</v>
      </c>
      <c r="H28" s="19">
        <v>4.4499999999999984</v>
      </c>
      <c r="I28" s="73">
        <v>4.5243902439024408</v>
      </c>
      <c r="J28" s="19">
        <v>4.5789473684210531</v>
      </c>
      <c r="K28" s="73">
        <v>4</v>
      </c>
      <c r="L28" s="23">
        <v>4.3333333333333321</v>
      </c>
      <c r="M28" s="19">
        <v>3.6428571428571428</v>
      </c>
      <c r="N28" s="23">
        <v>3.5</v>
      </c>
      <c r="O28" s="23">
        <v>4.3061224489795897</v>
      </c>
      <c r="P28" s="86" t="s">
        <v>65</v>
      </c>
      <c r="Q28" s="86" t="s">
        <v>65</v>
      </c>
    </row>
    <row r="29" spans="1:18" ht="24" customHeight="1" thickBot="1">
      <c r="A29" s="85" t="s">
        <v>74</v>
      </c>
      <c r="B29" s="73">
        <v>4.4666666666666659</v>
      </c>
      <c r="C29" s="73">
        <v>4.6666666666666661</v>
      </c>
      <c r="D29" s="19">
        <v>4.5714285714285712</v>
      </c>
      <c r="E29" s="23">
        <v>4.4054054054054044</v>
      </c>
      <c r="F29" s="73">
        <v>5</v>
      </c>
      <c r="G29" s="19">
        <v>4.7777777777777777</v>
      </c>
      <c r="H29" s="19">
        <v>4.5999999999999996</v>
      </c>
      <c r="I29" s="73">
        <v>4.4756097560975592</v>
      </c>
      <c r="J29" s="19">
        <v>4.5789473684210513</v>
      </c>
      <c r="K29" s="73">
        <v>4</v>
      </c>
      <c r="L29" s="23">
        <v>4.2222222222222223</v>
      </c>
      <c r="M29" s="19">
        <v>3.6904761904761898</v>
      </c>
      <c r="N29" s="23">
        <v>3</v>
      </c>
      <c r="O29" s="23">
        <v>4.3571428571428568</v>
      </c>
      <c r="P29" s="86" t="s">
        <v>65</v>
      </c>
      <c r="Q29" s="86" t="s">
        <v>65</v>
      </c>
    </row>
    <row r="30" spans="1:18" ht="24" customHeight="1" thickBot="1">
      <c r="A30" s="85" t="s">
        <v>75</v>
      </c>
      <c r="B30" s="73">
        <v>4.5333333333333332</v>
      </c>
      <c r="C30" s="73">
        <v>4.5000000000000009</v>
      </c>
      <c r="D30" s="19">
        <v>4.5714285714285712</v>
      </c>
      <c r="E30" s="23">
        <v>4.4324324324324307</v>
      </c>
      <c r="F30" s="73">
        <v>5</v>
      </c>
      <c r="G30" s="19">
        <v>4.8055555555555554</v>
      </c>
      <c r="H30" s="19">
        <v>4.5999999999999996</v>
      </c>
      <c r="I30" s="73">
        <v>4.475609756097561</v>
      </c>
      <c r="J30" s="19">
        <v>4.5263157894736832</v>
      </c>
      <c r="K30" s="73">
        <v>4</v>
      </c>
      <c r="L30" s="23">
        <v>4.3333333333333321</v>
      </c>
      <c r="M30" s="19">
        <v>3.6904761904761898</v>
      </c>
      <c r="N30" s="23">
        <v>3</v>
      </c>
      <c r="O30" s="23">
        <v>4.3469387755102034</v>
      </c>
      <c r="P30" s="86" t="s">
        <v>65</v>
      </c>
      <c r="Q30" s="86" t="s">
        <v>65</v>
      </c>
    </row>
    <row r="31" spans="1:18" ht="24" customHeight="1" thickBot="1">
      <c r="A31" s="85" t="s">
        <v>76</v>
      </c>
      <c r="B31" s="73">
        <v>4.4000000000000004</v>
      </c>
      <c r="C31" s="73">
        <v>4.5555555555555562</v>
      </c>
      <c r="D31" s="19">
        <v>4.7142857142857135</v>
      </c>
      <c r="E31" s="23">
        <v>4.35135135135135</v>
      </c>
      <c r="F31" s="73">
        <v>5</v>
      </c>
      <c r="G31" s="19">
        <v>4.75</v>
      </c>
      <c r="H31" s="19">
        <v>4.4999999999999991</v>
      </c>
      <c r="I31" s="73">
        <v>4.48780487804878</v>
      </c>
      <c r="J31" s="19">
        <v>4.473684210526315</v>
      </c>
      <c r="K31" s="73">
        <v>4</v>
      </c>
      <c r="L31" s="23">
        <v>4.333333333333333</v>
      </c>
      <c r="M31" s="19">
        <v>3.6428571428571437</v>
      </c>
      <c r="N31" s="23">
        <v>3</v>
      </c>
      <c r="O31" s="23">
        <v>4.428571428571427</v>
      </c>
      <c r="P31" s="86" t="s">
        <v>65</v>
      </c>
      <c r="Q31" s="86" t="s">
        <v>65</v>
      </c>
    </row>
    <row r="32" spans="1:18" ht="24" customHeight="1" thickBot="1">
      <c r="A32" s="85" t="s">
        <v>77</v>
      </c>
      <c r="B32" s="73">
        <v>4.4000000000000004</v>
      </c>
      <c r="C32" s="73">
        <v>4.2222222222222223</v>
      </c>
      <c r="D32" s="19">
        <v>4.4285714285714288</v>
      </c>
      <c r="E32" s="23">
        <v>4.2162162162162158</v>
      </c>
      <c r="F32" s="73">
        <v>5</v>
      </c>
      <c r="G32" s="19">
        <v>4.6944444444444438</v>
      </c>
      <c r="H32" s="19">
        <v>4.4999999999999991</v>
      </c>
      <c r="I32" s="73">
        <v>4.3902439024390238</v>
      </c>
      <c r="J32" s="19">
        <v>4.6315789473684212</v>
      </c>
      <c r="K32" s="73">
        <v>4</v>
      </c>
      <c r="L32" s="23">
        <v>4.2222222222222223</v>
      </c>
      <c r="M32" s="19">
        <v>3.5952380952380962</v>
      </c>
      <c r="N32" s="23">
        <v>2.5</v>
      </c>
      <c r="O32" s="23">
        <v>4.3571428571428559</v>
      </c>
      <c r="P32" s="86" t="s">
        <v>65</v>
      </c>
      <c r="Q32" s="86" t="s">
        <v>65</v>
      </c>
    </row>
    <row r="33" spans="1:17" ht="24" customHeight="1" thickBot="1">
      <c r="A33" s="85" t="s">
        <v>78</v>
      </c>
      <c r="B33" s="73">
        <v>4.4000000000000004</v>
      </c>
      <c r="C33" s="73">
        <v>4.1111111111111107</v>
      </c>
      <c r="D33" s="19">
        <v>4.5714285714285712</v>
      </c>
      <c r="E33" s="23">
        <v>4.4864864864864868</v>
      </c>
      <c r="F33" s="73">
        <v>5</v>
      </c>
      <c r="G33" s="19">
        <v>4.75</v>
      </c>
      <c r="H33" s="19">
        <v>4.4999999999999991</v>
      </c>
      <c r="I33" s="73">
        <v>4.4268292682926838</v>
      </c>
      <c r="J33" s="19">
        <v>4.6842105263157894</v>
      </c>
      <c r="K33" s="73">
        <v>4</v>
      </c>
      <c r="L33" s="23">
        <v>4.2222222222222232</v>
      </c>
      <c r="M33" s="19">
        <v>3.6190476190476182</v>
      </c>
      <c r="N33" s="23">
        <v>2.5</v>
      </c>
      <c r="O33" s="23">
        <v>4.3877551020408143</v>
      </c>
      <c r="P33" s="86" t="s">
        <v>65</v>
      </c>
      <c r="Q33" s="86" t="s">
        <v>65</v>
      </c>
    </row>
    <row r="34" spans="1:17" ht="24" customHeight="1" thickBot="1">
      <c r="A34" s="85" t="s">
        <v>79</v>
      </c>
      <c r="B34" s="73">
        <v>4.4000000000000004</v>
      </c>
      <c r="C34" s="73">
        <v>4.1111111111111107</v>
      </c>
      <c r="D34" s="19">
        <v>4.4285714285714288</v>
      </c>
      <c r="E34" s="23">
        <v>4.4054054054054053</v>
      </c>
      <c r="F34" s="73">
        <v>5</v>
      </c>
      <c r="G34" s="19">
        <v>4.833333333333333</v>
      </c>
      <c r="H34" s="19">
        <v>4.6499999999999986</v>
      </c>
      <c r="I34" s="73">
        <v>4.475609756097561</v>
      </c>
      <c r="J34" s="19">
        <v>4.6315789473684212</v>
      </c>
      <c r="K34" s="73">
        <v>4</v>
      </c>
      <c r="L34" s="23">
        <v>4.2777777777777786</v>
      </c>
      <c r="M34" s="19">
        <v>3.7857142857142856</v>
      </c>
      <c r="N34" s="23">
        <v>2.5</v>
      </c>
      <c r="O34" s="23">
        <v>4.4387755102040805</v>
      </c>
      <c r="P34" s="86" t="s">
        <v>65</v>
      </c>
      <c r="Q34" s="86" t="s">
        <v>65</v>
      </c>
    </row>
    <row r="35" spans="1:17" ht="24" customHeight="1" thickBot="1">
      <c r="A35" s="85" t="s">
        <v>80</v>
      </c>
      <c r="B35" s="73">
        <v>4.333333333333333</v>
      </c>
      <c r="C35" s="73">
        <v>4.1666666666666661</v>
      </c>
      <c r="D35" s="19">
        <v>4.4285714285714288</v>
      </c>
      <c r="E35" s="23">
        <v>4.2162162162162158</v>
      </c>
      <c r="F35" s="73">
        <v>4.833333333333333</v>
      </c>
      <c r="G35" s="19">
        <v>4.6944444444444446</v>
      </c>
      <c r="H35" s="19">
        <v>4.5499999999999989</v>
      </c>
      <c r="I35" s="73">
        <v>4.3902439024390247</v>
      </c>
      <c r="J35" s="19">
        <v>4.5263157894736832</v>
      </c>
      <c r="K35" s="73">
        <v>4</v>
      </c>
      <c r="L35" s="23">
        <v>4.3333333333333321</v>
      </c>
      <c r="M35" s="19">
        <v>3.6904761904761902</v>
      </c>
      <c r="N35" s="23">
        <v>2.5</v>
      </c>
      <c r="O35" s="23">
        <v>4.408163265306122</v>
      </c>
      <c r="P35" s="86" t="s">
        <v>65</v>
      </c>
      <c r="Q35" s="86" t="s">
        <v>65</v>
      </c>
    </row>
    <row r="36" spans="1:17" ht="24" customHeight="1" thickBot="1">
      <c r="A36" s="85" t="s">
        <v>81</v>
      </c>
      <c r="B36" s="73">
        <v>4.4666666666666659</v>
      </c>
      <c r="C36" s="73">
        <v>4.1666666666666661</v>
      </c>
      <c r="D36" s="19">
        <v>4.5714285714285712</v>
      </c>
      <c r="E36" s="23">
        <v>4.5135135135135132</v>
      </c>
      <c r="F36" s="73">
        <v>5</v>
      </c>
      <c r="G36" s="19">
        <v>4.833333333333333</v>
      </c>
      <c r="H36" s="19">
        <v>4.5499999999999989</v>
      </c>
      <c r="I36" s="73">
        <v>4.4999999999999991</v>
      </c>
      <c r="J36" s="19">
        <v>4.6842105263157894</v>
      </c>
      <c r="K36" s="73">
        <v>4</v>
      </c>
      <c r="L36" s="23">
        <v>4.5000000000000009</v>
      </c>
      <c r="M36" s="19">
        <v>3.7380952380952386</v>
      </c>
      <c r="N36" s="23">
        <v>2.5</v>
      </c>
      <c r="O36" s="23">
        <v>4.4795918367346932</v>
      </c>
      <c r="P36" s="86" t="s">
        <v>65</v>
      </c>
      <c r="Q36" s="86" t="s">
        <v>65</v>
      </c>
    </row>
    <row r="37" spans="1:17" ht="24" customHeight="1" thickBot="1">
      <c r="A37" s="85" t="s">
        <v>82</v>
      </c>
      <c r="B37" s="73">
        <v>4.4000000000000004</v>
      </c>
      <c r="C37" s="73">
        <v>4.1111111111111107</v>
      </c>
      <c r="D37" s="19">
        <v>4.5714285714285712</v>
      </c>
      <c r="E37" s="23">
        <v>4.2972972972972983</v>
      </c>
      <c r="F37" s="73">
        <v>5</v>
      </c>
      <c r="G37" s="19">
        <v>4.8055555555555545</v>
      </c>
      <c r="H37" s="19">
        <v>4.5499999999999989</v>
      </c>
      <c r="I37" s="73">
        <v>4.4024390243902447</v>
      </c>
      <c r="J37" s="19">
        <v>4.6315789473684212</v>
      </c>
      <c r="K37" s="73">
        <v>4</v>
      </c>
      <c r="L37" s="23">
        <v>4.166666666666667</v>
      </c>
      <c r="M37" s="19">
        <v>3.7142857142857144</v>
      </c>
      <c r="N37" s="23">
        <v>2.5</v>
      </c>
      <c r="O37" s="23">
        <v>4.4897959183673457</v>
      </c>
      <c r="P37" s="86" t="s">
        <v>65</v>
      </c>
      <c r="Q37" s="86" t="s">
        <v>65</v>
      </c>
    </row>
    <row r="38" spans="1:17" ht="24" customHeight="1" thickBot="1">
      <c r="A38" s="85" t="s">
        <v>83</v>
      </c>
      <c r="B38" s="73">
        <v>4.4666666666666659</v>
      </c>
      <c r="C38" s="73">
        <v>4.4444444444444438</v>
      </c>
      <c r="D38" s="19">
        <v>4.5714285714285712</v>
      </c>
      <c r="E38" s="23">
        <v>4.35135135135135</v>
      </c>
      <c r="F38" s="73">
        <v>5</v>
      </c>
      <c r="G38" s="19">
        <v>4.833333333333333</v>
      </c>
      <c r="H38" s="19">
        <v>4.5999999999999996</v>
      </c>
      <c r="I38" s="73">
        <v>4.4512195121951192</v>
      </c>
      <c r="J38" s="19">
        <v>4.6842105263157885</v>
      </c>
      <c r="K38" s="73">
        <v>4</v>
      </c>
      <c r="L38" s="23">
        <v>4.3333333333333339</v>
      </c>
      <c r="M38" s="19">
        <v>3.7380952380952381</v>
      </c>
      <c r="N38" s="23">
        <v>2.5</v>
      </c>
      <c r="O38" s="23">
        <v>4.4693877551020416</v>
      </c>
      <c r="P38" s="86" t="s">
        <v>65</v>
      </c>
      <c r="Q38" s="86" t="s">
        <v>65</v>
      </c>
    </row>
    <row r="39" spans="1:17" ht="24" customHeight="1" thickBot="1">
      <c r="A39" s="85" t="s">
        <v>84</v>
      </c>
      <c r="B39" s="73">
        <v>4.5333333333333332</v>
      </c>
      <c r="C39" s="73">
        <v>4.5000000000000009</v>
      </c>
      <c r="D39" s="19">
        <v>4.5714285714285712</v>
      </c>
      <c r="E39" s="23">
        <v>4.4054054054054044</v>
      </c>
      <c r="F39" s="73">
        <v>5</v>
      </c>
      <c r="G39" s="19">
        <v>4.7777777777777777</v>
      </c>
      <c r="H39" s="19">
        <v>4.4999999999999991</v>
      </c>
      <c r="I39" s="73">
        <v>4.4024390243902447</v>
      </c>
      <c r="J39" s="19">
        <v>4.5789473684210531</v>
      </c>
      <c r="K39" s="73">
        <v>4</v>
      </c>
      <c r="L39" s="23">
        <v>4.4444444444444455</v>
      </c>
      <c r="M39" s="19">
        <v>3.6666666666666665</v>
      </c>
      <c r="N39" s="23">
        <v>3</v>
      </c>
      <c r="O39" s="23">
        <v>4.4591836734693882</v>
      </c>
      <c r="P39" s="86" t="s">
        <v>65</v>
      </c>
      <c r="Q39" s="86" t="s">
        <v>65</v>
      </c>
    </row>
    <row r="40" spans="1:17" ht="24" customHeight="1" thickBot="1">
      <c r="A40" s="85" t="s">
        <v>85</v>
      </c>
      <c r="B40" s="73">
        <v>4.4666666666666659</v>
      </c>
      <c r="C40" s="73">
        <v>4.5</v>
      </c>
      <c r="D40" s="19">
        <v>4.5714285714285712</v>
      </c>
      <c r="E40" s="23">
        <v>4.270270270270272</v>
      </c>
      <c r="F40" s="73">
        <v>5</v>
      </c>
      <c r="G40" s="19">
        <v>4.7777777777777777</v>
      </c>
      <c r="H40" s="19">
        <v>4.5999999999999996</v>
      </c>
      <c r="I40" s="73">
        <v>4.48780487804878</v>
      </c>
      <c r="J40" s="19">
        <v>4.6842105263157894</v>
      </c>
      <c r="K40" s="73">
        <v>4</v>
      </c>
      <c r="L40" s="23">
        <v>4.3333333333333321</v>
      </c>
      <c r="M40" s="19">
        <v>3.7619047619047619</v>
      </c>
      <c r="N40" s="23">
        <v>3</v>
      </c>
      <c r="O40" s="23">
        <v>4.4081632653061247</v>
      </c>
      <c r="P40" s="86" t="s">
        <v>65</v>
      </c>
      <c r="Q40" s="86" t="s">
        <v>65</v>
      </c>
    </row>
    <row r="41" spans="1:17" ht="24" customHeight="1" thickBot="1">
      <c r="A41" s="85" t="s">
        <v>86</v>
      </c>
      <c r="B41" s="73">
        <v>4.3333333333333321</v>
      </c>
      <c r="C41" s="73">
        <v>4.5</v>
      </c>
      <c r="D41" s="19">
        <v>4.4285714285714288</v>
      </c>
      <c r="E41" s="23">
        <v>4.243243243243243</v>
      </c>
      <c r="F41" s="73">
        <v>5</v>
      </c>
      <c r="G41" s="19">
        <v>4.7777777777777777</v>
      </c>
      <c r="H41" s="19">
        <v>4.5</v>
      </c>
      <c r="I41" s="73">
        <v>4.4634146341463392</v>
      </c>
      <c r="J41" s="19">
        <v>4.6842105263157894</v>
      </c>
      <c r="K41" s="73">
        <v>4</v>
      </c>
      <c r="L41" s="23">
        <v>4.2222222222222223</v>
      </c>
      <c r="M41" s="19">
        <v>3.7619047619047619</v>
      </c>
      <c r="N41" s="23">
        <v>3</v>
      </c>
      <c r="O41" s="23">
        <v>4.4285714285714297</v>
      </c>
      <c r="P41" s="86" t="s">
        <v>65</v>
      </c>
      <c r="Q41" s="86" t="s">
        <v>65</v>
      </c>
    </row>
    <row r="42" spans="1:17" ht="24" customHeight="1" thickBot="1">
      <c r="A42" s="85" t="s">
        <v>87</v>
      </c>
      <c r="B42" s="73">
        <v>4.4666666666666659</v>
      </c>
      <c r="C42" s="73">
        <v>4.6111111111111098</v>
      </c>
      <c r="D42" s="19">
        <v>4.5714285714285712</v>
      </c>
      <c r="E42" s="23">
        <v>4.3783783783783763</v>
      </c>
      <c r="F42" s="73">
        <v>5</v>
      </c>
      <c r="G42" s="19">
        <v>4.7499999999999973</v>
      </c>
      <c r="H42" s="19">
        <v>4.5499999999999989</v>
      </c>
      <c r="I42" s="73">
        <v>4.48780487804878</v>
      </c>
      <c r="J42" s="19">
        <v>4.6842105263157894</v>
      </c>
      <c r="K42" s="73">
        <v>4</v>
      </c>
      <c r="L42" s="23">
        <v>4.2222222222222223</v>
      </c>
      <c r="M42" s="19">
        <v>3.8095238095238102</v>
      </c>
      <c r="N42" s="23">
        <v>3</v>
      </c>
      <c r="O42" s="23">
        <v>4.3979591836734704</v>
      </c>
      <c r="P42" s="86" t="s">
        <v>65</v>
      </c>
      <c r="Q42" s="86" t="s">
        <v>65</v>
      </c>
    </row>
    <row r="43" spans="1:17" ht="24" customHeight="1" thickBot="1">
      <c r="A43" s="85" t="s">
        <v>88</v>
      </c>
      <c r="B43" s="73">
        <v>4.6000000000000005</v>
      </c>
      <c r="C43" s="73">
        <v>4.333333333333333</v>
      </c>
      <c r="D43" s="19">
        <v>4.5714285714285712</v>
      </c>
      <c r="E43" s="23">
        <v>4.5405405405405403</v>
      </c>
      <c r="F43" s="73">
        <v>5</v>
      </c>
      <c r="G43" s="19">
        <v>4.8611111111111116</v>
      </c>
      <c r="H43" s="19">
        <v>4.549999999999998</v>
      </c>
      <c r="I43" s="73">
        <v>4.4999999999999991</v>
      </c>
      <c r="J43" s="19">
        <v>4.7368421052631584</v>
      </c>
      <c r="K43" s="73">
        <v>4</v>
      </c>
      <c r="L43" s="23">
        <v>4.333333333333333</v>
      </c>
      <c r="M43" s="19">
        <v>3.714285714285714</v>
      </c>
      <c r="N43" s="23">
        <v>2</v>
      </c>
      <c r="O43" s="23">
        <v>4.4795918367346941</v>
      </c>
      <c r="P43" s="86" t="s">
        <v>65</v>
      </c>
      <c r="Q43" s="86" t="s">
        <v>65</v>
      </c>
    </row>
    <row r="44" spans="1:17" ht="24" customHeight="1">
      <c r="A44" s="8" t="s">
        <v>9</v>
      </c>
      <c r="B44" s="73">
        <v>4.4541666666666675</v>
      </c>
      <c r="C44" s="73">
        <v>4.375</v>
      </c>
      <c r="D44" s="19">
        <v>4.5357142857142856</v>
      </c>
      <c r="E44" s="23">
        <v>4.3716216216216219</v>
      </c>
      <c r="F44" s="73">
        <v>4.989583333333333</v>
      </c>
      <c r="G44" s="19">
        <v>4.7795138888888893</v>
      </c>
      <c r="H44" s="19">
        <v>4.5468750000000009</v>
      </c>
      <c r="I44" s="73">
        <v>4.4588414634146343</v>
      </c>
      <c r="J44" s="19">
        <v>4.6249999999999991</v>
      </c>
      <c r="K44" s="73">
        <v>4</v>
      </c>
      <c r="L44" s="23">
        <v>4.3020833333333339</v>
      </c>
      <c r="M44" s="19">
        <v>3.7038690476190474</v>
      </c>
      <c r="N44" s="23">
        <v>2.75</v>
      </c>
      <c r="O44" s="23">
        <v>4.4151785714285694</v>
      </c>
      <c r="P44" s="86" t="s">
        <v>65</v>
      </c>
      <c r="Q44" s="86" t="s">
        <v>65</v>
      </c>
    </row>
    <row r="45" spans="1:17">
      <c r="A45" s="8" t="s">
        <v>10</v>
      </c>
      <c r="B45" s="62">
        <f t="shared" ref="B45:I45" si="1">B44*20</f>
        <v>89.083333333333343</v>
      </c>
      <c r="C45" s="62">
        <f t="shared" si="1"/>
        <v>87.5</v>
      </c>
      <c r="D45" s="62">
        <f t="shared" si="1"/>
        <v>90.714285714285708</v>
      </c>
      <c r="E45" s="62">
        <f t="shared" si="1"/>
        <v>87.432432432432435</v>
      </c>
      <c r="F45" s="62">
        <f t="shared" si="1"/>
        <v>99.791666666666657</v>
      </c>
      <c r="G45" s="62">
        <f t="shared" si="1"/>
        <v>95.590277777777786</v>
      </c>
      <c r="H45" s="62">
        <f t="shared" si="1"/>
        <v>90.937500000000014</v>
      </c>
      <c r="I45" s="62">
        <f t="shared" si="1"/>
        <v>89.176829268292693</v>
      </c>
      <c r="J45" s="62">
        <f t="shared" ref="J45" si="2">J44*20</f>
        <v>92.499999999999986</v>
      </c>
      <c r="K45" s="62">
        <f>K44*20</f>
        <v>80</v>
      </c>
      <c r="L45" s="62">
        <f>L44*20</f>
        <v>86.041666666666686</v>
      </c>
      <c r="M45" s="62">
        <f>M44*20</f>
        <v>74.077380952380949</v>
      </c>
      <c r="N45" s="62">
        <f>N44*20</f>
        <v>55</v>
      </c>
      <c r="O45" s="62">
        <f>O44*20</f>
        <v>88.303571428571388</v>
      </c>
      <c r="P45" s="86" t="s">
        <v>65</v>
      </c>
      <c r="Q45" s="86" t="s">
        <v>65</v>
      </c>
    </row>
    <row r="46" spans="1:17">
      <c r="A46" s="74" t="s">
        <v>44</v>
      </c>
      <c r="B46" s="61">
        <v>100</v>
      </c>
      <c r="C46" s="21">
        <v>83.333333333333329</v>
      </c>
      <c r="D46" s="61">
        <v>71.428571428571431</v>
      </c>
      <c r="E46" s="61">
        <v>100</v>
      </c>
      <c r="F46" s="61">
        <v>100</v>
      </c>
      <c r="G46" s="61">
        <v>100</v>
      </c>
      <c r="H46" s="61">
        <v>100</v>
      </c>
      <c r="I46" s="61">
        <v>100</v>
      </c>
      <c r="J46" s="61">
        <v>100</v>
      </c>
      <c r="K46" s="21">
        <v>100</v>
      </c>
      <c r="L46" s="21">
        <v>94.444444444444443</v>
      </c>
      <c r="M46" s="61">
        <v>95.238095238095241</v>
      </c>
      <c r="N46" s="21">
        <v>50</v>
      </c>
      <c r="O46" s="21">
        <v>98.979591836734699</v>
      </c>
      <c r="P46" s="87" t="s">
        <v>66</v>
      </c>
      <c r="Q46" s="87" t="s">
        <v>66</v>
      </c>
    </row>
    <row r="48" spans="1:17" ht="24" customHeight="1"/>
    <row r="49" spans="1:16" s="14" customFormat="1" ht="24" customHeight="1">
      <c r="A49" s="6" t="s">
        <v>0</v>
      </c>
      <c r="B49" s="5" t="s">
        <v>46</v>
      </c>
      <c r="C49" s="5" t="s">
        <v>12</v>
      </c>
      <c r="D49" s="5" t="s">
        <v>48</v>
      </c>
      <c r="E49" s="5" t="s">
        <v>89</v>
      </c>
      <c r="F49" s="5" t="s">
        <v>14</v>
      </c>
      <c r="G49" s="5" t="s">
        <v>92</v>
      </c>
      <c r="H49" s="17" t="s">
        <v>52</v>
      </c>
      <c r="I49" s="5" t="s">
        <v>15</v>
      </c>
      <c r="J49" s="5" t="s">
        <v>16</v>
      </c>
      <c r="K49" s="5" t="s">
        <v>17</v>
      </c>
      <c r="L49" s="5" t="s">
        <v>18</v>
      </c>
      <c r="M49" s="5" t="s">
        <v>19</v>
      </c>
      <c r="N49" s="5" t="s">
        <v>47</v>
      </c>
      <c r="O49" s="5" t="s">
        <v>20</v>
      </c>
      <c r="P49" s="5" t="s">
        <v>21</v>
      </c>
    </row>
    <row r="50" spans="1:16" s="25" customFormat="1" ht="24" customHeight="1" thickBot="1">
      <c r="A50" s="8" t="s">
        <v>8</v>
      </c>
      <c r="B50" s="24">
        <v>37</v>
      </c>
      <c r="C50" s="30">
        <v>67</v>
      </c>
      <c r="D50" s="24">
        <v>18</v>
      </c>
      <c r="E50" s="24">
        <v>12</v>
      </c>
      <c r="F50" s="24">
        <v>13</v>
      </c>
      <c r="G50" s="24">
        <v>18</v>
      </c>
      <c r="H50" s="60" t="s">
        <v>65</v>
      </c>
      <c r="I50" s="24">
        <v>76</v>
      </c>
      <c r="J50" s="24">
        <v>34</v>
      </c>
      <c r="K50" s="60">
        <v>142</v>
      </c>
      <c r="L50" s="26">
        <v>20</v>
      </c>
      <c r="M50" s="27">
        <v>35</v>
      </c>
      <c r="N50" s="24">
        <v>46</v>
      </c>
      <c r="O50" s="60" t="s">
        <v>65</v>
      </c>
      <c r="P50" s="24">
        <v>48</v>
      </c>
    </row>
    <row r="51" spans="1:16" ht="24" customHeight="1" thickBot="1">
      <c r="A51" s="84" t="s">
        <v>73</v>
      </c>
      <c r="B51" s="20">
        <v>4.7297297297297298</v>
      </c>
      <c r="C51" s="31">
        <v>4.1194029850746263</v>
      </c>
      <c r="D51" s="20">
        <v>4.6111111111111116</v>
      </c>
      <c r="E51" s="20">
        <v>4.833333333333333</v>
      </c>
      <c r="F51" s="20">
        <v>4.1538461538461542</v>
      </c>
      <c r="G51" s="20">
        <v>4.6111111111111116</v>
      </c>
      <c r="H51" s="60" t="s">
        <v>65</v>
      </c>
      <c r="I51" s="20">
        <v>4.2894736842105265</v>
      </c>
      <c r="J51" s="20">
        <v>4.5882352941176467</v>
      </c>
      <c r="K51" s="73">
        <v>4.6056338028169019</v>
      </c>
      <c r="L51" s="20">
        <v>4.4499999999999984</v>
      </c>
      <c r="M51" s="20">
        <v>4.6571428571428566</v>
      </c>
      <c r="N51" s="20">
        <v>4.5217391304347814</v>
      </c>
      <c r="O51" s="60" t="s">
        <v>65</v>
      </c>
      <c r="P51" s="22">
        <v>4.6874999999999991</v>
      </c>
    </row>
    <row r="52" spans="1:16" ht="24" customHeight="1" thickBot="1">
      <c r="A52" s="85" t="s">
        <v>74</v>
      </c>
      <c r="B52" s="20">
        <v>4.6216216216216228</v>
      </c>
      <c r="C52" s="31">
        <v>4.1194029850746263</v>
      </c>
      <c r="D52" s="20">
        <v>4.5555555555555554</v>
      </c>
      <c r="E52" s="20">
        <v>4.75</v>
      </c>
      <c r="F52" s="20">
        <v>4.1538461538461542</v>
      </c>
      <c r="G52" s="20">
        <v>4.6111111111111107</v>
      </c>
      <c r="H52" s="60" t="s">
        <v>65</v>
      </c>
      <c r="I52" s="20">
        <v>4.3947368421052637</v>
      </c>
      <c r="J52" s="20">
        <v>4.5588235294117645</v>
      </c>
      <c r="K52" s="73">
        <v>4.6126760563380289</v>
      </c>
      <c r="L52" s="20">
        <v>4.45</v>
      </c>
      <c r="M52" s="20">
        <v>4.6571428571428566</v>
      </c>
      <c r="N52" s="20">
        <v>4.4782608695652151</v>
      </c>
      <c r="O52" s="60" t="s">
        <v>65</v>
      </c>
      <c r="P52" s="22">
        <v>4.6666666666666661</v>
      </c>
    </row>
    <row r="53" spans="1:16" ht="24" customHeight="1" thickBot="1">
      <c r="A53" s="85" t="s">
        <v>75</v>
      </c>
      <c r="B53" s="20">
        <v>4.7027027027027017</v>
      </c>
      <c r="C53" s="31">
        <v>4.1343283582089549</v>
      </c>
      <c r="D53" s="20">
        <v>4.5555555555555554</v>
      </c>
      <c r="E53" s="20">
        <v>4.833333333333333</v>
      </c>
      <c r="F53" s="20">
        <v>4.0769230769230766</v>
      </c>
      <c r="G53" s="20">
        <v>4.6111111111111107</v>
      </c>
      <c r="H53" s="60" t="s">
        <v>65</v>
      </c>
      <c r="I53" s="20">
        <v>4.4342105263157903</v>
      </c>
      <c r="J53" s="20">
        <v>4.5588235294117645</v>
      </c>
      <c r="K53" s="73">
        <v>4.6267605633802811</v>
      </c>
      <c r="L53" s="20">
        <v>4.3999999999999995</v>
      </c>
      <c r="M53" s="20">
        <v>4.6857142857142851</v>
      </c>
      <c r="N53" s="20">
        <v>4.4347826086956523</v>
      </c>
      <c r="O53" s="60" t="s">
        <v>65</v>
      </c>
      <c r="P53" s="22">
        <v>4.645833333333333</v>
      </c>
    </row>
    <row r="54" spans="1:16" ht="24" customHeight="1" thickBot="1">
      <c r="A54" s="85" t="s">
        <v>76</v>
      </c>
      <c r="B54" s="20">
        <v>4.6486486486486482</v>
      </c>
      <c r="C54" s="31">
        <v>4.1343283582089549</v>
      </c>
      <c r="D54" s="20">
        <v>4.5555555555555554</v>
      </c>
      <c r="E54" s="20">
        <v>4.833333333333333</v>
      </c>
      <c r="F54" s="20">
        <v>4</v>
      </c>
      <c r="G54" s="20">
        <v>4.5555555555555554</v>
      </c>
      <c r="H54" s="60" t="s">
        <v>65</v>
      </c>
      <c r="I54" s="20">
        <v>4.4210526315789478</v>
      </c>
      <c r="J54" s="20">
        <v>4.5882352941176459</v>
      </c>
      <c r="K54" s="73">
        <v>4.5845070422535228</v>
      </c>
      <c r="L54" s="20">
        <v>4.3999999999999995</v>
      </c>
      <c r="M54" s="20">
        <v>4.4857142857142867</v>
      </c>
      <c r="N54" s="20">
        <v>4.4347826086956523</v>
      </c>
      <c r="O54" s="60" t="s">
        <v>65</v>
      </c>
      <c r="P54" s="22">
        <v>4.7291666666666661</v>
      </c>
    </row>
    <row r="55" spans="1:16" ht="24" customHeight="1" thickBot="1">
      <c r="A55" s="85" t="s">
        <v>77</v>
      </c>
      <c r="B55" s="20">
        <v>4.6756756756756754</v>
      </c>
      <c r="C55" s="31">
        <v>4.1194029850746263</v>
      </c>
      <c r="D55" s="20">
        <v>4.6111111111111125</v>
      </c>
      <c r="E55" s="20">
        <v>4.916666666666667</v>
      </c>
      <c r="F55" s="20">
        <v>4.4615384615384608</v>
      </c>
      <c r="G55" s="20">
        <v>4.666666666666667</v>
      </c>
      <c r="H55" s="60" t="s">
        <v>65</v>
      </c>
      <c r="I55" s="20">
        <v>4.4736842105263142</v>
      </c>
      <c r="J55" s="20">
        <v>4.6470588235294104</v>
      </c>
      <c r="K55" s="73">
        <v>4.6056338028169019</v>
      </c>
      <c r="L55" s="20">
        <v>4.45</v>
      </c>
      <c r="M55" s="20">
        <v>4.5142857142857142</v>
      </c>
      <c r="N55" s="20">
        <v>4.391304347826086</v>
      </c>
      <c r="O55" s="60" t="s">
        <v>65</v>
      </c>
      <c r="P55" s="22">
        <v>4.6666666666666661</v>
      </c>
    </row>
    <row r="56" spans="1:16" ht="24" customHeight="1" thickBot="1">
      <c r="A56" s="85" t="s">
        <v>78</v>
      </c>
      <c r="B56" s="20">
        <v>4.6756756756756754</v>
      </c>
      <c r="C56" s="31">
        <v>4.1343283582089549</v>
      </c>
      <c r="D56" s="20">
        <v>4.6111111111111116</v>
      </c>
      <c r="E56" s="20">
        <v>4.916666666666667</v>
      </c>
      <c r="F56" s="20">
        <v>4.1538461538461533</v>
      </c>
      <c r="G56" s="20">
        <v>4.7222222222222223</v>
      </c>
      <c r="H56" s="60" t="s">
        <v>65</v>
      </c>
      <c r="I56" s="20">
        <v>4.421052631578946</v>
      </c>
      <c r="J56" s="20">
        <v>4.7058823529411757</v>
      </c>
      <c r="K56" s="73">
        <v>4.6549295774647899</v>
      </c>
      <c r="L56" s="20">
        <v>4.3499999999999996</v>
      </c>
      <c r="M56" s="20">
        <v>4.5428571428571436</v>
      </c>
      <c r="N56" s="20">
        <v>4.4782608695652151</v>
      </c>
      <c r="O56" s="60" t="s">
        <v>65</v>
      </c>
      <c r="P56" s="22">
        <v>4.6666666666666661</v>
      </c>
    </row>
    <row r="57" spans="1:16" ht="24" customHeight="1" thickBot="1">
      <c r="A57" s="85" t="s">
        <v>79</v>
      </c>
      <c r="B57" s="20">
        <v>4.6216216216216219</v>
      </c>
      <c r="C57" s="31">
        <v>4.1492537313432853</v>
      </c>
      <c r="D57" s="20">
        <v>4.666666666666667</v>
      </c>
      <c r="E57" s="20">
        <v>4.916666666666667</v>
      </c>
      <c r="F57" s="20">
        <v>4.2307692307692299</v>
      </c>
      <c r="G57" s="20">
        <v>4.7777777777777777</v>
      </c>
      <c r="H57" s="60" t="s">
        <v>65</v>
      </c>
      <c r="I57" s="20">
        <v>4.4210526315789469</v>
      </c>
      <c r="J57" s="20">
        <v>4.6764705882352935</v>
      </c>
      <c r="K57" s="73">
        <v>4.6971830985915481</v>
      </c>
      <c r="L57" s="20">
        <v>4.3999999999999995</v>
      </c>
      <c r="M57" s="20">
        <v>4.7428571428571438</v>
      </c>
      <c r="N57" s="20">
        <v>4.5869565217391308</v>
      </c>
      <c r="O57" s="60" t="s">
        <v>65</v>
      </c>
      <c r="P57" s="22">
        <v>4.7916666666666652</v>
      </c>
    </row>
    <row r="58" spans="1:16" ht="24" customHeight="1" thickBot="1">
      <c r="A58" s="85" t="s">
        <v>80</v>
      </c>
      <c r="B58" s="20">
        <v>4.7027027027027017</v>
      </c>
      <c r="C58" s="31">
        <v>4.1343283582089549</v>
      </c>
      <c r="D58" s="20">
        <v>4.5555555555555545</v>
      </c>
      <c r="E58" s="20">
        <v>4.75</v>
      </c>
      <c r="F58" s="20">
        <v>4.0769230769230766</v>
      </c>
      <c r="G58" s="20">
        <v>4.7777777777777777</v>
      </c>
      <c r="H58" s="60" t="s">
        <v>65</v>
      </c>
      <c r="I58" s="20">
        <v>4.3552631578947381</v>
      </c>
      <c r="J58" s="20">
        <v>4.5294117647058831</v>
      </c>
      <c r="K58" s="73">
        <v>4.5845070422535228</v>
      </c>
      <c r="L58" s="20">
        <v>4.45</v>
      </c>
      <c r="M58" s="20">
        <v>4.4857142857142849</v>
      </c>
      <c r="N58" s="20">
        <v>4.3695652173913038</v>
      </c>
      <c r="O58" s="60" t="s">
        <v>65</v>
      </c>
      <c r="P58" s="22">
        <v>4.6041666666666661</v>
      </c>
    </row>
    <row r="59" spans="1:16" ht="24" customHeight="1" thickBot="1">
      <c r="A59" s="85" t="s">
        <v>81</v>
      </c>
      <c r="B59" s="20">
        <v>4.6216216216216219</v>
      </c>
      <c r="C59" s="31">
        <v>4.1343283582089549</v>
      </c>
      <c r="D59" s="20">
        <v>4.6666666666666679</v>
      </c>
      <c r="E59" s="20">
        <v>4.916666666666667</v>
      </c>
      <c r="F59" s="20">
        <v>4.3846153846153841</v>
      </c>
      <c r="G59" s="20">
        <v>4.7222222222222223</v>
      </c>
      <c r="H59" s="60" t="s">
        <v>65</v>
      </c>
      <c r="I59" s="20">
        <v>4.5131578947368416</v>
      </c>
      <c r="J59" s="20">
        <v>4.5588235294117645</v>
      </c>
      <c r="K59" s="73">
        <v>4.7253521126760578</v>
      </c>
      <c r="L59" s="20">
        <v>4.5500000000000007</v>
      </c>
      <c r="M59" s="20">
        <v>4.6857142857142859</v>
      </c>
      <c r="N59" s="20">
        <v>4.5434782608695645</v>
      </c>
      <c r="O59" s="60" t="s">
        <v>65</v>
      </c>
      <c r="P59" s="22">
        <v>4.7291666666666661</v>
      </c>
    </row>
    <row r="60" spans="1:16" ht="24" customHeight="1" thickBot="1">
      <c r="A60" s="85" t="s">
        <v>82</v>
      </c>
      <c r="B60" s="20">
        <v>4.7297297297297289</v>
      </c>
      <c r="C60" s="31">
        <v>4.1194029850746263</v>
      </c>
      <c r="D60" s="20">
        <v>4.5555555555555554</v>
      </c>
      <c r="E60" s="20">
        <v>5</v>
      </c>
      <c r="F60" s="20">
        <v>4.3076923076923075</v>
      </c>
      <c r="G60" s="20">
        <v>4.666666666666667</v>
      </c>
      <c r="H60" s="60" t="s">
        <v>65</v>
      </c>
      <c r="I60" s="20">
        <v>4.473684210526315</v>
      </c>
      <c r="J60" s="20">
        <v>4.5</v>
      </c>
      <c r="K60" s="73">
        <v>4.6408450704225377</v>
      </c>
      <c r="L60" s="20">
        <v>4.5</v>
      </c>
      <c r="M60" s="20">
        <v>4.6285714285714281</v>
      </c>
      <c r="N60" s="20">
        <v>4.4347826086956523</v>
      </c>
      <c r="O60" s="60" t="s">
        <v>65</v>
      </c>
      <c r="P60" s="22">
        <v>4.7083333333333357</v>
      </c>
    </row>
    <row r="61" spans="1:16" ht="24" customHeight="1" thickBot="1">
      <c r="A61" s="85" t="s">
        <v>83</v>
      </c>
      <c r="B61" s="20">
        <v>4.6486486486486482</v>
      </c>
      <c r="C61" s="31">
        <v>4.1343283582089549</v>
      </c>
      <c r="D61" s="20">
        <v>4.5555555555555554</v>
      </c>
      <c r="E61" s="20">
        <v>4.916666666666667</v>
      </c>
      <c r="F61" s="20">
        <v>4.3076923076923075</v>
      </c>
      <c r="G61" s="20">
        <v>4.5555555555555562</v>
      </c>
      <c r="H61" s="60" t="s">
        <v>65</v>
      </c>
      <c r="I61" s="20">
        <v>4.3289473684210522</v>
      </c>
      <c r="J61" s="20">
        <v>4.6470588235294121</v>
      </c>
      <c r="K61" s="73">
        <v>4.6408450704225377</v>
      </c>
      <c r="L61" s="20">
        <v>4.45</v>
      </c>
      <c r="M61" s="20">
        <v>4.7428571428571438</v>
      </c>
      <c r="N61" s="20">
        <v>4.6304347826086953</v>
      </c>
      <c r="O61" s="60" t="s">
        <v>65</v>
      </c>
      <c r="P61" s="22">
        <v>4.7500000000000009</v>
      </c>
    </row>
    <row r="62" spans="1:16" ht="24" customHeight="1" thickBot="1">
      <c r="A62" s="85" t="s">
        <v>84</v>
      </c>
      <c r="B62" s="20">
        <v>4.7567567567567579</v>
      </c>
      <c r="C62" s="31">
        <v>4.1492537313432853</v>
      </c>
      <c r="D62" s="20">
        <v>4.5555555555555545</v>
      </c>
      <c r="E62" s="20">
        <v>4.916666666666667</v>
      </c>
      <c r="F62" s="20">
        <v>4.0769230769230766</v>
      </c>
      <c r="G62" s="20">
        <v>4.666666666666667</v>
      </c>
      <c r="H62" s="60" t="s">
        <v>65</v>
      </c>
      <c r="I62" s="20">
        <v>4.3026315789473664</v>
      </c>
      <c r="J62" s="20">
        <v>4.5294117647058822</v>
      </c>
      <c r="K62" s="73">
        <v>4.619718309859155</v>
      </c>
      <c r="L62" s="20">
        <v>4.3999999999999995</v>
      </c>
      <c r="M62" s="20">
        <v>4.5999999999999988</v>
      </c>
      <c r="N62" s="20">
        <v>4.4565217391304337</v>
      </c>
      <c r="O62" s="60" t="s">
        <v>65</v>
      </c>
      <c r="P62" s="22">
        <v>4.7291666666666652</v>
      </c>
    </row>
    <row r="63" spans="1:16" ht="24" customHeight="1" thickBot="1">
      <c r="A63" s="85" t="s">
        <v>85</v>
      </c>
      <c r="B63" s="20">
        <v>4.7567567567567579</v>
      </c>
      <c r="C63" s="31">
        <v>4.1343283582089549</v>
      </c>
      <c r="D63" s="20">
        <v>4.5555555555555554</v>
      </c>
      <c r="E63" s="20">
        <v>4.833333333333333</v>
      </c>
      <c r="F63" s="20">
        <v>4.4615384615384608</v>
      </c>
      <c r="G63" s="20">
        <v>4.6111111111111116</v>
      </c>
      <c r="H63" s="60" t="s">
        <v>65</v>
      </c>
      <c r="I63" s="20">
        <v>4.2894736842105257</v>
      </c>
      <c r="J63" s="20">
        <v>4.5588235294117645</v>
      </c>
      <c r="K63" s="73">
        <v>4.5985915492957732</v>
      </c>
      <c r="L63" s="20">
        <v>4.5500000000000007</v>
      </c>
      <c r="M63" s="20">
        <v>4.5428571428571427</v>
      </c>
      <c r="N63" s="20">
        <v>4.5652173913043494</v>
      </c>
      <c r="O63" s="60" t="s">
        <v>65</v>
      </c>
      <c r="P63" s="22">
        <v>4.7083333333333357</v>
      </c>
    </row>
    <row r="64" spans="1:16" ht="24" customHeight="1" thickBot="1">
      <c r="A64" s="85" t="s">
        <v>86</v>
      </c>
      <c r="B64" s="20">
        <v>4.6756756756756772</v>
      </c>
      <c r="C64" s="31">
        <v>4.1343283582089549</v>
      </c>
      <c r="D64" s="20">
        <v>4.5555555555555554</v>
      </c>
      <c r="E64" s="20">
        <v>4.833333333333333</v>
      </c>
      <c r="F64" s="20">
        <v>4.4615384615384608</v>
      </c>
      <c r="G64" s="20">
        <v>4.6111111111111107</v>
      </c>
      <c r="H64" s="60" t="s">
        <v>65</v>
      </c>
      <c r="I64" s="20">
        <v>4.4473684210526319</v>
      </c>
      <c r="J64" s="20">
        <v>4.5</v>
      </c>
      <c r="K64" s="73">
        <v>4.6126760563380271</v>
      </c>
      <c r="L64" s="20">
        <v>4.5</v>
      </c>
      <c r="M64" s="20">
        <v>4.485714285714284</v>
      </c>
      <c r="N64" s="20">
        <v>4.5217391304347814</v>
      </c>
      <c r="O64" s="60" t="s">
        <v>65</v>
      </c>
      <c r="P64" s="22">
        <v>4.6666666666666661</v>
      </c>
    </row>
    <row r="65" spans="1:16" ht="24" customHeight="1" thickBot="1">
      <c r="A65" s="85" t="s">
        <v>87</v>
      </c>
      <c r="B65" s="20">
        <v>4.7027027027027035</v>
      </c>
      <c r="C65" s="31">
        <v>4.1194029850746263</v>
      </c>
      <c r="D65" s="20">
        <v>4.6111111111111116</v>
      </c>
      <c r="E65" s="20">
        <v>4.75</v>
      </c>
      <c r="F65" s="20">
        <v>4.4615384615384608</v>
      </c>
      <c r="G65" s="20">
        <v>4.6111111111111116</v>
      </c>
      <c r="H65" s="60" t="s">
        <v>65</v>
      </c>
      <c r="I65" s="20">
        <v>4.4868421052631593</v>
      </c>
      <c r="J65" s="20">
        <v>4.6764705882352935</v>
      </c>
      <c r="K65" s="73">
        <v>4.6197183098591532</v>
      </c>
      <c r="L65" s="20">
        <v>4.5500000000000007</v>
      </c>
      <c r="M65" s="20">
        <v>4.6857142857142851</v>
      </c>
      <c r="N65" s="20">
        <v>4.5652173913043486</v>
      </c>
      <c r="O65" s="60" t="s">
        <v>65</v>
      </c>
      <c r="P65" s="22">
        <v>4.6666666666666661</v>
      </c>
    </row>
    <row r="66" spans="1:16" ht="24" customHeight="1" thickBot="1">
      <c r="A66" s="85" t="s">
        <v>88</v>
      </c>
      <c r="B66" s="20">
        <v>4.6756756756756763</v>
      </c>
      <c r="C66" s="31">
        <v>4.1492537313432853</v>
      </c>
      <c r="D66" s="20">
        <v>4.5555555555555545</v>
      </c>
      <c r="E66" s="20">
        <v>4.833333333333333</v>
      </c>
      <c r="F66" s="20">
        <v>4.3076923076923075</v>
      </c>
      <c r="G66" s="20">
        <v>4.7222222222222223</v>
      </c>
      <c r="H66" s="60" t="s">
        <v>65</v>
      </c>
      <c r="I66" s="20">
        <v>4.5131578947368416</v>
      </c>
      <c r="J66" s="20">
        <v>4.6764705882352944</v>
      </c>
      <c r="K66" s="73">
        <v>4.7183098591549326</v>
      </c>
      <c r="L66" s="20">
        <v>4.5500000000000007</v>
      </c>
      <c r="M66" s="20">
        <v>4.7428571428571438</v>
      </c>
      <c r="N66" s="20">
        <v>4.6956521739130439</v>
      </c>
      <c r="O66" s="60" t="s">
        <v>65</v>
      </c>
      <c r="P66" s="22">
        <v>4.7291666666666661</v>
      </c>
    </row>
    <row r="67" spans="1:16" ht="24" customHeight="1">
      <c r="A67" s="8" t="s">
        <v>9</v>
      </c>
      <c r="B67" s="20">
        <v>4.684121621621621</v>
      </c>
      <c r="C67" s="72">
        <v>4.1324626865671643</v>
      </c>
      <c r="D67" s="20">
        <v>4.583333333333333</v>
      </c>
      <c r="E67" s="20">
        <v>4.859375</v>
      </c>
      <c r="F67" s="20">
        <v>4.2548076923076916</v>
      </c>
      <c r="G67" s="20">
        <v>4.65625</v>
      </c>
      <c r="H67" s="60" t="s">
        <v>65</v>
      </c>
      <c r="I67" s="20">
        <v>4.4103618421052637</v>
      </c>
      <c r="J67" s="20">
        <v>4.5937499999999991</v>
      </c>
      <c r="K67" s="73">
        <v>4.6342429577464799</v>
      </c>
      <c r="L67" s="20">
        <v>4.4625000000000004</v>
      </c>
      <c r="M67" s="20">
        <v>4.6178571428571429</v>
      </c>
      <c r="N67" s="20">
        <v>4.5067934782608701</v>
      </c>
      <c r="O67" s="60" t="s">
        <v>65</v>
      </c>
      <c r="P67" s="22">
        <v>4.6966145833333348</v>
      </c>
    </row>
    <row r="68" spans="1:16">
      <c r="A68" s="8" t="s">
        <v>10</v>
      </c>
      <c r="B68" s="62">
        <f t="shared" ref="B68:D68" si="3">B67*20</f>
        <v>93.682432432432421</v>
      </c>
      <c r="C68" s="62">
        <f t="shared" si="3"/>
        <v>82.649253731343293</v>
      </c>
      <c r="D68" s="62">
        <f t="shared" si="3"/>
        <v>91.666666666666657</v>
      </c>
      <c r="E68" s="62">
        <f t="shared" ref="E68" si="4">E67*20</f>
        <v>97.1875</v>
      </c>
      <c r="F68" s="62">
        <f t="shared" ref="F68:M68" si="5">F67*20</f>
        <v>85.09615384615384</v>
      </c>
      <c r="G68" s="62">
        <f t="shared" si="5"/>
        <v>93.125</v>
      </c>
      <c r="H68" s="60" t="s">
        <v>65</v>
      </c>
      <c r="I68" s="62">
        <f t="shared" si="5"/>
        <v>88.207236842105274</v>
      </c>
      <c r="J68" s="62">
        <f t="shared" si="5"/>
        <v>91.874999999999986</v>
      </c>
      <c r="K68" s="62">
        <f t="shared" si="5"/>
        <v>92.684859154929597</v>
      </c>
      <c r="L68" s="62">
        <f t="shared" si="5"/>
        <v>89.25</v>
      </c>
      <c r="M68" s="62">
        <f t="shared" si="5"/>
        <v>92.357142857142861</v>
      </c>
      <c r="N68" s="62">
        <f>N67*20</f>
        <v>90.135869565217405</v>
      </c>
      <c r="O68" s="60" t="s">
        <v>65</v>
      </c>
      <c r="P68" s="62">
        <f>P67*20</f>
        <v>93.9322916666667</v>
      </c>
    </row>
    <row r="69" spans="1:16">
      <c r="A69" s="16" t="s">
        <v>44</v>
      </c>
      <c r="B69" s="61">
        <v>100</v>
      </c>
      <c r="C69" s="61">
        <v>100</v>
      </c>
      <c r="D69" s="61">
        <v>100</v>
      </c>
      <c r="E69" s="61">
        <v>100</v>
      </c>
      <c r="F69" s="61">
        <v>100</v>
      </c>
      <c r="G69" s="61">
        <v>100</v>
      </c>
      <c r="H69" s="75" t="s">
        <v>66</v>
      </c>
      <c r="I69" s="61">
        <v>100</v>
      </c>
      <c r="J69" s="63">
        <v>100</v>
      </c>
      <c r="K69" s="63">
        <v>100</v>
      </c>
      <c r="L69" s="61">
        <v>90</v>
      </c>
      <c r="M69" s="61">
        <v>91.428571428571431</v>
      </c>
      <c r="N69" s="61">
        <v>95.652173913043484</v>
      </c>
      <c r="O69" s="75" t="s">
        <v>66</v>
      </c>
      <c r="P69" s="61">
        <v>95.833333333333329</v>
      </c>
    </row>
    <row r="71" spans="1:16" ht="24" customHeight="1"/>
    <row r="72" spans="1:16" s="14" customFormat="1" ht="24" customHeight="1">
      <c r="A72" s="7" t="s">
        <v>0</v>
      </c>
      <c r="B72" s="5" t="s">
        <v>90</v>
      </c>
      <c r="C72" s="5" t="s">
        <v>91</v>
      </c>
      <c r="D72" s="5" t="s">
        <v>22</v>
      </c>
      <c r="E72" s="5" t="s">
        <v>23</v>
      </c>
      <c r="F72" s="5" t="s">
        <v>96</v>
      </c>
      <c r="G72" s="5" t="s">
        <v>24</v>
      </c>
      <c r="H72" s="9" t="s">
        <v>25</v>
      </c>
      <c r="I72" s="5" t="s">
        <v>26</v>
      </c>
      <c r="J72" s="5" t="s">
        <v>27</v>
      </c>
      <c r="K72" s="5" t="s">
        <v>28</v>
      </c>
      <c r="L72" s="5" t="s">
        <v>29</v>
      </c>
      <c r="M72" s="5" t="s">
        <v>30</v>
      </c>
      <c r="N72" s="5" t="s">
        <v>31</v>
      </c>
      <c r="O72" s="5" t="s">
        <v>32</v>
      </c>
      <c r="P72" s="5" t="s">
        <v>13</v>
      </c>
    </row>
    <row r="73" spans="1:16" s="25" customFormat="1" ht="24" customHeight="1" thickBot="1">
      <c r="A73" s="8" t="s">
        <v>8</v>
      </c>
      <c r="B73" s="24">
        <v>2</v>
      </c>
      <c r="C73" s="24">
        <v>65</v>
      </c>
      <c r="D73" s="24">
        <v>40</v>
      </c>
      <c r="E73" s="24">
        <v>73</v>
      </c>
      <c r="F73" s="24">
        <v>7</v>
      </c>
      <c r="G73" s="24">
        <v>42</v>
      </c>
      <c r="H73" s="24">
        <v>37</v>
      </c>
      <c r="I73" s="24">
        <v>75</v>
      </c>
      <c r="J73" s="24">
        <v>104</v>
      </c>
      <c r="K73" s="24">
        <v>89</v>
      </c>
      <c r="L73" s="24">
        <v>60</v>
      </c>
      <c r="M73" s="24">
        <v>55</v>
      </c>
      <c r="N73" s="60" t="s">
        <v>65</v>
      </c>
      <c r="O73" s="60">
        <v>74</v>
      </c>
      <c r="P73" s="18">
        <v>51</v>
      </c>
    </row>
    <row r="74" spans="1:16" ht="24" customHeight="1" thickBot="1">
      <c r="A74" s="84" t="s">
        <v>73</v>
      </c>
      <c r="B74" s="20">
        <v>5</v>
      </c>
      <c r="C74" s="20">
        <v>4.6461538461538447</v>
      </c>
      <c r="D74" s="20">
        <v>4.799999999999998</v>
      </c>
      <c r="E74" s="20">
        <v>4.6164383561643856</v>
      </c>
      <c r="F74" s="20">
        <v>4.4285714285714288</v>
      </c>
      <c r="G74" s="20">
        <v>4.6190476190476177</v>
      </c>
      <c r="H74" s="20">
        <v>4.6756756756756754</v>
      </c>
      <c r="I74" s="20">
        <v>4.4533333333333314</v>
      </c>
      <c r="J74" s="20">
        <v>4.4615384615384608</v>
      </c>
      <c r="K74" s="20">
        <v>4.7078651685393265</v>
      </c>
      <c r="L74" s="20">
        <v>4.6833333333333345</v>
      </c>
      <c r="M74" s="20">
        <v>4.6181818181818199</v>
      </c>
      <c r="N74" s="60" t="s">
        <v>65</v>
      </c>
      <c r="O74" s="20">
        <v>4.6216216216216202</v>
      </c>
      <c r="P74" s="20">
        <v>4.4509803921568611</v>
      </c>
    </row>
    <row r="75" spans="1:16" ht="24" customHeight="1" thickBot="1">
      <c r="A75" s="85" t="s">
        <v>74</v>
      </c>
      <c r="B75" s="20">
        <v>5</v>
      </c>
      <c r="C75" s="20">
        <v>4.6769230769230772</v>
      </c>
      <c r="D75" s="20">
        <v>4.7499999999999991</v>
      </c>
      <c r="E75" s="20">
        <v>4.6301369863013706</v>
      </c>
      <c r="F75" s="20">
        <v>4.5714285714285712</v>
      </c>
      <c r="G75" s="20">
        <v>4.5952380952380958</v>
      </c>
      <c r="H75" s="20">
        <v>4.6756756756756754</v>
      </c>
      <c r="I75" s="20">
        <v>4.4799999999999978</v>
      </c>
      <c r="J75" s="20">
        <v>4.4423076923076916</v>
      </c>
      <c r="K75" s="20">
        <v>4.7415730337078665</v>
      </c>
      <c r="L75" s="20">
        <v>4.7166666666666659</v>
      </c>
      <c r="M75" s="20">
        <v>4.5636363636363644</v>
      </c>
      <c r="N75" s="60" t="s">
        <v>65</v>
      </c>
      <c r="O75" s="20">
        <v>4.6351351351351342</v>
      </c>
      <c r="P75" s="20">
        <v>4.4117647058823533</v>
      </c>
    </row>
    <row r="76" spans="1:16" ht="24" customHeight="1" thickBot="1">
      <c r="A76" s="85" t="s">
        <v>75</v>
      </c>
      <c r="B76" s="20">
        <v>5</v>
      </c>
      <c r="C76" s="20">
        <v>4.615384615384615</v>
      </c>
      <c r="D76" s="20">
        <v>4.7249999999999996</v>
      </c>
      <c r="E76" s="20">
        <v>4.5753424657534261</v>
      </c>
      <c r="F76" s="20">
        <v>4.7142857142857135</v>
      </c>
      <c r="G76" s="20">
        <v>4.6190476190476204</v>
      </c>
      <c r="H76" s="20">
        <v>4.6486486486486482</v>
      </c>
      <c r="I76" s="20">
        <v>4.4799999999999978</v>
      </c>
      <c r="J76" s="20">
        <v>4.4326923076923066</v>
      </c>
      <c r="K76" s="20">
        <v>4.7415730337078656</v>
      </c>
      <c r="L76" s="20">
        <v>4.6999999999999993</v>
      </c>
      <c r="M76" s="20">
        <v>4.5636363636363644</v>
      </c>
      <c r="N76" s="60" t="s">
        <v>65</v>
      </c>
      <c r="O76" s="20">
        <v>4.6351351351351342</v>
      </c>
      <c r="P76" s="20">
        <v>4.4901960784313699</v>
      </c>
    </row>
    <row r="77" spans="1:16" ht="24" customHeight="1" thickBot="1">
      <c r="A77" s="85" t="s">
        <v>76</v>
      </c>
      <c r="B77" s="20">
        <v>5</v>
      </c>
      <c r="C77" s="20">
        <v>4.615384615384615</v>
      </c>
      <c r="D77" s="20">
        <v>4.7999999999999989</v>
      </c>
      <c r="E77" s="20">
        <v>4.6438356164383565</v>
      </c>
      <c r="F77" s="20">
        <v>4.7142857142857135</v>
      </c>
      <c r="G77" s="20">
        <v>4.4999999999999991</v>
      </c>
      <c r="H77" s="20">
        <v>4.6216216216216219</v>
      </c>
      <c r="I77" s="20">
        <v>4.3999999999999995</v>
      </c>
      <c r="J77" s="20">
        <v>4.4807692307692317</v>
      </c>
      <c r="K77" s="20">
        <v>4.7078651685393256</v>
      </c>
      <c r="L77" s="20">
        <v>4.7166666666666659</v>
      </c>
      <c r="M77" s="20">
        <v>4.5272727272727256</v>
      </c>
      <c r="N77" s="60" t="s">
        <v>65</v>
      </c>
      <c r="O77" s="20">
        <v>4.6351351351351342</v>
      </c>
      <c r="P77" s="20">
        <v>4.5294117647058822</v>
      </c>
    </row>
    <row r="78" spans="1:16" ht="24" customHeight="1" thickBot="1">
      <c r="A78" s="85" t="s">
        <v>77</v>
      </c>
      <c r="B78" s="20">
        <v>5</v>
      </c>
      <c r="C78" s="20">
        <v>4.5846153846153861</v>
      </c>
      <c r="D78" s="20">
        <v>4.6749999999999998</v>
      </c>
      <c r="E78" s="20">
        <v>4.5479452054794534</v>
      </c>
      <c r="F78" s="20">
        <v>4.2857142857142856</v>
      </c>
      <c r="G78" s="20">
        <v>4.4761904761904736</v>
      </c>
      <c r="H78" s="20">
        <v>4.621621621621621</v>
      </c>
      <c r="I78" s="20">
        <v>4.4399999999999986</v>
      </c>
      <c r="J78" s="20">
        <v>4.4615384615384617</v>
      </c>
      <c r="K78" s="20">
        <v>4.6404494382022454</v>
      </c>
      <c r="L78" s="20">
        <v>4.6500000000000004</v>
      </c>
      <c r="M78" s="20">
        <v>4.5454545454545459</v>
      </c>
      <c r="N78" s="60" t="s">
        <v>65</v>
      </c>
      <c r="O78" s="20">
        <v>4.6891891891891886</v>
      </c>
      <c r="P78" s="20">
        <v>4.6274509803921555</v>
      </c>
    </row>
    <row r="79" spans="1:16" ht="24" customHeight="1" thickBot="1">
      <c r="A79" s="85" t="s">
        <v>78</v>
      </c>
      <c r="B79" s="20">
        <v>5</v>
      </c>
      <c r="C79" s="20">
        <v>4.5692307692307708</v>
      </c>
      <c r="D79" s="20">
        <v>4.6749999999999998</v>
      </c>
      <c r="E79" s="20">
        <v>4.5205479452054789</v>
      </c>
      <c r="F79" s="20">
        <v>4.7142857142857135</v>
      </c>
      <c r="G79" s="20">
        <v>4.6904761904761907</v>
      </c>
      <c r="H79" s="20">
        <v>4.5945945945945947</v>
      </c>
      <c r="I79" s="20">
        <v>4.4400000000000004</v>
      </c>
      <c r="J79" s="20">
        <v>4.4423076923076898</v>
      </c>
      <c r="K79" s="20">
        <v>4.6404494382022463</v>
      </c>
      <c r="L79" s="20">
        <v>4.6333333333333337</v>
      </c>
      <c r="M79" s="20">
        <v>4.4363636363636347</v>
      </c>
      <c r="N79" s="60" t="s">
        <v>65</v>
      </c>
      <c r="O79" s="20">
        <v>4.7162162162162158</v>
      </c>
      <c r="P79" s="20">
        <v>4.5294117647058831</v>
      </c>
    </row>
    <row r="80" spans="1:16" ht="24" customHeight="1" thickBot="1">
      <c r="A80" s="85" t="s">
        <v>79</v>
      </c>
      <c r="B80" s="20">
        <v>5</v>
      </c>
      <c r="C80" s="20">
        <v>4.5846153846153852</v>
      </c>
      <c r="D80" s="20">
        <v>4.7</v>
      </c>
      <c r="E80" s="20">
        <v>4.5479452054794542</v>
      </c>
      <c r="F80" s="20">
        <v>4.7142857142857135</v>
      </c>
      <c r="G80" s="20">
        <v>4.7380952380952372</v>
      </c>
      <c r="H80" s="20">
        <v>4.7027027027027026</v>
      </c>
      <c r="I80" s="20">
        <v>4.5333333333333323</v>
      </c>
      <c r="J80" s="20">
        <v>4.4519230769230749</v>
      </c>
      <c r="K80" s="20">
        <v>4.7415730337078656</v>
      </c>
      <c r="L80" s="20">
        <v>4.666666666666667</v>
      </c>
      <c r="M80" s="20">
        <v>4.6181818181818199</v>
      </c>
      <c r="N80" s="60" t="s">
        <v>65</v>
      </c>
      <c r="O80" s="20">
        <v>4.7972972972972974</v>
      </c>
      <c r="P80" s="20">
        <v>4.6274509803921573</v>
      </c>
    </row>
    <row r="81" spans="1:16" ht="24" customHeight="1" thickBot="1">
      <c r="A81" s="85" t="s">
        <v>80</v>
      </c>
      <c r="B81" s="20">
        <v>5</v>
      </c>
      <c r="C81" s="20">
        <v>4.5692307692307699</v>
      </c>
      <c r="D81" s="20">
        <v>4.6000000000000005</v>
      </c>
      <c r="E81" s="20">
        <v>4.5616438356164393</v>
      </c>
      <c r="F81" s="20">
        <v>4.5714285714285712</v>
      </c>
      <c r="G81" s="20">
        <v>4.5952380952380967</v>
      </c>
      <c r="H81" s="20">
        <v>4.4864864864864868</v>
      </c>
      <c r="I81" s="20">
        <v>4.4400000000000004</v>
      </c>
      <c r="J81" s="20">
        <v>4.3942307692307683</v>
      </c>
      <c r="K81" s="20">
        <v>4.6853932584269655</v>
      </c>
      <c r="L81" s="20">
        <v>4.6499999999999995</v>
      </c>
      <c r="M81" s="20">
        <v>4.5090909090909088</v>
      </c>
      <c r="N81" s="60" t="s">
        <v>65</v>
      </c>
      <c r="O81" s="20">
        <v>4.7027027027027062</v>
      </c>
      <c r="P81" s="20">
        <v>4.5098039215686274</v>
      </c>
    </row>
    <row r="82" spans="1:16" ht="24" customHeight="1" thickBot="1">
      <c r="A82" s="85" t="s">
        <v>81</v>
      </c>
      <c r="B82" s="20">
        <v>5</v>
      </c>
      <c r="C82" s="20">
        <v>4.6615384615384636</v>
      </c>
      <c r="D82" s="20">
        <v>4.6749999999999998</v>
      </c>
      <c r="E82" s="20">
        <v>4.5616438356164402</v>
      </c>
      <c r="F82" s="20">
        <v>4.7142857142857135</v>
      </c>
      <c r="G82" s="20">
        <v>4.7142857142857144</v>
      </c>
      <c r="H82" s="20">
        <v>4.6486486486486482</v>
      </c>
      <c r="I82" s="20">
        <v>4.5733333333333341</v>
      </c>
      <c r="J82" s="20">
        <v>4.5288461538461524</v>
      </c>
      <c r="K82" s="20">
        <v>4.7415730337078674</v>
      </c>
      <c r="L82" s="20">
        <v>4.6666666666666661</v>
      </c>
      <c r="M82" s="20">
        <v>4.6181818181818199</v>
      </c>
      <c r="N82" s="60" t="s">
        <v>65</v>
      </c>
      <c r="O82" s="20">
        <v>4.7972972972972983</v>
      </c>
      <c r="P82" s="20">
        <v>4.5490196078431371</v>
      </c>
    </row>
    <row r="83" spans="1:16" ht="24" customHeight="1" thickBot="1">
      <c r="A83" s="85" t="s">
        <v>82</v>
      </c>
      <c r="B83" s="20">
        <v>5</v>
      </c>
      <c r="C83" s="20">
        <v>4.6153846153846159</v>
      </c>
      <c r="D83" s="20">
        <v>4.7000000000000011</v>
      </c>
      <c r="E83" s="20">
        <v>4.5479452054794534</v>
      </c>
      <c r="F83" s="20">
        <v>4.7142857142857135</v>
      </c>
      <c r="G83" s="20">
        <v>4.6904761904761898</v>
      </c>
      <c r="H83" s="20">
        <v>4.5405405405405403</v>
      </c>
      <c r="I83" s="20">
        <v>4.5199999999999978</v>
      </c>
      <c r="J83" s="20">
        <v>4.4326923076923048</v>
      </c>
      <c r="K83" s="20">
        <v>4.7078651685393256</v>
      </c>
      <c r="L83" s="20">
        <v>4.6166666666666671</v>
      </c>
      <c r="M83" s="20">
        <v>4.5272727272727256</v>
      </c>
      <c r="N83" s="60" t="s">
        <v>65</v>
      </c>
      <c r="O83" s="20">
        <v>4.6891891891891886</v>
      </c>
      <c r="P83" s="20">
        <v>4.5686274509803919</v>
      </c>
    </row>
    <row r="84" spans="1:16" ht="24" customHeight="1" thickBot="1">
      <c r="A84" s="85" t="s">
        <v>83</v>
      </c>
      <c r="B84" s="20">
        <v>5</v>
      </c>
      <c r="C84" s="20">
        <v>4.615384615384615</v>
      </c>
      <c r="D84" s="20">
        <v>4.6749999999999998</v>
      </c>
      <c r="E84" s="20">
        <v>4.6164383561643856</v>
      </c>
      <c r="F84" s="20">
        <v>4.7142857142857135</v>
      </c>
      <c r="G84" s="20">
        <v>4.6904761904761898</v>
      </c>
      <c r="H84" s="20">
        <v>4.729729729729728</v>
      </c>
      <c r="I84" s="20">
        <v>4.5333333333333323</v>
      </c>
      <c r="J84" s="20">
        <v>4.3846153846153841</v>
      </c>
      <c r="K84" s="20">
        <v>4.7191011235955056</v>
      </c>
      <c r="L84" s="20">
        <v>4.6666666666666661</v>
      </c>
      <c r="M84" s="20">
        <v>4.6363636363636358</v>
      </c>
      <c r="N84" s="60" t="s">
        <v>65</v>
      </c>
      <c r="O84" s="20">
        <v>4.7837837837837824</v>
      </c>
      <c r="P84" s="20">
        <v>4.6470588235294104</v>
      </c>
    </row>
    <row r="85" spans="1:16" ht="24" customHeight="1" thickBot="1">
      <c r="A85" s="85" t="s">
        <v>84</v>
      </c>
      <c r="B85" s="20">
        <v>5</v>
      </c>
      <c r="C85" s="20">
        <v>4.5538461538461554</v>
      </c>
      <c r="D85" s="20">
        <v>4.7750000000000004</v>
      </c>
      <c r="E85" s="20">
        <v>4.6301369863013706</v>
      </c>
      <c r="F85" s="20">
        <v>4.7142857142857135</v>
      </c>
      <c r="G85" s="20">
        <v>4.6666666666666661</v>
      </c>
      <c r="H85" s="20">
        <v>4.6216216216216219</v>
      </c>
      <c r="I85" s="20">
        <v>4.453333333333334</v>
      </c>
      <c r="J85" s="20">
        <v>4.375</v>
      </c>
      <c r="K85" s="20">
        <v>4.7415730337078656</v>
      </c>
      <c r="L85" s="20">
        <v>4.6999999999999993</v>
      </c>
      <c r="M85" s="20">
        <v>4.5636363636363644</v>
      </c>
      <c r="N85" s="60" t="s">
        <v>65</v>
      </c>
      <c r="O85" s="20">
        <v>4.7297297297297316</v>
      </c>
      <c r="P85" s="20">
        <v>4.5686274509803919</v>
      </c>
    </row>
    <row r="86" spans="1:16" ht="24" customHeight="1" thickBot="1">
      <c r="A86" s="85" t="s">
        <v>85</v>
      </c>
      <c r="B86" s="20">
        <v>5</v>
      </c>
      <c r="C86" s="20">
        <v>4.6000000000000014</v>
      </c>
      <c r="D86" s="20">
        <v>4.6750000000000007</v>
      </c>
      <c r="E86" s="20">
        <v>4.5616438356164384</v>
      </c>
      <c r="F86" s="20">
        <v>4.5714285714285712</v>
      </c>
      <c r="G86" s="20">
        <v>4.6666666666666661</v>
      </c>
      <c r="H86" s="20">
        <v>4.6486486486486482</v>
      </c>
      <c r="I86" s="20">
        <v>4.4933333333333341</v>
      </c>
      <c r="J86" s="20">
        <v>4.442307692307689</v>
      </c>
      <c r="K86" s="20">
        <v>4.7303370786516865</v>
      </c>
      <c r="L86" s="20">
        <v>4.6166666666666671</v>
      </c>
      <c r="M86" s="20">
        <v>4.5090909090909088</v>
      </c>
      <c r="N86" s="60" t="s">
        <v>65</v>
      </c>
      <c r="O86" s="20">
        <v>4.7432432432432439</v>
      </c>
      <c r="P86" s="20">
        <v>4.5294117647058831</v>
      </c>
    </row>
    <row r="87" spans="1:16" ht="24" customHeight="1" thickBot="1">
      <c r="A87" s="85" t="s">
        <v>86</v>
      </c>
      <c r="B87" s="20">
        <v>5</v>
      </c>
      <c r="C87" s="20">
        <v>4.6769230769230772</v>
      </c>
      <c r="D87" s="20">
        <v>4.6749999999999998</v>
      </c>
      <c r="E87" s="20">
        <v>4.6164383561643847</v>
      </c>
      <c r="F87" s="20">
        <v>4.7142857142857135</v>
      </c>
      <c r="G87" s="20">
        <v>4.6666666666666661</v>
      </c>
      <c r="H87" s="20">
        <v>4.7027027027027026</v>
      </c>
      <c r="I87" s="20">
        <v>4.413333333333334</v>
      </c>
      <c r="J87" s="20">
        <v>4.4999999999999973</v>
      </c>
      <c r="K87" s="20">
        <v>4.7078651685393256</v>
      </c>
      <c r="L87" s="20">
        <v>4.6166666666666671</v>
      </c>
      <c r="M87" s="20">
        <v>4.5272727272727264</v>
      </c>
      <c r="N87" s="60" t="s">
        <v>65</v>
      </c>
      <c r="O87" s="20">
        <v>4.743243243243243</v>
      </c>
      <c r="P87" s="20">
        <v>4.5490196078431371</v>
      </c>
    </row>
    <row r="88" spans="1:16" ht="24" customHeight="1" thickBot="1">
      <c r="A88" s="85" t="s">
        <v>87</v>
      </c>
      <c r="B88" s="20">
        <v>5</v>
      </c>
      <c r="C88" s="20">
        <v>4.6615384615384636</v>
      </c>
      <c r="D88" s="20">
        <v>4.6749999999999998</v>
      </c>
      <c r="E88" s="20">
        <v>4.5479452054794525</v>
      </c>
      <c r="F88" s="20">
        <v>4.5714285714285712</v>
      </c>
      <c r="G88" s="20">
        <v>4.6666666666666661</v>
      </c>
      <c r="H88" s="20">
        <v>4.6756756756756754</v>
      </c>
      <c r="I88" s="20">
        <v>4.4800000000000004</v>
      </c>
      <c r="J88" s="20">
        <v>4.5192307692307692</v>
      </c>
      <c r="K88" s="20">
        <v>4.7977528089887675</v>
      </c>
      <c r="L88" s="20">
        <v>4.6999999999999984</v>
      </c>
      <c r="M88" s="20">
        <v>4.5272727272727256</v>
      </c>
      <c r="N88" s="60" t="s">
        <v>65</v>
      </c>
      <c r="O88" s="20">
        <v>4.7567567567567588</v>
      </c>
      <c r="P88" s="20">
        <v>4.6078431372549007</v>
      </c>
    </row>
    <row r="89" spans="1:16" ht="24" customHeight="1" thickBot="1">
      <c r="A89" s="85" t="s">
        <v>88</v>
      </c>
      <c r="B89" s="20">
        <v>5</v>
      </c>
      <c r="C89" s="20">
        <v>4.6769230769230772</v>
      </c>
      <c r="D89" s="20">
        <v>4.6500000000000004</v>
      </c>
      <c r="E89" s="20">
        <v>4.6301369863013697</v>
      </c>
      <c r="F89" s="20">
        <v>4.7142857142857135</v>
      </c>
      <c r="G89" s="20">
        <v>4.6666666666666687</v>
      </c>
      <c r="H89" s="20">
        <v>4.7567567567567561</v>
      </c>
      <c r="I89" s="20">
        <v>4.5466666666666651</v>
      </c>
      <c r="J89" s="20">
        <v>4.4999999999999991</v>
      </c>
      <c r="K89" s="20">
        <v>4.7640449438202239</v>
      </c>
      <c r="L89" s="20">
        <v>4.6000000000000014</v>
      </c>
      <c r="M89" s="20">
        <v>4.6181818181818191</v>
      </c>
      <c r="N89" s="60" t="s">
        <v>65</v>
      </c>
      <c r="O89" s="20">
        <v>4.7567567567567579</v>
      </c>
      <c r="P89" s="20">
        <v>4.666666666666667</v>
      </c>
    </row>
    <row r="90" spans="1:16" ht="24" customHeight="1">
      <c r="A90" s="8" t="s">
        <v>9</v>
      </c>
      <c r="B90" s="20">
        <v>5</v>
      </c>
      <c r="C90" s="20">
        <v>4.6201923076923093</v>
      </c>
      <c r="D90" s="20">
        <v>4.7015624999999996</v>
      </c>
      <c r="E90" s="20">
        <v>4.5847602739726012</v>
      </c>
      <c r="F90" s="20">
        <v>4.6339285714285712</v>
      </c>
      <c r="G90" s="20">
        <v>4.6413690476190474</v>
      </c>
      <c r="H90" s="20">
        <v>4.6469594594594605</v>
      </c>
      <c r="I90" s="20">
        <v>4.4800000000000004</v>
      </c>
      <c r="J90" s="20">
        <v>4.4531249999999973</v>
      </c>
      <c r="K90" s="20">
        <v>4.719803370786515</v>
      </c>
      <c r="L90" s="20">
        <v>4.6624999999999996</v>
      </c>
      <c r="M90" s="20">
        <v>4.5568181818181817</v>
      </c>
      <c r="N90" s="60" t="s">
        <v>65</v>
      </c>
      <c r="O90" s="20">
        <v>4.7145270270270272</v>
      </c>
      <c r="P90" s="20">
        <v>4.5539215686274526</v>
      </c>
    </row>
    <row r="91" spans="1:16" s="65" customFormat="1">
      <c r="A91" s="64" t="s">
        <v>10</v>
      </c>
      <c r="B91" s="66">
        <f t="shared" ref="B91:C91" si="6">B90*20</f>
        <v>100</v>
      </c>
      <c r="C91" s="66">
        <f t="shared" si="6"/>
        <v>92.403846153846189</v>
      </c>
      <c r="D91" s="66">
        <f>D90*20</f>
        <v>94.03125</v>
      </c>
      <c r="E91" s="62">
        <f>E90*20</f>
        <v>91.695205479452028</v>
      </c>
      <c r="F91" s="62">
        <f>F90*20</f>
        <v>92.678571428571416</v>
      </c>
      <c r="G91" s="62">
        <f>G90*20</f>
        <v>92.827380952380949</v>
      </c>
      <c r="H91" s="62">
        <f t="shared" ref="H91:P91" si="7">H90*20</f>
        <v>92.939189189189207</v>
      </c>
      <c r="I91" s="62">
        <f t="shared" si="7"/>
        <v>89.600000000000009</v>
      </c>
      <c r="J91" s="62">
        <f t="shared" si="7"/>
        <v>89.062499999999943</v>
      </c>
      <c r="K91" s="62">
        <f t="shared" si="7"/>
        <v>94.3960674157303</v>
      </c>
      <c r="L91" s="62">
        <f t="shared" si="7"/>
        <v>93.25</v>
      </c>
      <c r="M91" s="62">
        <f t="shared" si="7"/>
        <v>91.136363636363626</v>
      </c>
      <c r="N91" s="60" t="s">
        <v>65</v>
      </c>
      <c r="O91" s="62">
        <f t="shared" ref="O91" si="8">O90*20</f>
        <v>94.290540540540547</v>
      </c>
      <c r="P91" s="62">
        <f t="shared" si="7"/>
        <v>91.078431372549048</v>
      </c>
    </row>
    <row r="92" spans="1:16">
      <c r="A92" s="16" t="s">
        <v>44</v>
      </c>
      <c r="B92" s="61">
        <v>50</v>
      </c>
      <c r="C92" s="61">
        <v>86.15384615384616</v>
      </c>
      <c r="D92" s="61">
        <v>92.5</v>
      </c>
      <c r="E92" s="61">
        <v>97.260273972602747</v>
      </c>
      <c r="F92" s="61">
        <v>100</v>
      </c>
      <c r="G92" s="61">
        <v>95.238095238095241</v>
      </c>
      <c r="H92" s="61">
        <v>89.189189189189193</v>
      </c>
      <c r="I92" s="61">
        <v>89.333333333333329</v>
      </c>
      <c r="J92" s="61">
        <v>98.07692307692308</v>
      </c>
      <c r="K92" s="61">
        <v>96.629213483146074</v>
      </c>
      <c r="L92" s="61">
        <v>91.666666666666671</v>
      </c>
      <c r="M92" s="61">
        <v>94.545454545454547</v>
      </c>
      <c r="N92" s="75" t="s">
        <v>66</v>
      </c>
      <c r="O92" s="21">
        <v>100</v>
      </c>
      <c r="P92" s="61">
        <v>98.039215686274517</v>
      </c>
    </row>
    <row r="93" spans="1:16" ht="24" customHeight="1"/>
    <row r="94" spans="1:16" ht="24" customHeight="1"/>
    <row r="95" spans="1:16">
      <c r="B95" s="3"/>
      <c r="E95" s="10"/>
      <c r="F95" s="10"/>
    </row>
    <row r="96" spans="1:16">
      <c r="B96" s="3"/>
      <c r="E96" s="11"/>
      <c r="F96" s="11"/>
    </row>
    <row r="97" spans="2:6">
      <c r="B97" s="3"/>
      <c r="E97" s="11"/>
      <c r="F97" s="11"/>
    </row>
    <row r="98" spans="2:6">
      <c r="B98" s="3"/>
      <c r="E98" s="11"/>
      <c r="F98" s="11"/>
    </row>
    <row r="99" spans="2:6">
      <c r="B99" s="3"/>
      <c r="E99" s="11"/>
      <c r="F99" s="11"/>
    </row>
    <row r="100" spans="2:6">
      <c r="B100" s="3"/>
      <c r="E100" s="11"/>
      <c r="F100" s="11"/>
    </row>
    <row r="101" spans="2:6">
      <c r="B101" s="3"/>
      <c r="E101" s="11"/>
      <c r="F101" s="11"/>
    </row>
    <row r="102" spans="2:6">
      <c r="B102" s="3"/>
      <c r="E102" s="11"/>
      <c r="F102" s="11"/>
    </row>
    <row r="103" spans="2:6" ht="24" customHeight="1">
      <c r="B103" s="3"/>
      <c r="E103" s="11"/>
      <c r="F103" s="11"/>
    </row>
    <row r="104" spans="2:6" ht="24" customHeight="1">
      <c r="B104" s="3"/>
      <c r="E104" s="11"/>
      <c r="F104" s="11"/>
    </row>
    <row r="105" spans="2:6">
      <c r="B105" s="3"/>
      <c r="E105" s="11"/>
      <c r="F105" s="11"/>
    </row>
    <row r="106" spans="2:6">
      <c r="B106" s="3"/>
      <c r="E106" s="11"/>
      <c r="F106" s="11"/>
    </row>
    <row r="107" spans="2:6">
      <c r="B107" s="3"/>
      <c r="E107" s="11"/>
      <c r="F107" s="11"/>
    </row>
    <row r="108" spans="2:6">
      <c r="B108" s="3"/>
      <c r="E108" s="11"/>
      <c r="F108" s="11"/>
    </row>
    <row r="109" spans="2:6">
      <c r="B109" s="3"/>
      <c r="E109" s="11"/>
      <c r="F109" s="11"/>
    </row>
    <row r="110" spans="2:6">
      <c r="B110" s="3"/>
      <c r="E110" s="11"/>
      <c r="F110" s="11"/>
    </row>
    <row r="111" spans="2:6" ht="24" customHeight="1">
      <c r="B111" s="3"/>
      <c r="E111" s="11"/>
      <c r="F111" s="11"/>
    </row>
    <row r="112" spans="2:6" ht="24" customHeight="1">
      <c r="B112" s="3"/>
      <c r="E112" s="11"/>
      <c r="F112" s="11"/>
    </row>
    <row r="113" spans="2:6">
      <c r="B113" s="3"/>
      <c r="E113" s="12"/>
      <c r="F113" s="12"/>
    </row>
    <row r="114" spans="2:6">
      <c r="B114" s="3"/>
      <c r="E114" s="12"/>
      <c r="F114" s="12"/>
    </row>
    <row r="115" spans="2:6">
      <c r="B115" s="3"/>
    </row>
  </sheetData>
  <mergeCells count="1">
    <mergeCell ref="A1:R1"/>
  </mergeCells>
  <pageMargins left="0.31496062992125984" right="0" top="0.51181102362204722" bottom="0.11811023622047245" header="0.31496062992125984" footer="0.31496062992125984"/>
  <pageSetup scale="68" orientation="landscape" r:id="rId1"/>
  <rowBreaks count="4" manualBreakCount="4">
    <brk id="24" max="16383" man="1"/>
    <brk id="47" max="16383" man="1"/>
    <brk id="70" max="16383" man="1"/>
    <brk id="93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83"/>
  <sheetViews>
    <sheetView tabSelected="1" zoomScale="130" zoomScaleNormal="130" zoomScaleSheetLayoutView="120" workbookViewId="0">
      <selection activeCell="C163" sqref="C163"/>
    </sheetView>
  </sheetViews>
  <sheetFormatPr defaultColWidth="9" defaultRowHeight="21"/>
  <cols>
    <col min="1" max="1" width="4.75" style="33" customWidth="1"/>
    <col min="2" max="2" width="27.625" style="33" customWidth="1"/>
    <col min="3" max="7" width="12" style="33" customWidth="1"/>
    <col min="8" max="8" width="60.625" style="33" customWidth="1"/>
    <col min="9" max="9" width="14.75" style="33" customWidth="1"/>
    <col min="10" max="10" width="7.25" style="33" customWidth="1"/>
    <col min="11" max="16384" width="9" style="33"/>
  </cols>
  <sheetData>
    <row r="1" spans="1:9" s="47" customFormat="1" ht="43.5" customHeight="1">
      <c r="A1" s="105" t="s">
        <v>97</v>
      </c>
      <c r="B1" s="106"/>
      <c r="C1" s="106"/>
      <c r="D1" s="106"/>
      <c r="E1" s="106"/>
      <c r="F1" s="106"/>
      <c r="G1" s="106"/>
      <c r="H1" s="106"/>
      <c r="I1" s="106"/>
    </row>
    <row r="2" spans="1:9" s="47" customFormat="1">
      <c r="A2" s="104" t="s">
        <v>100</v>
      </c>
      <c r="B2" s="104"/>
      <c r="C2" s="104"/>
      <c r="D2" s="104"/>
      <c r="E2" s="104"/>
      <c r="F2" s="104"/>
      <c r="G2" s="104"/>
      <c r="H2" s="104"/>
    </row>
    <row r="3" spans="1:9" s="35" customFormat="1">
      <c r="A3" s="104" t="s">
        <v>99</v>
      </c>
      <c r="B3" s="104"/>
      <c r="C3" s="104"/>
      <c r="D3" s="104"/>
      <c r="E3" s="104"/>
      <c r="F3" s="104"/>
      <c r="G3" s="104"/>
      <c r="H3" s="104"/>
      <c r="I3" s="47"/>
    </row>
    <row r="4" spans="1:9" s="47" customFormat="1">
      <c r="A4" s="49" t="s">
        <v>53</v>
      </c>
      <c r="B4" s="49"/>
      <c r="C4" s="49"/>
      <c r="D4" s="49"/>
      <c r="E4" s="49"/>
      <c r="F4" s="50"/>
      <c r="G4" s="50"/>
      <c r="H4" s="50"/>
      <c r="I4" s="35"/>
    </row>
    <row r="5" spans="1:9" s="47" customFormat="1">
      <c r="B5" s="108" t="s">
        <v>231</v>
      </c>
      <c r="C5" s="108"/>
      <c r="D5" s="108"/>
      <c r="E5" s="108"/>
      <c r="F5" s="108"/>
      <c r="G5" s="108"/>
      <c r="H5" s="108"/>
    </row>
    <row r="6" spans="1:9" s="82" customFormat="1">
      <c r="A6" s="47"/>
      <c r="B6" s="108" t="s">
        <v>223</v>
      </c>
      <c r="C6" s="108"/>
      <c r="D6" s="108"/>
      <c r="E6" s="108"/>
      <c r="F6" s="108"/>
      <c r="G6" s="108"/>
      <c r="H6" s="108"/>
      <c r="I6" s="47"/>
    </row>
    <row r="7" spans="1:9" s="35" customFormat="1" ht="21.75" customHeight="1">
      <c r="A7" s="82"/>
      <c r="B7" s="109" t="s">
        <v>230</v>
      </c>
      <c r="C7" s="109"/>
      <c r="D7" s="109"/>
      <c r="E7" s="109"/>
      <c r="F7" s="109"/>
      <c r="G7" s="109"/>
      <c r="H7" s="109"/>
      <c r="I7" s="82"/>
    </row>
    <row r="8" spans="1:9" s="35" customFormat="1" ht="21.75" customHeight="1">
      <c r="B8" s="51" t="s">
        <v>0</v>
      </c>
      <c r="C8" s="52" t="s">
        <v>33</v>
      </c>
      <c r="D8" s="52" t="s">
        <v>34</v>
      </c>
      <c r="E8" s="52" t="s">
        <v>35</v>
      </c>
      <c r="F8" s="52" t="s">
        <v>36</v>
      </c>
      <c r="G8" s="52" t="s">
        <v>37</v>
      </c>
    </row>
    <row r="9" spans="1:9" s="35" customFormat="1" ht="21.75" customHeight="1">
      <c r="B9" s="53" t="s">
        <v>8</v>
      </c>
      <c r="C9" s="54">
        <v>802</v>
      </c>
      <c r="D9" s="54" t="s">
        <v>98</v>
      </c>
      <c r="E9" s="91">
        <v>98</v>
      </c>
      <c r="F9" s="55" t="s">
        <v>165</v>
      </c>
      <c r="G9" s="55">
        <v>36</v>
      </c>
    </row>
    <row r="10" spans="1:9" s="35" customFormat="1" ht="21.75" customHeight="1">
      <c r="B10" s="53" t="s">
        <v>9</v>
      </c>
      <c r="C10" s="28">
        <v>4.3271508728179509</v>
      </c>
      <c r="D10" s="28">
        <v>4.5718283582089603</v>
      </c>
      <c r="E10" s="89">
        <v>4.4151785714285694</v>
      </c>
      <c r="F10" s="80">
        <v>4.88</v>
      </c>
      <c r="G10" s="80">
        <v>4.7795138888888902</v>
      </c>
    </row>
    <row r="11" spans="1:9" s="35" customFormat="1" ht="21.75" customHeight="1">
      <c r="B11" s="53" t="s">
        <v>10</v>
      </c>
      <c r="C11" s="28">
        <v>86.543017456359024</v>
      </c>
      <c r="D11" s="28">
        <v>91.436567164179209</v>
      </c>
      <c r="E11" s="90">
        <f>E10*20</f>
        <v>88.303571428571388</v>
      </c>
      <c r="F11" s="81">
        <v>97.51</v>
      </c>
      <c r="G11" s="81">
        <v>95.5902777777778</v>
      </c>
    </row>
    <row r="12" spans="1:9" s="35" customFormat="1" ht="24" customHeight="1">
      <c r="B12" s="57"/>
      <c r="C12" s="58"/>
      <c r="D12" s="58"/>
      <c r="E12" s="58"/>
      <c r="F12" s="70"/>
      <c r="G12" s="70"/>
    </row>
    <row r="13" spans="1:9" s="35" customFormat="1" ht="24" customHeight="1">
      <c r="A13" s="107" t="s">
        <v>38</v>
      </c>
      <c r="B13" s="107"/>
      <c r="H13" s="35" t="s">
        <v>51</v>
      </c>
    </row>
    <row r="14" spans="1:9" s="35" customFormat="1" ht="24" customHeight="1">
      <c r="B14" s="38" t="s">
        <v>39</v>
      </c>
    </row>
    <row r="15" spans="1:9" s="35" customFormat="1" ht="24" customHeight="1">
      <c r="B15" s="88" t="s">
        <v>151</v>
      </c>
    </row>
    <row r="16" spans="1:9" s="35" customFormat="1" ht="24" customHeight="1">
      <c r="B16" s="88" t="s">
        <v>154</v>
      </c>
    </row>
    <row r="17" spans="1:9" s="69" customFormat="1" ht="24" customHeight="1">
      <c r="A17" s="33"/>
      <c r="B17" s="32" t="s">
        <v>153</v>
      </c>
      <c r="C17" s="36"/>
      <c r="D17" s="36"/>
      <c r="E17" s="36"/>
      <c r="F17" s="36"/>
      <c r="G17" s="36"/>
      <c r="H17" s="36"/>
      <c r="I17" s="33"/>
    </row>
    <row r="18" spans="1:9" s="69" customFormat="1" ht="24" customHeight="1">
      <c r="A18" s="33"/>
      <c r="B18" s="32" t="s">
        <v>164</v>
      </c>
      <c r="C18" s="36"/>
      <c r="D18" s="36"/>
      <c r="E18" s="36"/>
      <c r="F18" s="36"/>
      <c r="G18" s="36"/>
      <c r="H18" s="36"/>
      <c r="I18" s="33"/>
    </row>
    <row r="19" spans="1:9" s="69" customFormat="1" ht="24" customHeight="1">
      <c r="A19" s="33"/>
      <c r="B19" s="32" t="s">
        <v>152</v>
      </c>
      <c r="C19" s="36"/>
      <c r="D19" s="36"/>
      <c r="E19" s="36"/>
      <c r="F19" s="36"/>
      <c r="G19" s="36"/>
      <c r="H19" s="36"/>
      <c r="I19" s="33"/>
    </row>
    <row r="20" spans="1:9" s="69" customFormat="1" ht="24" customHeight="1">
      <c r="A20" s="33"/>
      <c r="B20" s="32" t="s">
        <v>103</v>
      </c>
      <c r="C20" s="36"/>
      <c r="D20" s="36"/>
      <c r="E20" s="36"/>
      <c r="F20" s="36"/>
      <c r="G20" s="36"/>
      <c r="H20" s="36"/>
      <c r="I20" s="33"/>
    </row>
    <row r="21" spans="1:9" s="69" customFormat="1" ht="24" customHeight="1">
      <c r="A21" s="33"/>
      <c r="B21" s="32" t="s">
        <v>106</v>
      </c>
      <c r="C21" s="36"/>
      <c r="D21" s="36"/>
      <c r="E21" s="36"/>
      <c r="F21" s="36"/>
      <c r="G21" s="36"/>
      <c r="H21" s="36"/>
      <c r="I21" s="33"/>
    </row>
    <row r="22" spans="1:9" s="69" customFormat="1" ht="24" customHeight="1">
      <c r="A22" s="33"/>
      <c r="B22" s="32" t="s">
        <v>129</v>
      </c>
      <c r="C22" s="36"/>
      <c r="D22" s="36"/>
      <c r="E22" s="36"/>
      <c r="F22" s="36"/>
      <c r="G22" s="36"/>
      <c r="H22" s="36"/>
      <c r="I22" s="33"/>
    </row>
    <row r="23" spans="1:9" s="69" customFormat="1" ht="24" customHeight="1">
      <c r="A23" s="33"/>
      <c r="B23" s="32" t="s">
        <v>140</v>
      </c>
      <c r="C23" s="36"/>
      <c r="D23" s="36"/>
      <c r="E23" s="36"/>
      <c r="F23" s="36"/>
      <c r="G23" s="36"/>
      <c r="H23" s="36"/>
      <c r="I23" s="33"/>
    </row>
    <row r="24" spans="1:9" s="69" customFormat="1" ht="24" customHeight="1">
      <c r="A24" s="33"/>
      <c r="B24" s="32" t="s">
        <v>148</v>
      </c>
      <c r="C24" s="36"/>
      <c r="D24" s="36"/>
      <c r="E24" s="36"/>
      <c r="F24" s="36"/>
      <c r="G24" s="36"/>
      <c r="H24" s="36"/>
      <c r="I24" s="33"/>
    </row>
    <row r="25" spans="1:9" s="69" customFormat="1" ht="24" customHeight="1">
      <c r="A25" s="33"/>
      <c r="B25" s="32" t="s">
        <v>149</v>
      </c>
      <c r="C25" s="36"/>
      <c r="D25" s="36"/>
      <c r="E25" s="36"/>
      <c r="F25" s="36"/>
      <c r="G25" s="36"/>
      <c r="H25" s="36"/>
      <c r="I25" s="33"/>
    </row>
    <row r="26" spans="1:9" s="69" customFormat="1" ht="24" customHeight="1">
      <c r="A26" s="33"/>
      <c r="B26" s="32" t="s">
        <v>121</v>
      </c>
      <c r="C26" s="36"/>
      <c r="D26" s="36"/>
      <c r="E26" s="36"/>
      <c r="F26" s="36"/>
      <c r="G26" s="36"/>
      <c r="H26" s="36"/>
      <c r="I26" s="33"/>
    </row>
    <row r="27" spans="1:9" s="69" customFormat="1" ht="24" customHeight="1">
      <c r="A27" s="33"/>
      <c r="B27" s="69" t="s">
        <v>130</v>
      </c>
      <c r="C27" s="36"/>
      <c r="D27" s="36"/>
      <c r="E27" s="36"/>
      <c r="F27" s="36"/>
      <c r="G27" s="36"/>
      <c r="H27" s="36"/>
      <c r="I27" s="33"/>
    </row>
    <row r="28" spans="1:9" s="69" customFormat="1" ht="24" customHeight="1">
      <c r="A28" s="33"/>
      <c r="B28" s="32" t="s">
        <v>110</v>
      </c>
      <c r="C28" s="36"/>
      <c r="D28" s="36"/>
      <c r="E28" s="36"/>
      <c r="F28" s="36"/>
      <c r="G28" s="36"/>
      <c r="H28" s="36"/>
      <c r="I28" s="33"/>
    </row>
    <row r="29" spans="1:9" s="69" customFormat="1" ht="24" customHeight="1">
      <c r="A29" s="33"/>
      <c r="B29" s="69" t="s">
        <v>117</v>
      </c>
      <c r="C29" s="36"/>
      <c r="D29" s="36"/>
      <c r="E29" s="36"/>
      <c r="F29" s="36"/>
      <c r="G29" s="36"/>
      <c r="H29" s="36"/>
      <c r="I29" s="33"/>
    </row>
    <row r="30" spans="1:9" s="69" customFormat="1" ht="24" customHeight="1">
      <c r="A30" s="33"/>
      <c r="B30" s="69" t="s">
        <v>224</v>
      </c>
      <c r="C30" s="36"/>
      <c r="D30" s="36"/>
      <c r="E30" s="36"/>
      <c r="F30" s="36"/>
      <c r="G30" s="36"/>
      <c r="H30" s="36"/>
      <c r="I30" s="33"/>
    </row>
    <row r="31" spans="1:9" s="69" customFormat="1" ht="24" customHeight="1">
      <c r="A31" s="33"/>
      <c r="B31" s="32" t="s">
        <v>114</v>
      </c>
      <c r="C31" s="36"/>
      <c r="D31" s="36"/>
      <c r="E31" s="36"/>
      <c r="F31" s="36"/>
      <c r="G31" s="36"/>
      <c r="H31" s="36"/>
      <c r="I31" s="33"/>
    </row>
    <row r="32" spans="1:9" s="69" customFormat="1" ht="24" customHeight="1">
      <c r="A32" s="33"/>
      <c r="B32" s="32" t="s">
        <v>105</v>
      </c>
      <c r="C32" s="36"/>
      <c r="D32" s="36"/>
      <c r="E32" s="36"/>
      <c r="F32" s="36"/>
      <c r="G32" s="36"/>
      <c r="H32" s="36"/>
      <c r="I32" s="33"/>
    </row>
    <row r="33" spans="1:9" s="69" customFormat="1" ht="24" customHeight="1">
      <c r="A33" s="33"/>
      <c r="B33" s="32" t="s">
        <v>104</v>
      </c>
      <c r="C33" s="36"/>
      <c r="D33" s="36"/>
      <c r="E33" s="36"/>
      <c r="F33" s="36"/>
      <c r="G33" s="36"/>
      <c r="H33" s="36"/>
      <c r="I33" s="33"/>
    </row>
    <row r="34" spans="1:9" s="69" customFormat="1" ht="24" customHeight="1">
      <c r="A34" s="33"/>
      <c r="B34" s="32" t="s">
        <v>132</v>
      </c>
      <c r="C34" s="36"/>
      <c r="D34" s="36"/>
      <c r="E34" s="36"/>
      <c r="F34" s="36"/>
      <c r="G34" s="36"/>
      <c r="H34" s="36"/>
      <c r="I34" s="33"/>
    </row>
    <row r="35" spans="1:9" s="69" customFormat="1" ht="24" customHeight="1">
      <c r="A35" s="33"/>
      <c r="B35" s="32" t="s">
        <v>133</v>
      </c>
      <c r="C35" s="36"/>
      <c r="D35" s="36"/>
      <c r="E35" s="36"/>
      <c r="F35" s="36"/>
      <c r="G35" s="36"/>
      <c r="H35" s="36"/>
      <c r="I35" s="33"/>
    </row>
    <row r="36" spans="1:9" s="69" customFormat="1" ht="24" customHeight="1">
      <c r="A36" s="33"/>
      <c r="B36" s="69" t="s">
        <v>112</v>
      </c>
      <c r="C36" s="36"/>
      <c r="D36" s="36"/>
      <c r="E36" s="36"/>
      <c r="F36" s="36"/>
      <c r="G36" s="36"/>
      <c r="H36" s="36"/>
      <c r="I36" s="33"/>
    </row>
    <row r="37" spans="1:9" s="69" customFormat="1" ht="24" customHeight="1">
      <c r="A37" s="33"/>
      <c r="B37" s="32" t="s">
        <v>109</v>
      </c>
      <c r="C37" s="36"/>
      <c r="D37" s="36"/>
      <c r="E37" s="36"/>
      <c r="F37" s="36"/>
      <c r="G37" s="36"/>
      <c r="H37" s="36"/>
      <c r="I37" s="33"/>
    </row>
    <row r="38" spans="1:9" s="69" customFormat="1" ht="24" customHeight="1">
      <c r="A38" s="33"/>
      <c r="B38" s="32" t="s">
        <v>111</v>
      </c>
      <c r="C38" s="36"/>
      <c r="D38" s="36"/>
      <c r="E38" s="36"/>
      <c r="F38" s="36"/>
      <c r="G38" s="36"/>
      <c r="H38" s="36"/>
      <c r="I38" s="33"/>
    </row>
    <row r="39" spans="1:9" s="69" customFormat="1" ht="24" customHeight="1">
      <c r="A39" s="33"/>
      <c r="B39" s="32" t="s">
        <v>225</v>
      </c>
      <c r="C39" s="36"/>
      <c r="D39" s="36"/>
      <c r="E39" s="36"/>
      <c r="F39" s="36"/>
      <c r="G39" s="36"/>
      <c r="H39" s="36"/>
      <c r="I39" s="33"/>
    </row>
    <row r="40" spans="1:9" s="69" customFormat="1" ht="24" customHeight="1">
      <c r="A40" s="33"/>
      <c r="B40" s="32" t="s">
        <v>226</v>
      </c>
      <c r="C40" s="36"/>
      <c r="D40" s="36"/>
      <c r="E40" s="36"/>
      <c r="F40" s="36"/>
      <c r="G40" s="36"/>
      <c r="H40" s="36"/>
      <c r="I40" s="33"/>
    </row>
    <row r="41" spans="1:9" s="69" customFormat="1" ht="24" customHeight="1">
      <c r="A41" s="33"/>
      <c r="B41" s="32" t="s">
        <v>159</v>
      </c>
      <c r="C41" s="36"/>
      <c r="D41" s="36"/>
      <c r="E41" s="36"/>
      <c r="F41" s="36"/>
      <c r="G41" s="36"/>
      <c r="H41" s="36"/>
      <c r="I41" s="33"/>
    </row>
    <row r="42" spans="1:9" s="69" customFormat="1" ht="24" customHeight="1">
      <c r="A42" s="33"/>
      <c r="B42" s="32" t="s">
        <v>134</v>
      </c>
      <c r="C42" s="36"/>
      <c r="D42" s="36"/>
      <c r="E42" s="36"/>
      <c r="F42" s="36"/>
      <c r="G42" s="36"/>
      <c r="H42" s="36"/>
      <c r="I42" s="33"/>
    </row>
    <row r="43" spans="1:9" s="69" customFormat="1" ht="24" customHeight="1">
      <c r="A43" s="33"/>
      <c r="B43" s="32" t="s">
        <v>118</v>
      </c>
      <c r="C43" s="36"/>
      <c r="D43" s="36"/>
      <c r="E43" s="36"/>
      <c r="F43" s="36"/>
      <c r="G43" s="36"/>
      <c r="H43" s="36"/>
      <c r="I43" s="33"/>
    </row>
    <row r="44" spans="1:9" s="69" customFormat="1" ht="24" customHeight="1">
      <c r="A44" s="33"/>
      <c r="B44" s="32" t="s">
        <v>120</v>
      </c>
      <c r="C44" s="36"/>
      <c r="D44" s="36"/>
      <c r="E44" s="36"/>
      <c r="F44" s="36"/>
      <c r="G44" s="36"/>
      <c r="H44" s="36"/>
      <c r="I44" s="33"/>
    </row>
    <row r="45" spans="1:9" s="69" customFormat="1" ht="24" customHeight="1">
      <c r="A45" s="33"/>
      <c r="B45" s="32" t="s">
        <v>122</v>
      </c>
      <c r="C45" s="36"/>
      <c r="D45" s="36"/>
      <c r="E45" s="36"/>
      <c r="F45" s="36"/>
      <c r="G45" s="36"/>
      <c r="H45" s="36"/>
      <c r="I45" s="33"/>
    </row>
    <row r="46" spans="1:9" s="69" customFormat="1" ht="24" customHeight="1">
      <c r="A46" s="33"/>
      <c r="B46" s="32" t="s">
        <v>135</v>
      </c>
      <c r="C46" s="36"/>
      <c r="D46" s="36"/>
      <c r="E46" s="36"/>
      <c r="F46" s="36"/>
      <c r="G46" s="36"/>
      <c r="H46" s="36"/>
      <c r="I46" s="33"/>
    </row>
    <row r="47" spans="1:9" s="69" customFormat="1" ht="24" customHeight="1">
      <c r="A47" s="33"/>
      <c r="B47" s="32" t="s">
        <v>237</v>
      </c>
      <c r="C47" s="36"/>
      <c r="D47" s="36"/>
      <c r="E47" s="36"/>
      <c r="F47" s="36"/>
      <c r="G47" s="36"/>
      <c r="H47" s="36"/>
      <c r="I47" s="33"/>
    </row>
    <row r="48" spans="1:9" s="69" customFormat="1" ht="24" customHeight="1">
      <c r="A48" s="33"/>
      <c r="B48" s="32" t="s">
        <v>155</v>
      </c>
      <c r="C48" s="36"/>
      <c r="D48" s="36"/>
      <c r="E48" s="36"/>
      <c r="F48" s="36"/>
      <c r="G48" s="36"/>
      <c r="H48" s="36"/>
      <c r="I48" s="33"/>
    </row>
    <row r="49" spans="1:9" s="69" customFormat="1" ht="24" customHeight="1">
      <c r="A49" s="33"/>
      <c r="B49" s="32" t="s">
        <v>227</v>
      </c>
      <c r="C49" s="36"/>
      <c r="D49" s="36"/>
      <c r="E49" s="36"/>
      <c r="F49" s="36"/>
      <c r="G49" s="36"/>
      <c r="H49" s="36"/>
      <c r="I49" s="33"/>
    </row>
    <row r="50" spans="1:9" s="69" customFormat="1" ht="24" customHeight="1">
      <c r="A50" s="33"/>
      <c r="B50" s="32" t="s">
        <v>228</v>
      </c>
      <c r="C50" s="36"/>
      <c r="D50" s="36"/>
      <c r="E50" s="36"/>
      <c r="F50" s="36"/>
      <c r="G50" s="36"/>
      <c r="H50" s="36"/>
      <c r="I50" s="33"/>
    </row>
    <row r="51" spans="1:9" s="69" customFormat="1" ht="24" customHeight="1">
      <c r="A51" s="33"/>
      <c r="B51" s="32" t="s">
        <v>163</v>
      </c>
      <c r="C51" s="36"/>
      <c r="D51" s="36"/>
      <c r="E51" s="36"/>
      <c r="F51" s="36"/>
      <c r="G51" s="36"/>
      <c r="H51" s="36"/>
      <c r="I51" s="33"/>
    </row>
    <row r="52" spans="1:9" s="69" customFormat="1" ht="24" customHeight="1">
      <c r="A52" s="33"/>
      <c r="B52" s="32" t="s">
        <v>147</v>
      </c>
      <c r="C52" s="36"/>
      <c r="D52" s="36"/>
      <c r="E52" s="36"/>
      <c r="F52" s="36"/>
      <c r="G52" s="36"/>
      <c r="H52" s="36"/>
      <c r="I52" s="33"/>
    </row>
    <row r="53" spans="1:9" s="69" customFormat="1" ht="24" customHeight="1">
      <c r="A53" s="33"/>
      <c r="B53" s="32" t="s">
        <v>138</v>
      </c>
      <c r="C53" s="36"/>
      <c r="D53" s="36"/>
      <c r="E53" s="36"/>
      <c r="F53" s="36"/>
      <c r="G53" s="36"/>
      <c r="H53" s="36"/>
      <c r="I53" s="33"/>
    </row>
    <row r="54" spans="1:9" s="69" customFormat="1" ht="24" customHeight="1">
      <c r="A54" s="33"/>
      <c r="B54" s="32" t="s">
        <v>180</v>
      </c>
      <c r="C54" s="36"/>
      <c r="D54" s="36"/>
      <c r="E54" s="36"/>
      <c r="F54" s="36"/>
      <c r="G54" s="36"/>
      <c r="H54" s="36"/>
      <c r="I54" s="33"/>
    </row>
    <row r="55" spans="1:9" s="69" customFormat="1" ht="24" customHeight="1">
      <c r="A55" s="33"/>
      <c r="B55" s="32" t="s">
        <v>136</v>
      </c>
      <c r="C55" s="36"/>
      <c r="D55" s="36"/>
      <c r="E55" s="36"/>
      <c r="F55" s="36"/>
      <c r="G55" s="36"/>
      <c r="H55" s="36"/>
      <c r="I55" s="33"/>
    </row>
    <row r="56" spans="1:9" s="69" customFormat="1" ht="24" customHeight="1">
      <c r="A56" s="33"/>
      <c r="B56" s="32" t="s">
        <v>160</v>
      </c>
      <c r="C56" s="36"/>
      <c r="D56" s="36"/>
      <c r="E56" s="36"/>
      <c r="F56" s="36"/>
      <c r="G56" s="36"/>
      <c r="H56" s="36"/>
      <c r="I56" s="33"/>
    </row>
    <row r="57" spans="1:9" s="69" customFormat="1" ht="24" customHeight="1">
      <c r="A57" s="33"/>
      <c r="B57" s="32" t="s">
        <v>116</v>
      </c>
      <c r="C57" s="36"/>
      <c r="D57" s="36"/>
      <c r="E57" s="36"/>
      <c r="F57" s="36"/>
      <c r="G57" s="36"/>
      <c r="H57" s="36"/>
      <c r="I57" s="33"/>
    </row>
    <row r="58" spans="1:9" s="69" customFormat="1" ht="24" customHeight="1">
      <c r="A58" s="33"/>
      <c r="B58" s="32" t="s">
        <v>131</v>
      </c>
      <c r="C58" s="36"/>
      <c r="D58" s="36"/>
      <c r="E58" s="36"/>
      <c r="F58" s="36"/>
      <c r="G58" s="36"/>
      <c r="H58" s="36"/>
      <c r="I58" s="33"/>
    </row>
    <row r="59" spans="1:9" s="69" customFormat="1" ht="24" customHeight="1">
      <c r="A59" s="33"/>
      <c r="B59" s="32" t="s">
        <v>127</v>
      </c>
      <c r="C59" s="36"/>
      <c r="D59" s="36"/>
      <c r="E59" s="36"/>
      <c r="F59" s="36"/>
      <c r="G59" s="36"/>
      <c r="H59" s="36"/>
      <c r="I59" s="33"/>
    </row>
    <row r="60" spans="1:9" s="69" customFormat="1" ht="24" customHeight="1">
      <c r="A60" s="33"/>
      <c r="B60" s="32" t="s">
        <v>126</v>
      </c>
      <c r="C60" s="36"/>
      <c r="D60" s="36"/>
      <c r="E60" s="36"/>
      <c r="F60" s="36"/>
      <c r="G60" s="36"/>
      <c r="H60" s="36"/>
      <c r="I60" s="33"/>
    </row>
    <row r="61" spans="1:9" s="69" customFormat="1" ht="24" customHeight="1">
      <c r="A61" s="33"/>
      <c r="B61" s="32" t="s">
        <v>229</v>
      </c>
      <c r="C61" s="36"/>
      <c r="D61" s="36"/>
      <c r="E61" s="36"/>
      <c r="F61" s="36"/>
      <c r="G61" s="36"/>
      <c r="H61" s="36"/>
      <c r="I61" s="33"/>
    </row>
    <row r="62" spans="1:9" s="69" customFormat="1" ht="24" customHeight="1">
      <c r="A62" s="33"/>
      <c r="B62" s="32" t="s">
        <v>161</v>
      </c>
      <c r="C62" s="36"/>
      <c r="D62" s="36"/>
      <c r="E62" s="36"/>
      <c r="F62" s="36"/>
      <c r="G62" s="36"/>
      <c r="H62" s="36"/>
      <c r="I62" s="33"/>
    </row>
    <row r="63" spans="1:9" s="69" customFormat="1" ht="24" customHeight="1">
      <c r="A63" s="33"/>
      <c r="B63" s="32" t="s">
        <v>125</v>
      </c>
      <c r="C63" s="36"/>
      <c r="D63" s="36"/>
      <c r="E63" s="36"/>
      <c r="F63" s="36"/>
      <c r="G63" s="36"/>
      <c r="H63" s="36"/>
      <c r="I63" s="33"/>
    </row>
    <row r="64" spans="1:9" s="69" customFormat="1" ht="24" customHeight="1">
      <c r="A64" s="33"/>
      <c r="B64" s="32" t="s">
        <v>101</v>
      </c>
      <c r="C64" s="36"/>
      <c r="D64" s="36"/>
      <c r="E64" s="36"/>
      <c r="F64" s="36"/>
      <c r="G64" s="36"/>
      <c r="H64" s="36"/>
      <c r="I64" s="33"/>
    </row>
    <row r="65" spans="1:9" s="69" customFormat="1" ht="24" customHeight="1">
      <c r="A65" s="33"/>
      <c r="B65" s="32" t="s">
        <v>185</v>
      </c>
      <c r="C65" s="36"/>
      <c r="D65" s="36"/>
      <c r="E65" s="36"/>
      <c r="F65" s="36"/>
      <c r="G65" s="36"/>
      <c r="H65" s="36"/>
      <c r="I65" s="33"/>
    </row>
    <row r="66" spans="1:9" s="69" customFormat="1" ht="24" customHeight="1">
      <c r="A66" s="33"/>
      <c r="B66" s="32"/>
      <c r="C66" s="36"/>
      <c r="D66" s="36"/>
      <c r="E66" s="36"/>
      <c r="F66" s="36"/>
      <c r="G66" s="36"/>
      <c r="H66" s="36"/>
      <c r="I66" s="33"/>
    </row>
    <row r="67" spans="1:9" s="69" customFormat="1" ht="24" customHeight="1">
      <c r="A67" s="71"/>
      <c r="B67" s="38" t="s">
        <v>40</v>
      </c>
      <c r="C67" s="37"/>
      <c r="D67" s="37"/>
      <c r="E67" s="37"/>
      <c r="F67" s="37"/>
      <c r="G67" s="37"/>
      <c r="H67" s="37"/>
    </row>
    <row r="68" spans="1:9" s="41" customFormat="1" ht="24" customHeight="1">
      <c r="A68" s="33"/>
      <c r="B68" s="33" t="s">
        <v>157</v>
      </c>
      <c r="C68" s="36"/>
      <c r="D68" s="36"/>
      <c r="E68" s="36"/>
      <c r="F68" s="36"/>
      <c r="G68" s="36"/>
      <c r="H68" s="36"/>
      <c r="I68" s="33"/>
    </row>
    <row r="69" spans="1:9" s="41" customFormat="1" ht="24" customHeight="1">
      <c r="A69" s="33"/>
      <c r="B69" s="33" t="s">
        <v>102</v>
      </c>
      <c r="C69" s="36"/>
      <c r="D69" s="36"/>
      <c r="E69" s="36"/>
      <c r="F69" s="36"/>
      <c r="G69" s="36"/>
      <c r="H69" s="36"/>
      <c r="I69" s="33"/>
    </row>
    <row r="70" spans="1:9" s="41" customFormat="1" ht="24" customHeight="1">
      <c r="A70" s="33"/>
      <c r="B70" s="41" t="s">
        <v>142</v>
      </c>
      <c r="C70" s="36"/>
      <c r="D70" s="36"/>
      <c r="E70" s="36"/>
      <c r="F70" s="36"/>
      <c r="G70" s="36"/>
      <c r="H70" s="36"/>
      <c r="I70" s="33"/>
    </row>
    <row r="71" spans="1:9" s="41" customFormat="1" ht="24" customHeight="1">
      <c r="A71" s="33"/>
      <c r="B71" s="41" t="s">
        <v>143</v>
      </c>
      <c r="C71" s="36"/>
      <c r="D71" s="36"/>
      <c r="E71" s="36"/>
      <c r="F71" s="36"/>
      <c r="G71" s="36"/>
      <c r="H71" s="36"/>
      <c r="I71" s="33"/>
    </row>
    <row r="72" spans="1:9" s="41" customFormat="1" ht="24" customHeight="1">
      <c r="A72" s="33"/>
      <c r="B72" s="33" t="s">
        <v>113</v>
      </c>
      <c r="C72" s="36"/>
      <c r="D72" s="36"/>
      <c r="E72" s="36"/>
      <c r="F72" s="36"/>
      <c r="G72" s="36"/>
      <c r="H72" s="36"/>
      <c r="I72" s="33"/>
    </row>
    <row r="73" spans="1:9" s="41" customFormat="1" ht="24" customHeight="1">
      <c r="A73" s="33"/>
      <c r="B73" s="33" t="s">
        <v>236</v>
      </c>
      <c r="C73" s="36"/>
      <c r="D73" s="36"/>
      <c r="E73" s="36"/>
      <c r="F73" s="36"/>
      <c r="G73" s="36"/>
      <c r="H73" s="36"/>
      <c r="I73" s="33"/>
    </row>
    <row r="74" spans="1:9" s="41" customFormat="1" ht="24" customHeight="1">
      <c r="A74" s="33"/>
      <c r="B74" s="33" t="s">
        <v>144</v>
      </c>
      <c r="C74" s="36"/>
      <c r="D74" s="36"/>
      <c r="E74" s="36"/>
      <c r="F74" s="36"/>
      <c r="G74" s="36"/>
      <c r="H74" s="36"/>
      <c r="I74" s="33"/>
    </row>
    <row r="75" spans="1:9" s="41" customFormat="1" ht="24" customHeight="1">
      <c r="A75" s="33"/>
      <c r="B75" s="33" t="s">
        <v>115</v>
      </c>
      <c r="C75" s="36"/>
      <c r="D75" s="36"/>
      <c r="E75" s="36"/>
      <c r="F75" s="36"/>
      <c r="G75" s="36"/>
      <c r="H75" s="36"/>
      <c r="I75" s="33"/>
    </row>
    <row r="76" spans="1:9" s="41" customFormat="1" ht="24" customHeight="1">
      <c r="A76" s="33"/>
      <c r="B76" s="32" t="s">
        <v>124</v>
      </c>
      <c r="C76" s="36"/>
      <c r="D76" s="36"/>
      <c r="E76" s="36"/>
      <c r="F76" s="36"/>
      <c r="G76" s="36"/>
      <c r="H76" s="36"/>
      <c r="I76" s="33"/>
    </row>
    <row r="77" spans="1:9" s="41" customFormat="1" ht="24" customHeight="1">
      <c r="A77" s="33"/>
      <c r="B77" s="32" t="s">
        <v>123</v>
      </c>
      <c r="C77" s="36"/>
      <c r="D77" s="36"/>
      <c r="E77" s="36"/>
      <c r="F77" s="36"/>
      <c r="G77" s="36"/>
      <c r="H77" s="36"/>
      <c r="I77" s="33"/>
    </row>
    <row r="78" spans="1:9" s="41" customFormat="1" ht="24" customHeight="1">
      <c r="A78" s="33"/>
      <c r="B78" s="32" t="s">
        <v>107</v>
      </c>
      <c r="C78" s="36"/>
      <c r="D78" s="36"/>
      <c r="E78" s="36"/>
      <c r="F78" s="36"/>
      <c r="G78" s="36"/>
      <c r="H78" s="36"/>
      <c r="I78" s="33"/>
    </row>
    <row r="79" spans="1:9" s="41" customFormat="1" ht="24" customHeight="1">
      <c r="A79" s="33"/>
      <c r="B79" s="33"/>
      <c r="C79" s="36"/>
      <c r="D79" s="36"/>
      <c r="E79" s="36"/>
      <c r="F79" s="36"/>
      <c r="G79" s="36"/>
      <c r="H79" s="36"/>
      <c r="I79" s="33"/>
    </row>
    <row r="80" spans="1:9" ht="24" customHeight="1">
      <c r="A80" s="56"/>
      <c r="B80" s="48" t="s">
        <v>41</v>
      </c>
      <c r="C80" s="48"/>
      <c r="D80" s="48"/>
      <c r="E80" s="48"/>
      <c r="F80" s="35"/>
      <c r="G80" s="35"/>
      <c r="H80" s="35"/>
      <c r="I80" s="41"/>
    </row>
    <row r="81" spans="1:9" ht="24" customHeight="1">
      <c r="A81" s="56"/>
      <c r="B81" s="32" t="s">
        <v>150</v>
      </c>
      <c r="C81" s="48"/>
      <c r="D81" s="48"/>
      <c r="E81" s="48"/>
      <c r="F81" s="35"/>
      <c r="G81" s="35"/>
      <c r="H81" s="35"/>
      <c r="I81" s="41"/>
    </row>
    <row r="82" spans="1:9" ht="24" customHeight="1">
      <c r="A82" s="56"/>
      <c r="B82" s="32" t="s">
        <v>162</v>
      </c>
      <c r="C82" s="48"/>
      <c r="D82" s="48"/>
      <c r="E82" s="48"/>
      <c r="F82" s="35"/>
      <c r="G82" s="35"/>
      <c r="H82" s="35"/>
      <c r="I82" s="41"/>
    </row>
    <row r="83" spans="1:9" ht="24" customHeight="1">
      <c r="A83" s="56"/>
      <c r="B83" s="32" t="s">
        <v>139</v>
      </c>
      <c r="C83" s="48"/>
      <c r="D83" s="48"/>
      <c r="E83" s="48"/>
      <c r="F83" s="35"/>
      <c r="G83" s="35"/>
      <c r="H83" s="35"/>
      <c r="I83" s="41"/>
    </row>
    <row r="84" spans="1:9" ht="24" customHeight="1">
      <c r="A84" s="56"/>
      <c r="B84" s="100" t="s">
        <v>128</v>
      </c>
      <c r="C84" s="100"/>
      <c r="D84" s="48"/>
      <c r="E84" s="48"/>
      <c r="F84" s="35"/>
      <c r="G84" s="35"/>
      <c r="H84" s="35"/>
      <c r="I84" s="41"/>
    </row>
    <row r="85" spans="1:9" ht="24" customHeight="1">
      <c r="A85" s="56"/>
      <c r="B85" s="100" t="s">
        <v>146</v>
      </c>
      <c r="C85" s="100"/>
      <c r="D85" s="100"/>
      <c r="E85" s="100"/>
      <c r="F85" s="100"/>
      <c r="G85" s="35"/>
      <c r="H85" s="35"/>
      <c r="I85" s="41"/>
    </row>
    <row r="86" spans="1:9" ht="24" customHeight="1">
      <c r="A86" s="56"/>
      <c r="B86" s="100" t="s">
        <v>119</v>
      </c>
      <c r="C86" s="100"/>
      <c r="D86" s="100"/>
      <c r="E86" s="48"/>
      <c r="F86" s="35"/>
      <c r="G86" s="35"/>
      <c r="H86" s="35"/>
      <c r="I86" s="41"/>
    </row>
    <row r="87" spans="1:9" ht="24" customHeight="1">
      <c r="A87" s="56"/>
      <c r="B87" s="100" t="s">
        <v>141</v>
      </c>
      <c r="C87" s="100"/>
      <c r="D87" s="100"/>
      <c r="E87" s="100"/>
      <c r="F87" s="35"/>
      <c r="G87" s="35"/>
      <c r="H87" s="35"/>
      <c r="I87" s="41"/>
    </row>
    <row r="88" spans="1:9" ht="24" customHeight="1">
      <c r="A88" s="69"/>
      <c r="B88" s="32" t="s">
        <v>232</v>
      </c>
      <c r="C88" s="32"/>
      <c r="D88" s="37"/>
      <c r="E88" s="39"/>
      <c r="F88" s="39"/>
      <c r="G88" s="39"/>
      <c r="H88" s="39"/>
      <c r="I88" s="69"/>
    </row>
    <row r="89" spans="1:9" ht="24" customHeight="1">
      <c r="A89" s="69"/>
      <c r="B89" s="32" t="s">
        <v>108</v>
      </c>
      <c r="C89" s="32"/>
      <c r="D89" s="37"/>
      <c r="E89" s="39"/>
      <c r="F89" s="39"/>
      <c r="G89" s="39"/>
      <c r="H89" s="39"/>
      <c r="I89" s="69"/>
    </row>
    <row r="90" spans="1:9" ht="24" customHeight="1">
      <c r="A90" s="69"/>
      <c r="B90" s="32" t="s">
        <v>137</v>
      </c>
      <c r="C90" s="32"/>
      <c r="D90" s="37"/>
      <c r="E90" s="39"/>
      <c r="F90" s="39"/>
      <c r="G90" s="39"/>
      <c r="H90" s="39"/>
      <c r="I90" s="69"/>
    </row>
    <row r="91" spans="1:9" ht="24" customHeight="1">
      <c r="A91" s="69"/>
      <c r="B91" s="103" t="s">
        <v>145</v>
      </c>
      <c r="C91" s="103"/>
      <c r="D91" s="103"/>
      <c r="E91" s="103"/>
      <c r="F91" s="103"/>
      <c r="G91" s="103"/>
      <c r="H91" s="39"/>
      <c r="I91" s="69"/>
    </row>
    <row r="92" spans="1:9" ht="24" customHeight="1">
      <c r="A92" s="69"/>
      <c r="B92" s="33" t="s">
        <v>156</v>
      </c>
      <c r="C92" s="32"/>
      <c r="D92" s="37"/>
      <c r="E92" s="39"/>
      <c r="F92" s="39"/>
      <c r="G92" s="39"/>
      <c r="H92" s="39"/>
      <c r="I92" s="69"/>
    </row>
    <row r="93" spans="1:9" ht="24" customHeight="1">
      <c r="A93" s="69"/>
      <c r="B93" s="33" t="s">
        <v>158</v>
      </c>
      <c r="C93" s="32"/>
      <c r="D93" s="37"/>
      <c r="E93" s="39"/>
      <c r="F93" s="39"/>
      <c r="G93" s="39"/>
      <c r="H93" s="39"/>
      <c r="I93" s="69"/>
    </row>
    <row r="94" spans="1:9" ht="24" customHeight="1">
      <c r="A94" s="69"/>
      <c r="B94" s="32"/>
      <c r="C94" s="32"/>
      <c r="D94" s="37"/>
      <c r="E94" s="39"/>
      <c r="F94" s="39"/>
      <c r="G94" s="39"/>
      <c r="H94" s="39"/>
      <c r="I94" s="69"/>
    </row>
    <row r="95" spans="1:9" ht="24" customHeight="1">
      <c r="A95" s="67" t="s">
        <v>42</v>
      </c>
      <c r="C95" s="35"/>
      <c r="D95" s="35"/>
      <c r="E95" s="35"/>
      <c r="F95" s="35"/>
      <c r="G95" s="35"/>
      <c r="H95" s="35"/>
    </row>
    <row r="96" spans="1:9" ht="24" customHeight="1">
      <c r="B96" s="38" t="s">
        <v>39</v>
      </c>
      <c r="C96" s="40"/>
      <c r="D96" s="40"/>
      <c r="E96" s="40"/>
      <c r="F96" s="40"/>
      <c r="G96" s="40"/>
      <c r="H96" s="40"/>
    </row>
    <row r="97" spans="2:10" ht="24" customHeight="1">
      <c r="B97" s="69" t="s">
        <v>218</v>
      </c>
      <c r="C97" s="40"/>
      <c r="D97" s="40"/>
      <c r="E97" s="40"/>
      <c r="F97" s="40"/>
      <c r="G97" s="40"/>
      <c r="H97" s="40"/>
    </row>
    <row r="98" spans="2:10" ht="24" customHeight="1">
      <c r="B98" s="100" t="s">
        <v>202</v>
      </c>
      <c r="C98" s="100"/>
      <c r="D98" s="100"/>
      <c r="E98" s="40"/>
      <c r="F98" s="40"/>
      <c r="G98" s="40"/>
      <c r="H98" s="40"/>
    </row>
    <row r="99" spans="2:10" ht="24" customHeight="1">
      <c r="B99" s="88" t="s">
        <v>170</v>
      </c>
      <c r="C99" s="40"/>
      <c r="D99" s="40"/>
      <c r="E99" s="40"/>
      <c r="F99" s="40"/>
      <c r="G99" s="40"/>
      <c r="H99" s="40"/>
    </row>
    <row r="100" spans="2:10" ht="24" customHeight="1">
      <c r="B100" s="100" t="s">
        <v>203</v>
      </c>
      <c r="C100" s="100"/>
      <c r="D100" s="100"/>
      <c r="E100" s="100"/>
      <c r="F100" s="100"/>
      <c r="G100" s="100"/>
      <c r="H100" s="40"/>
    </row>
    <row r="101" spans="2:10" ht="24" customHeight="1">
      <c r="B101" s="100" t="s">
        <v>214</v>
      </c>
      <c r="C101" s="100"/>
      <c r="D101" s="100"/>
      <c r="E101" s="100"/>
      <c r="F101" s="100"/>
      <c r="G101" s="100"/>
      <c r="H101" s="40"/>
    </row>
    <row r="102" spans="2:10" ht="24" customHeight="1">
      <c r="B102" s="100" t="s">
        <v>238</v>
      </c>
      <c r="C102" s="100"/>
      <c r="D102" s="100"/>
      <c r="E102" s="100"/>
      <c r="F102" s="100"/>
      <c r="G102" s="100"/>
      <c r="H102" s="100"/>
    </row>
    <row r="103" spans="2:10" ht="24" customHeight="1">
      <c r="B103" s="33" t="s">
        <v>216</v>
      </c>
      <c r="H103" s="57"/>
    </row>
    <row r="104" spans="2:10" ht="24" customHeight="1">
      <c r="B104" s="102" t="s">
        <v>233</v>
      </c>
      <c r="C104" s="102"/>
      <c r="D104" s="102"/>
      <c r="E104" s="102"/>
      <c r="F104" s="102"/>
      <c r="G104" s="102"/>
      <c r="H104" s="102"/>
      <c r="I104" s="102"/>
      <c r="J104" s="102"/>
    </row>
    <row r="105" spans="2:10" ht="24" customHeight="1">
      <c r="B105" s="93" t="s">
        <v>204</v>
      </c>
      <c r="C105" s="93"/>
      <c r="D105" s="93"/>
      <c r="E105" s="93"/>
      <c r="F105" s="93"/>
      <c r="G105" s="93"/>
      <c r="H105" s="93"/>
      <c r="I105" s="93"/>
      <c r="J105" s="93"/>
    </row>
    <row r="106" spans="2:10" ht="24" customHeight="1">
      <c r="B106" s="93" t="s">
        <v>208</v>
      </c>
      <c r="C106" s="93"/>
      <c r="D106" s="93"/>
      <c r="E106" s="93"/>
      <c r="F106" s="93"/>
      <c r="G106" s="93"/>
      <c r="H106" s="93"/>
      <c r="I106" s="93"/>
      <c r="J106" s="93"/>
    </row>
    <row r="107" spans="2:10" ht="24" customHeight="1">
      <c r="B107" s="100" t="s">
        <v>201</v>
      </c>
      <c r="C107" s="100"/>
      <c r="D107" s="100"/>
      <c r="E107" s="57"/>
      <c r="F107" s="57"/>
      <c r="G107" s="57"/>
      <c r="H107" s="57"/>
    </row>
    <row r="108" spans="2:10" s="69" customFormat="1" ht="24" customHeight="1">
      <c r="B108" s="69" t="s">
        <v>179</v>
      </c>
    </row>
    <row r="109" spans="2:10" s="69" customFormat="1" ht="24" customHeight="1">
      <c r="B109" s="69" t="s">
        <v>178</v>
      </c>
    </row>
    <row r="110" spans="2:10" s="69" customFormat="1" ht="24" customHeight="1">
      <c r="B110" s="69" t="s">
        <v>192</v>
      </c>
    </row>
    <row r="111" spans="2:10" s="69" customFormat="1" ht="24" customHeight="1">
      <c r="B111" s="69" t="s">
        <v>181</v>
      </c>
    </row>
    <row r="112" spans="2:10" s="69" customFormat="1" ht="24" customHeight="1">
      <c r="B112" s="69" t="s">
        <v>176</v>
      </c>
    </row>
    <row r="113" spans="1:9" s="69" customFormat="1" ht="24" customHeight="1">
      <c r="B113" s="69" t="s">
        <v>175</v>
      </c>
    </row>
    <row r="114" spans="1:9" s="69" customFormat="1" ht="24" customHeight="1">
      <c r="B114" s="69" t="s">
        <v>173</v>
      </c>
    </row>
    <row r="115" spans="1:9" s="69" customFormat="1" ht="24" customHeight="1">
      <c r="B115" s="69" t="s">
        <v>177</v>
      </c>
    </row>
    <row r="116" spans="1:9" s="69" customFormat="1" ht="24" customHeight="1">
      <c r="B116" s="69" t="s">
        <v>193</v>
      </c>
    </row>
    <row r="117" spans="1:9" s="69" customFormat="1" ht="24" customHeight="1">
      <c r="B117" s="69" t="s">
        <v>194</v>
      </c>
    </row>
    <row r="118" spans="1:9" s="69" customFormat="1" ht="24" customHeight="1">
      <c r="B118" s="69" t="s">
        <v>195</v>
      </c>
    </row>
    <row r="119" spans="1:9" s="69" customFormat="1" ht="24" customHeight="1">
      <c r="B119" s="69" t="s">
        <v>206</v>
      </c>
    </row>
    <row r="120" spans="1:9" s="69" customFormat="1" ht="24" customHeight="1">
      <c r="B120" s="69" t="s">
        <v>222</v>
      </c>
    </row>
    <row r="121" spans="1:9" s="69" customFormat="1" ht="24" customHeight="1">
      <c r="B121" s="69" t="s">
        <v>211</v>
      </c>
    </row>
    <row r="122" spans="1:9" s="69" customFormat="1" ht="24" customHeight="1">
      <c r="B122" s="69" t="s">
        <v>212</v>
      </c>
    </row>
    <row r="123" spans="1:9" s="69" customFormat="1" ht="24" customHeight="1">
      <c r="B123" s="69" t="s">
        <v>213</v>
      </c>
    </row>
    <row r="124" spans="1:9" s="69" customFormat="1" ht="135" customHeight="1">
      <c r="B124" s="101" t="s">
        <v>217</v>
      </c>
      <c r="C124" s="101"/>
      <c r="D124" s="101"/>
      <c r="E124" s="101"/>
      <c r="F124" s="101"/>
      <c r="G124" s="101"/>
      <c r="H124" s="101"/>
    </row>
    <row r="125" spans="1:9" s="69" customFormat="1" ht="23.25" customHeight="1">
      <c r="B125" s="96"/>
      <c r="C125" s="96"/>
      <c r="D125" s="96"/>
      <c r="E125" s="96"/>
      <c r="F125" s="96"/>
      <c r="G125" s="96"/>
      <c r="H125" s="96"/>
    </row>
    <row r="126" spans="1:9" ht="23.25" customHeight="1">
      <c r="A126" s="69"/>
      <c r="B126" s="42" t="s">
        <v>40</v>
      </c>
      <c r="C126" s="39"/>
      <c r="D126" s="39"/>
      <c r="E126" s="39"/>
      <c r="F126" s="39"/>
      <c r="G126" s="39"/>
      <c r="H126" s="39"/>
      <c r="I126" s="69"/>
    </row>
    <row r="127" spans="1:9" ht="24" customHeight="1">
      <c r="A127" s="69"/>
      <c r="B127" s="99" t="s">
        <v>191</v>
      </c>
      <c r="C127" s="99"/>
      <c r="D127" s="99"/>
      <c r="E127" s="39"/>
      <c r="F127" s="39"/>
      <c r="G127" s="39"/>
      <c r="H127" s="39"/>
      <c r="I127" s="69"/>
    </row>
    <row r="128" spans="1:9" ht="24" customHeight="1">
      <c r="A128" s="69"/>
      <c r="B128" s="99" t="s">
        <v>205</v>
      </c>
      <c r="C128" s="99"/>
      <c r="D128" s="99"/>
      <c r="E128" s="99"/>
      <c r="F128" s="99"/>
      <c r="G128" s="99"/>
      <c r="H128" s="99"/>
      <c r="I128" s="69"/>
    </row>
    <row r="129" spans="1:9" ht="24" customHeight="1">
      <c r="A129" s="69"/>
      <c r="B129" s="99" t="s">
        <v>207</v>
      </c>
      <c r="C129" s="99"/>
      <c r="D129" s="99"/>
      <c r="E129" s="99"/>
      <c r="F129" s="99"/>
      <c r="G129" s="99"/>
      <c r="H129" s="39"/>
      <c r="I129" s="69"/>
    </row>
    <row r="130" spans="1:9" s="71" customFormat="1" ht="24" customHeight="1">
      <c r="B130" s="69" t="s">
        <v>166</v>
      </c>
      <c r="C130" s="68"/>
      <c r="D130" s="68"/>
      <c r="E130" s="39"/>
      <c r="F130" s="39"/>
      <c r="G130" s="39"/>
      <c r="H130" s="39"/>
      <c r="I130" s="68"/>
    </row>
    <row r="131" spans="1:9" s="71" customFormat="1" ht="24" customHeight="1">
      <c r="B131" s="69" t="s">
        <v>167</v>
      </c>
      <c r="C131" s="68"/>
      <c r="D131" s="68"/>
      <c r="E131" s="39"/>
      <c r="F131" s="39"/>
      <c r="G131" s="39"/>
      <c r="H131" s="39"/>
      <c r="I131" s="68"/>
    </row>
    <row r="132" spans="1:9" s="71" customFormat="1" ht="24" customHeight="1">
      <c r="B132" s="32" t="s">
        <v>172</v>
      </c>
      <c r="C132" s="68"/>
      <c r="D132" s="68"/>
      <c r="E132" s="39"/>
      <c r="F132" s="39"/>
      <c r="G132" s="39"/>
      <c r="H132" s="39"/>
      <c r="I132" s="68"/>
    </row>
    <row r="133" spans="1:9" s="71" customFormat="1" ht="24" customHeight="1">
      <c r="B133" s="32" t="s">
        <v>174</v>
      </c>
      <c r="C133" s="68"/>
      <c r="D133" s="68"/>
      <c r="E133" s="39"/>
      <c r="F133" s="39"/>
      <c r="G133" s="39"/>
      <c r="H133" s="39"/>
      <c r="I133" s="68"/>
    </row>
    <row r="134" spans="1:9" s="71" customFormat="1" ht="24" customHeight="1">
      <c r="B134" s="69" t="s">
        <v>173</v>
      </c>
      <c r="C134" s="68"/>
      <c r="D134" s="68"/>
      <c r="E134" s="39"/>
      <c r="F134" s="39"/>
      <c r="G134" s="39"/>
      <c r="H134" s="39"/>
      <c r="I134" s="68"/>
    </row>
    <row r="135" spans="1:9" s="71" customFormat="1" ht="24" customHeight="1">
      <c r="B135" s="32" t="s">
        <v>183</v>
      </c>
      <c r="C135" s="68"/>
      <c r="D135" s="68"/>
      <c r="E135" s="39"/>
      <c r="F135" s="39"/>
      <c r="G135" s="39"/>
      <c r="H135" s="39"/>
      <c r="I135" s="68"/>
    </row>
    <row r="136" spans="1:9" s="71" customFormat="1" ht="24" customHeight="1">
      <c r="B136" s="32" t="s">
        <v>190</v>
      </c>
      <c r="C136" s="68"/>
      <c r="D136" s="68"/>
      <c r="E136" s="39"/>
      <c r="F136" s="39"/>
      <c r="G136" s="39"/>
      <c r="H136" s="39"/>
      <c r="I136" s="68"/>
    </row>
    <row r="137" spans="1:9" s="71" customFormat="1" ht="24" customHeight="1">
      <c r="B137" s="32" t="s">
        <v>189</v>
      </c>
      <c r="C137" s="68"/>
      <c r="D137" s="68"/>
      <c r="E137" s="39"/>
      <c r="F137" s="39"/>
      <c r="G137" s="39"/>
      <c r="H137" s="39"/>
      <c r="I137" s="68"/>
    </row>
    <row r="138" spans="1:9" s="71" customFormat="1" ht="24" customHeight="1">
      <c r="B138" s="32" t="s">
        <v>200</v>
      </c>
      <c r="C138" s="68"/>
      <c r="D138" s="68"/>
      <c r="E138" s="39"/>
      <c r="F138" s="39"/>
      <c r="G138" s="39"/>
      <c r="H138" s="39"/>
      <c r="I138" s="68"/>
    </row>
    <row r="139" spans="1:9" s="71" customFormat="1" ht="24" customHeight="1">
      <c r="B139" s="32"/>
      <c r="C139" s="68"/>
      <c r="D139" s="68"/>
      <c r="E139" s="39"/>
      <c r="F139" s="39"/>
      <c r="G139" s="39"/>
      <c r="H139" s="39"/>
      <c r="I139" s="68"/>
    </row>
    <row r="140" spans="1:9" s="71" customFormat="1" ht="24" customHeight="1">
      <c r="B140" s="45" t="s">
        <v>41</v>
      </c>
      <c r="C140" s="37"/>
      <c r="D140" s="37"/>
      <c r="E140" s="37"/>
      <c r="F140" s="37"/>
      <c r="G140" s="37"/>
      <c r="H140" s="37"/>
    </row>
    <row r="141" spans="1:9" s="71" customFormat="1" ht="24" customHeight="1">
      <c r="B141" s="92" t="s">
        <v>196</v>
      </c>
      <c r="C141" s="37"/>
      <c r="D141" s="37"/>
      <c r="E141" s="37"/>
      <c r="F141" s="37"/>
      <c r="G141" s="37"/>
      <c r="H141" s="37"/>
    </row>
    <row r="142" spans="1:9" s="71" customFormat="1" ht="24" customHeight="1">
      <c r="B142" s="35" t="s">
        <v>171</v>
      </c>
      <c r="C142" s="37"/>
      <c r="D142" s="37"/>
      <c r="E142" s="37"/>
      <c r="F142" s="37"/>
      <c r="G142" s="37"/>
      <c r="H142" s="37"/>
    </row>
    <row r="143" spans="1:9" s="71" customFormat="1" ht="24" customHeight="1">
      <c r="B143" s="92" t="s">
        <v>234</v>
      </c>
      <c r="C143" s="37"/>
      <c r="D143" s="37"/>
      <c r="E143" s="37"/>
      <c r="F143" s="37"/>
      <c r="G143" s="37"/>
      <c r="H143" s="37"/>
    </row>
    <row r="144" spans="1:9" s="71" customFormat="1" ht="24" customHeight="1">
      <c r="B144" s="92" t="s">
        <v>220</v>
      </c>
      <c r="C144" s="37"/>
      <c r="D144" s="37"/>
      <c r="E144" s="37"/>
      <c r="F144" s="37"/>
      <c r="G144" s="37"/>
      <c r="H144" s="37"/>
    </row>
    <row r="145" spans="1:9" s="71" customFormat="1" ht="24" customHeight="1">
      <c r="B145" s="69" t="s">
        <v>169</v>
      </c>
      <c r="C145" s="37"/>
      <c r="D145" s="37"/>
      <c r="E145" s="37"/>
      <c r="F145" s="37"/>
      <c r="G145" s="37"/>
      <c r="H145" s="37"/>
    </row>
    <row r="146" spans="1:9" s="71" customFormat="1" ht="24" customHeight="1">
      <c r="B146" s="32" t="s">
        <v>168</v>
      </c>
      <c r="C146" s="34"/>
      <c r="D146" s="34"/>
      <c r="E146" s="34"/>
      <c r="F146" s="34"/>
      <c r="G146" s="34"/>
      <c r="H146" s="34"/>
    </row>
    <row r="147" spans="1:9" s="71" customFormat="1" ht="24" customHeight="1">
      <c r="B147" s="69" t="s">
        <v>182</v>
      </c>
      <c r="C147" s="34"/>
      <c r="D147" s="34"/>
      <c r="E147" s="34"/>
      <c r="F147" s="34"/>
      <c r="G147" s="34"/>
      <c r="H147" s="34"/>
    </row>
    <row r="148" spans="1:9" s="71" customFormat="1" ht="24" customHeight="1">
      <c r="B148" s="32" t="s">
        <v>184</v>
      </c>
      <c r="C148" s="37"/>
      <c r="D148" s="37"/>
      <c r="E148" s="37"/>
      <c r="F148" s="37"/>
      <c r="G148" s="37"/>
      <c r="H148" s="37"/>
    </row>
    <row r="149" spans="1:9" s="71" customFormat="1" ht="24" customHeight="1">
      <c r="B149" s="32" t="s">
        <v>186</v>
      </c>
      <c r="C149" s="37"/>
      <c r="D149" s="37"/>
      <c r="E149" s="37"/>
      <c r="F149" s="37"/>
      <c r="G149" s="37"/>
      <c r="H149" s="37"/>
    </row>
    <row r="150" spans="1:9" s="71" customFormat="1" ht="24" customHeight="1">
      <c r="A150" s="69"/>
      <c r="B150" s="32" t="s">
        <v>187</v>
      </c>
      <c r="C150" s="37"/>
      <c r="D150" s="37"/>
      <c r="E150" s="37"/>
      <c r="F150" s="37"/>
      <c r="G150" s="37"/>
      <c r="H150" s="37"/>
    </row>
    <row r="151" spans="1:9" s="71" customFormat="1" ht="24" customHeight="1">
      <c r="A151" s="69"/>
      <c r="B151" s="69" t="s">
        <v>188</v>
      </c>
      <c r="C151" s="37"/>
      <c r="D151" s="37"/>
      <c r="E151" s="37"/>
      <c r="F151" s="37"/>
      <c r="G151" s="37"/>
      <c r="H151" s="37"/>
    </row>
    <row r="152" spans="1:9" ht="24" customHeight="1">
      <c r="A152" s="69"/>
      <c r="B152" s="32" t="s">
        <v>197</v>
      </c>
      <c r="C152" s="37"/>
      <c r="D152" s="37"/>
      <c r="E152" s="37"/>
      <c r="F152" s="37"/>
      <c r="G152" s="37"/>
      <c r="H152" s="37"/>
      <c r="I152" s="71"/>
    </row>
    <row r="153" spans="1:9" s="69" customFormat="1" ht="24" customHeight="1">
      <c r="B153" s="33" t="s">
        <v>198</v>
      </c>
      <c r="C153" s="43"/>
      <c r="D153" s="43"/>
      <c r="E153" s="46"/>
      <c r="F153" s="46"/>
      <c r="G153" s="46"/>
      <c r="H153" s="43"/>
      <c r="I153" s="33"/>
    </row>
    <row r="154" spans="1:9" s="69" customFormat="1" ht="24" customHeight="1">
      <c r="A154" s="71"/>
      <c r="B154" s="69" t="s">
        <v>199</v>
      </c>
      <c r="C154" s="39"/>
      <c r="D154" s="39"/>
      <c r="E154" s="39"/>
      <c r="F154" s="39"/>
      <c r="G154" s="39"/>
      <c r="H154" s="39"/>
    </row>
    <row r="155" spans="1:9" s="71" customFormat="1" ht="24" customHeight="1">
      <c r="A155" s="69"/>
      <c r="B155" s="69" t="s">
        <v>209</v>
      </c>
      <c r="C155" s="39"/>
      <c r="D155" s="39"/>
      <c r="E155" s="39"/>
      <c r="F155" s="39"/>
      <c r="G155" s="39"/>
      <c r="H155" s="39"/>
      <c r="I155" s="69"/>
    </row>
    <row r="156" spans="1:9" s="71" customFormat="1" ht="24" customHeight="1">
      <c r="A156" s="69"/>
      <c r="B156" s="69" t="s">
        <v>210</v>
      </c>
      <c r="C156" s="37"/>
      <c r="D156" s="37"/>
      <c r="E156" s="37"/>
      <c r="F156" s="37"/>
      <c r="G156" s="37"/>
      <c r="H156" s="37"/>
    </row>
    <row r="157" spans="1:9" s="69" customFormat="1" ht="24" customHeight="1">
      <c r="B157" s="95" t="s">
        <v>215</v>
      </c>
      <c r="C157" s="37"/>
      <c r="D157" s="37"/>
      <c r="E157" s="37"/>
      <c r="F157" s="37"/>
      <c r="G157" s="37"/>
      <c r="H157" s="37"/>
      <c r="I157" s="71"/>
    </row>
    <row r="158" spans="1:9" s="69" customFormat="1" ht="24" customHeight="1">
      <c r="B158" s="94" t="s">
        <v>239</v>
      </c>
      <c r="C158" s="39"/>
      <c r="D158" s="39"/>
      <c r="E158" s="39"/>
      <c r="F158" s="39"/>
      <c r="G158" s="39"/>
      <c r="H158" s="39"/>
    </row>
    <row r="159" spans="1:9" s="69" customFormat="1" ht="24" customHeight="1">
      <c r="A159" s="71"/>
      <c r="B159" s="94" t="s">
        <v>219</v>
      </c>
      <c r="C159" s="39"/>
      <c r="D159" s="39"/>
      <c r="E159" s="39"/>
      <c r="F159" s="39"/>
      <c r="G159" s="39"/>
      <c r="H159" s="39"/>
    </row>
    <row r="160" spans="1:9" s="69" customFormat="1" ht="24" customHeight="1">
      <c r="B160" s="94" t="s">
        <v>221</v>
      </c>
      <c r="C160" s="39"/>
      <c r="D160" s="39"/>
      <c r="E160" s="39"/>
      <c r="F160" s="39"/>
      <c r="G160" s="39"/>
      <c r="H160" s="39"/>
    </row>
    <row r="161" spans="1:9" s="71" customFormat="1" ht="24" customHeight="1">
      <c r="A161" s="69"/>
      <c r="B161" s="94" t="s">
        <v>235</v>
      </c>
      <c r="C161" s="39"/>
      <c r="D161" s="39"/>
      <c r="E161" s="39"/>
      <c r="F161" s="39"/>
      <c r="G161" s="39"/>
      <c r="H161" s="39"/>
      <c r="I161" s="69"/>
    </row>
    <row r="162" spans="1:9" s="69" customFormat="1" ht="24" customHeight="1">
      <c r="B162" s="97"/>
      <c r="C162" s="37"/>
      <c r="D162" s="37"/>
      <c r="E162" s="37"/>
      <c r="F162" s="37"/>
      <c r="G162" s="37"/>
      <c r="H162" s="37"/>
      <c r="I162" s="71"/>
    </row>
    <row r="163" spans="1:9" s="69" customFormat="1" ht="24" customHeight="1">
      <c r="B163" s="97"/>
      <c r="C163" s="39"/>
      <c r="D163" s="39"/>
      <c r="E163" s="39"/>
      <c r="F163" s="39"/>
      <c r="G163" s="39"/>
      <c r="H163" s="39"/>
    </row>
    <row r="164" spans="1:9" s="69" customFormat="1" ht="24" customHeight="1">
      <c r="B164" s="97"/>
      <c r="C164" s="39"/>
      <c r="D164" s="39"/>
      <c r="E164" s="39"/>
      <c r="F164" s="39"/>
      <c r="G164" s="39"/>
      <c r="H164" s="39"/>
    </row>
    <row r="165" spans="1:9" s="69" customFormat="1" ht="24" customHeight="1">
      <c r="B165" s="97"/>
      <c r="C165" s="39"/>
      <c r="D165" s="39"/>
      <c r="E165" s="39"/>
      <c r="F165" s="39"/>
      <c r="G165" s="39"/>
      <c r="H165" s="39"/>
    </row>
    <row r="166" spans="1:9" s="69" customFormat="1" ht="24" customHeight="1">
      <c r="B166" s="94"/>
      <c r="C166" s="39"/>
      <c r="D166" s="39"/>
      <c r="E166" s="39"/>
      <c r="F166" s="39"/>
      <c r="G166" s="39"/>
      <c r="H166" s="39"/>
    </row>
    <row r="167" spans="1:9" s="69" customFormat="1" ht="24" customHeight="1">
      <c r="B167" s="94"/>
      <c r="C167" s="39"/>
      <c r="D167" s="39"/>
      <c r="E167" s="39"/>
      <c r="F167" s="39"/>
      <c r="G167" s="39"/>
      <c r="H167" s="39"/>
    </row>
    <row r="168" spans="1:9" s="69" customFormat="1" ht="24" customHeight="1">
      <c r="B168" s="94"/>
      <c r="C168" s="39"/>
      <c r="D168" s="39"/>
      <c r="E168" s="39"/>
      <c r="F168" s="39"/>
      <c r="G168" s="39"/>
      <c r="H168" s="39"/>
    </row>
    <row r="169" spans="1:9" s="69" customFormat="1" ht="24" customHeight="1">
      <c r="B169" s="94"/>
      <c r="C169" s="39"/>
      <c r="D169" s="39"/>
      <c r="E169" s="39"/>
      <c r="F169" s="39"/>
      <c r="G169" s="39"/>
      <c r="H169" s="39"/>
    </row>
    <row r="170" spans="1:9" s="69" customFormat="1" ht="24" customHeight="1">
      <c r="B170" s="44"/>
      <c r="C170" s="39"/>
      <c r="D170" s="39"/>
      <c r="E170" s="39"/>
      <c r="F170" s="39"/>
      <c r="G170" s="39"/>
      <c r="H170" s="39"/>
    </row>
    <row r="171" spans="1:9" s="69" customFormat="1" ht="24" customHeight="1">
      <c r="B171" s="44"/>
      <c r="C171" s="39"/>
      <c r="D171" s="39"/>
      <c r="E171" s="39"/>
      <c r="F171" s="39"/>
      <c r="G171" s="39"/>
      <c r="H171" s="39"/>
    </row>
    <row r="172" spans="1:9" s="69" customFormat="1" ht="24" customHeight="1">
      <c r="B172" s="44"/>
      <c r="C172" s="39"/>
      <c r="D172" s="39"/>
      <c r="E172" s="39"/>
      <c r="F172" s="39"/>
      <c r="G172" s="39"/>
      <c r="H172" s="39"/>
    </row>
    <row r="173" spans="1:9" s="69" customFormat="1" ht="24" customHeight="1">
      <c r="B173" s="44"/>
      <c r="C173" s="39"/>
      <c r="D173" s="39"/>
      <c r="E173" s="39"/>
      <c r="F173" s="39"/>
      <c r="G173" s="39"/>
      <c r="H173" s="39"/>
    </row>
    <row r="174" spans="1:9" s="69" customFormat="1" ht="24" customHeight="1">
      <c r="B174" s="44"/>
      <c r="C174" s="39"/>
      <c r="D174" s="39"/>
      <c r="E174" s="39"/>
      <c r="F174" s="39"/>
      <c r="G174" s="39"/>
      <c r="H174" s="39"/>
    </row>
    <row r="175" spans="1:9" s="69" customFormat="1" ht="24" customHeight="1">
      <c r="B175" s="44"/>
      <c r="C175" s="39"/>
      <c r="D175" s="39"/>
      <c r="E175" s="39"/>
      <c r="F175" s="39"/>
      <c r="G175" s="39"/>
      <c r="H175" s="39"/>
    </row>
    <row r="176" spans="1:9" s="69" customFormat="1" ht="24" customHeight="1">
      <c r="B176" s="44"/>
      <c r="C176" s="39"/>
      <c r="D176" s="39"/>
      <c r="E176" s="39"/>
      <c r="F176" s="39"/>
      <c r="G176" s="39"/>
      <c r="H176" s="39"/>
    </row>
    <row r="177" spans="1:9" s="69" customFormat="1" ht="24" customHeight="1">
      <c r="B177" s="33"/>
      <c r="C177" s="39"/>
      <c r="D177" s="39"/>
      <c r="E177" s="39"/>
      <c r="F177" s="39"/>
      <c r="G177" s="39"/>
      <c r="H177" s="39"/>
    </row>
    <row r="178" spans="1:9" s="69" customFormat="1" ht="24" customHeight="1">
      <c r="B178" s="33"/>
      <c r="C178" s="39"/>
      <c r="D178" s="39"/>
      <c r="E178" s="39"/>
      <c r="F178" s="39"/>
      <c r="G178" s="39"/>
      <c r="H178" s="39"/>
    </row>
    <row r="179" spans="1:9" s="69" customFormat="1" ht="24" customHeight="1">
      <c r="B179" s="33"/>
      <c r="C179" s="39"/>
      <c r="D179" s="39"/>
      <c r="E179" s="39"/>
      <c r="F179" s="39"/>
      <c r="G179" s="39"/>
      <c r="H179" s="39"/>
    </row>
    <row r="180" spans="1:9" s="69" customFormat="1" ht="24" customHeight="1">
      <c r="B180" s="33"/>
      <c r="C180" s="39"/>
      <c r="D180" s="39"/>
      <c r="E180" s="39"/>
      <c r="F180" s="39"/>
      <c r="G180" s="39"/>
      <c r="H180" s="39"/>
    </row>
    <row r="181" spans="1:9" s="69" customFormat="1" ht="24" customHeight="1">
      <c r="A181" s="33"/>
      <c r="B181" s="33"/>
      <c r="C181" s="39"/>
      <c r="D181" s="39"/>
      <c r="E181" s="39"/>
      <c r="F181" s="39"/>
      <c r="G181" s="39"/>
      <c r="H181" s="39"/>
    </row>
    <row r="182" spans="1:9" s="69" customFormat="1" ht="24" customHeight="1">
      <c r="A182" s="33"/>
      <c r="B182" s="33"/>
      <c r="C182" s="39"/>
      <c r="D182" s="39"/>
      <c r="E182" s="39"/>
      <c r="F182" s="39"/>
      <c r="G182" s="39"/>
      <c r="H182" s="39"/>
    </row>
    <row r="183" spans="1:9">
      <c r="C183" s="39"/>
      <c r="D183" s="39"/>
      <c r="E183" s="39"/>
      <c r="F183" s="39"/>
      <c r="G183" s="39"/>
      <c r="H183" s="39"/>
      <c r="I183" s="69"/>
    </row>
  </sheetData>
  <mergeCells count="22">
    <mergeCell ref="B85:F85"/>
    <mergeCell ref="B86:D86"/>
    <mergeCell ref="B84:C84"/>
    <mergeCell ref="A3:H3"/>
    <mergeCell ref="A1:I1"/>
    <mergeCell ref="A13:B13"/>
    <mergeCell ref="A2:H2"/>
    <mergeCell ref="B5:H5"/>
    <mergeCell ref="B7:H7"/>
    <mergeCell ref="B6:H6"/>
    <mergeCell ref="B98:D98"/>
    <mergeCell ref="B100:G100"/>
    <mergeCell ref="B104:J104"/>
    <mergeCell ref="B87:E87"/>
    <mergeCell ref="B91:G91"/>
    <mergeCell ref="B129:G129"/>
    <mergeCell ref="B128:H128"/>
    <mergeCell ref="B101:G101"/>
    <mergeCell ref="B124:H124"/>
    <mergeCell ref="B102:H102"/>
    <mergeCell ref="B127:D127"/>
    <mergeCell ref="B107:D107"/>
  </mergeCells>
  <phoneticPr fontId="11" type="noConversion"/>
  <pageMargins left="0.59055118110236227" right="0.15748031496062992" top="0.74803149606299213" bottom="0.74803149606299213" header="0.31496062992125984" footer="0.31496062992125984"/>
  <pageSetup paperSize="9" scale="6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Total Table</vt:lpstr>
      <vt:lpstr>Summary</vt:lpstr>
      <vt:lpstr>'Total Table'!Print_Area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เบญจวรรณ ยืนยงค์</dc:creator>
  <cp:lastModifiedBy>maneerat nerwong</cp:lastModifiedBy>
  <cp:lastPrinted>2024-05-20T07:51:08Z</cp:lastPrinted>
  <dcterms:created xsi:type="dcterms:W3CDTF">2023-02-02T03:43:01Z</dcterms:created>
  <dcterms:modified xsi:type="dcterms:W3CDTF">2025-07-15T08:29:45Z</dcterms:modified>
</cp:coreProperties>
</file>