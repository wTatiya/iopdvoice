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4. APR\"/>
    </mc:Choice>
  </mc:AlternateContent>
  <xr:revisionPtr revIDLastSave="0" documentId="13_ncr:1_{CE637D29-C69F-49BB-B7E6-5106A85B90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Summary!$A$1:$K$145</definedName>
    <definedName name="_xlnm.Print_Area" localSheetId="0">'Total Table'!$A$1:$N$115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1" l="1"/>
  <c r="Q44" i="1"/>
  <c r="C44" i="1"/>
  <c r="E21" i="1"/>
  <c r="D21" i="1"/>
  <c r="P44" i="1"/>
  <c r="B21" i="1" l="1"/>
  <c r="L44" i="1" l="1"/>
  <c r="L90" i="1" l="1"/>
  <c r="D44" i="1"/>
  <c r="F44" i="1"/>
  <c r="G21" i="1" l="1"/>
  <c r="N21" i="1"/>
  <c r="E44" i="1"/>
  <c r="G44" i="1"/>
  <c r="H44" i="1"/>
  <c r="M44" i="1"/>
  <c r="N44" i="1"/>
  <c r="O44" i="1"/>
  <c r="J67" i="1"/>
  <c r="K67" i="1"/>
  <c r="L67" i="1"/>
  <c r="M67" i="1"/>
  <c r="N67" i="1"/>
  <c r="M90" i="1"/>
  <c r="B90" i="1"/>
  <c r="C90" i="1"/>
  <c r="D90" i="1"/>
  <c r="E90" i="1"/>
  <c r="F90" i="1"/>
  <c r="G90" i="1"/>
  <c r="H90" i="1"/>
  <c r="I90" i="1"/>
  <c r="J90" i="1"/>
  <c r="B67" i="1"/>
  <c r="C67" i="1"/>
  <c r="D67" i="1"/>
  <c r="E67" i="1"/>
  <c r="G67" i="1"/>
  <c r="H67" i="1"/>
  <c r="F21" i="1"/>
  <c r="H21" i="1"/>
  <c r="J21" i="1"/>
  <c r="K21" i="1"/>
  <c r="L21" i="1"/>
  <c r="M21" i="1"/>
</calcChain>
</file>

<file path=xl/sharedStrings.xml><?xml version="1.0" encoding="utf-8"?>
<sst xmlns="http://schemas.openxmlformats.org/spreadsheetml/2006/main" count="507" uniqueCount="217">
  <si>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</si>
  <si>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</si>
  <si>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</si>
  <si>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</si>
  <si>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</si>
  <si>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</si>
  <si>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</si>
  <si>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</si>
  <si>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</si>
  <si>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</si>
  <si>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</si>
  <si>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</si>
  <si>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</si>
  <si>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</si>
  <si>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</si>
  <si>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</si>
  <si>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</si>
  <si>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</si>
  <si>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</si>
  <si>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</si>
  <si>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</si>
  <si>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</si>
  <si>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</si>
  <si>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</si>
  <si>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</si>
  <si>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</si>
  <si>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</si>
  <si>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</si>
  <si>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</si>
  <si>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</si>
  <si>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</si>
  <si>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</si>
  <si>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</si>
  <si>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</si>
  <si>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</si>
  <si>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</si>
  <si>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</si>
  <si>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</si>
  <si>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</si>
  <si>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</si>
  <si>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</si>
  <si>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</si>
  <si>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</si>
  <si>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</si>
  <si>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</si>
  <si>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</si>
  <si>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</si>
  <si>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</si>
  <si>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</si>
  <si>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</si>
  <si>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</si>
  <si>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</si>
  <si>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</si>
  <si>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</si>
  <si>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</si>
  <si>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</si>
  <si>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</si>
  <si>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</si>
  <si>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</si>
  <si>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</si>
  <si>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</si>
  <si>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</si>
  <si>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</si>
  <si>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</si>
  <si>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</si>
  <si>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</si>
  <si>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</si>
  <si>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</si>
  <si>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</si>
  <si>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</si>
  <si>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</si>
  <si>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</si>
  <si>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</si>
  <si>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</si>
  <si>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</si>
  <si>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</si>
  <si>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</si>
  <si>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</si>
  <si>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</si>
  <si>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</si>
  <si>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</si>
  <si>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</si>
  <si>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</si>
  <si>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</si>
  <si>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</si>
  <si>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</si>
  <si>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</si>
  <si>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</si>
  <si>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</si>
  <si>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</si>
  <si>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สรุปการประเมินผล OP-IP VOICE เดือนเมษายน 2567</t>
  </si>
  <si>
    <t>ฝ่ายการเงิน</t>
  </si>
  <si>
    <t>879</t>
  </si>
  <si>
    <t>1054</t>
  </si>
  <si>
    <t xml:space="preserve">ค่าเฉลี่ยความพึงพอใจการใช้บริการของโรงพยาบาล OPD = 85.36 % IPD = 90.83 %  </t>
  </si>
  <si>
    <t xml:space="preserve">ค่าเฉลี่ยการแนะนำญาติหรือคนรู้จักให้มาใช้บริการที่โรงพยาบาล  OPD = 93.97 % IPD = 98.67%  </t>
  </si>
  <si>
    <t>31</t>
  </si>
  <si>
    <t xml:space="preserve"> - เจ้าหน้าที่ชั้น 18 อยากให้ปรับปรุงเรื่องการดูแลคนไข้</t>
  </si>
  <si>
    <t xml:space="preserve"> - อยากให้มีเซเว่น หรือตลาดนัด</t>
  </si>
  <si>
    <t xml:space="preserve"> - ควรมีตู้น้ำดื่มไว้ให้บริการ (คลินิกศัลยกรรมกระดูกและข้อ)</t>
  </si>
  <si>
    <t xml:space="preserve"> - มีเจ้าหน้าที่พยาบาลน้อยเกินไป</t>
  </si>
  <si>
    <t xml:space="preserve"> - เจ้าหน้าที่บางคนให้คำแนะนำสับสน</t>
  </si>
  <si>
    <t xml:space="preserve"> - เจ้าหน้าที่ห้องจ่ายยาควรพูดให้ดังและชัดเจนมากกว่านี้</t>
  </si>
  <si>
    <t xml:space="preserve"> - ควรจัดการระบบในการติดต่อให้เป็นระเบียบ</t>
  </si>
  <si>
    <t xml:space="preserve"> - เจ้าหน้าที่รับเอกสาร ตรวจเลือดชั้น 4 ใส่อารมณ์กับผู้มารับบริการ</t>
  </si>
  <si>
    <t xml:space="preserve"> - เรื่องจัดระเบียบยังไม่ดี</t>
  </si>
  <si>
    <t xml:space="preserve"> - มีผู้ช่วยบางคนพูดจาไม่ดี </t>
  </si>
  <si>
    <t xml:space="preserve"> - เรื่องประชาสัมพันธ์ไม่ดี</t>
  </si>
  <si>
    <t xml:space="preserve"> - ห้องรอคิวเล็ก (Meta Clinic)</t>
  </si>
  <si>
    <t xml:space="preserve"> - ควรให้เจ้าหน้าที่หรือพยาบาลมีเวลาพักมากขึ้น </t>
  </si>
  <si>
    <t xml:space="preserve"> - ควรมีตู้บริการน้ำดื่มให้กับประชาชน (คลินิกศัลยกรรม) </t>
  </si>
  <si>
    <t xml:space="preserve"> - จุดซักประวัติใช้เวลานาน </t>
  </si>
  <si>
    <t xml:space="preserve"> - แผนกยาจัดระบบจ่ายยาไม่ดี  ตะคอกใส่คนไข้</t>
  </si>
  <si>
    <t xml:space="preserve"> - จุดอ่อนอยู่ที่พนักงานหน้าห้องฉุกเฉิน</t>
  </si>
  <si>
    <t xml:space="preserve"> - ควรมีเครื่องขยายเสียงตอนเปิดประตู ตอน 7.00 น.</t>
  </si>
  <si>
    <t xml:space="preserve"> - อยากให้แต่ละแผนกอยู่ใกล้กัน</t>
  </si>
  <si>
    <t xml:space="preserve"> - ควรมีการลงทะเบียนผ่านแอปพลิเคชัน เพื่อไม่ต้องมานั่งรอคิวนาน คนไข้รวมตัวกันไม่มีที่นั่ง และควรมีการแจ้งว่าแพทย์ท่านไหนลาผ่านทางช่องทางออนไลน์ คนไข้จะได้ไม่มาเสียเที่ยว</t>
  </si>
  <si>
    <t xml:space="preserve"> - ที่นั่งไม่เพียงพอกับผู้ป่วยและญาติผู้ป่วย (คลินิกสูติ-นรีเวชกรรม)</t>
  </si>
  <si>
    <t xml:space="preserve"> - กิริยาท่าทางของเจ้าหน้าที่บางท่านอาจไม่น่ารักเท่าไร แต่ก็ไม่ใช่ไม่ดี แค่บางครั้งที่เรารู้สึกไม่ดีเท่าไหร่ แต่ส่วนมากบุคลากรน่ารัก</t>
  </si>
  <si>
    <t xml:space="preserve"> - เจ้าหน้าที่แผนกตรวจเลือดพูดจาไม่ดี ไม่สุภาพ</t>
  </si>
  <si>
    <t xml:space="preserve"> - ทางขึ้นลานจอดรถค่อนข้างแคบ และเลี้ยวยาก (2) </t>
  </si>
  <si>
    <t xml:space="preserve"> - รถเข็นผู้ป่วยควรเปลี่ยนได้แล้วค่ะเก่ามาก</t>
  </si>
  <si>
    <t xml:space="preserve"> - อยากให้มีคิวพบแพทย์เฉพาะทางให้มากขึ้น คนไข้มาตั้งแต่ 7 โมงเช้า แต่คิวพบแพทย์เฉพาะทางเต็มแล้ว</t>
  </si>
  <si>
    <t xml:space="preserve"> - เพิ่มชั่วโมงการจอดรถฟรี เพราะใช้เวลารอคิวนาน (2)</t>
  </si>
  <si>
    <t xml:space="preserve"> - ไม่ควรเก็บค่าที่จอดรถสำหรับผู้มาใช้บริการควรมีบัตรแสตมป์เพื่อให้ทราบว่ามีการใช้บริการอยู่ในโรงพยาบาลจริงเพราะว่าบางครั้งใช้เวลานานในการอยู่โรงพยาบาล</t>
  </si>
  <si>
    <t xml:space="preserve"> - จุดตรวจสอบสิทธิน้อยไป</t>
  </si>
  <si>
    <t xml:space="preserve"> - เจ้าหน้าที่ช่อง 21 จ่ายเงิน โยนบัตรให้ญาติคนไข้ (คลินิกปฐมภูมิ)</t>
  </si>
  <si>
    <t xml:space="preserve"> - รอนาน (9)</t>
  </si>
  <si>
    <t xml:space="preserve"> - เวชระเบียนทำงานช้ามาก </t>
  </si>
  <si>
    <t xml:space="preserve"> - รอตรวจนาน (2)</t>
  </si>
  <si>
    <t xml:space="preserve"> - ตึก 100 ปีควรปรับปรุงให้ดีกว่านี้นะคะ </t>
  </si>
  <si>
    <t xml:space="preserve"> - ควรเพิ่มที่จอดรถ  หรือเพิ่มให้การบริการด้านที่จอดรถ (8)</t>
  </si>
  <si>
    <t xml:space="preserve"> - จอดรถบนตึกมีขอบฟุตบาทในทางขึ้นทำให้รถจอดอุบัติเหตุขอบล้อชนฟุตบาทเสียหายเนื่องจากทางแคบมากต้องแก้ไขทำให้ทางวนเรียบดีกว่านี้</t>
  </si>
  <si>
    <t xml:space="preserve"> - เจ้าหน้าที่ไม่เพียงพอต่อจำนวนคนไข้ (2)</t>
  </si>
  <si>
    <t xml:space="preserve"> - จุดลงทะเบียนช้า ทำให้ทุกอย่างล่าช้า (2) </t>
  </si>
  <si>
    <t xml:space="preserve"> - การให้บริการที่ตึก 150 ปีโดยรวมเป็นมิตรมากกว่าตึก 100 ปี</t>
  </si>
  <si>
    <t xml:space="preserve"> - ควรอบรมพยาบาลประจำห้องฟันให้ดีกว่านี้</t>
  </si>
  <si>
    <t xml:space="preserve"> - การจัดระบบคิวไม่ดี การสื่อสาร แจกบัตรคิว เรียกคิวคนไข้ไม่ชัดเจน  (6)</t>
  </si>
  <si>
    <t xml:space="preserve"> - ควรตรวจคนไข้ให้ละเอียดกว่านี้ (2)</t>
  </si>
  <si>
    <t xml:space="preserve"> - คลินิกทันตกรรมแย่มาก ๆ </t>
  </si>
  <si>
    <t xml:space="preserve"> - ควรนำเทคโนโลยีเข้ามาใช้ระบบในการสื่อสาร ระบบคิว เพื่อความชัดเจนและคนไข้ไม่ต้องคอยไปสอบถามว่าถึงคิวที่เท่าไหร่แล้ว (2)</t>
  </si>
  <si>
    <t xml:space="preserve"> - ปรับปรุงในเรื่องของการพูดจา การสื่อสารของพยาบาลบางท่าน ใช้คำพูดไม่ค่อยดีกับผู้ป่วย (2)</t>
  </si>
  <si>
    <t xml:space="preserve">   หากเจ้าหน้าที่มีคำแนะนำ ควรแนะนำให้ดีกว่านี้</t>
  </si>
  <si>
    <t xml:space="preserve"> - ระบบการรอคิว</t>
  </si>
  <si>
    <t xml:space="preserve"> - พยาบาลบางท่านค่อนข้างใช้อารมณ์กับคนไข้ ควรระงับอารมณ์ และใจเย็นมากกว่านี้</t>
  </si>
  <si>
    <t xml:space="preserve"> - วัสดุที่ใช้ปิดแผล อยากให้มีคุณภาพที่ดีกว่านี้ คนไข้เป็นแผล น้ำจากแผลก็กันไม่อยู่เลยค่ะ  ทำให้แผลหายช้า และเจ็บนาน</t>
  </si>
  <si>
    <t xml:space="preserve"> - เสียงของคุณพยาบาลคุยเรื่องส่วนตัวดังจนเกินไป (18B)</t>
  </si>
  <si>
    <t xml:space="preserve"> - บุคลากรชั้น 3 ทำข้อมูลผิดพลาด พูดใส่อารมณ์กับคนไข้ ไม่น่ารัก</t>
  </si>
  <si>
    <t xml:space="preserve"> - แพทย์ที่ทำการรักษา ไม่ควรเปลี่ยนแปลงทุกเดือน รักษาหลายเดือน พอเจอแพทย์คนใหม่ก็ต้องเริ่มต้นใหม่ ตอบคำถามใหม่ ควรมีแพทย์ประจำเป็นเคส ๆ ไป </t>
  </si>
  <si>
    <t xml:space="preserve"> - ปรับเรื่องการพูดเสียงดังกับญาติคนไข้ให้ดีขึ้นหน่อย</t>
  </si>
  <si>
    <t xml:space="preserve"> - อยากให้มีห้องน้ำผู้ป่วยชายเพิ่ม (19A)</t>
  </si>
  <si>
    <t xml:space="preserve"> - ขั้นตอนในการให้บริการครั้งแรกยังช้าอยู่ </t>
  </si>
  <si>
    <t xml:space="preserve"> - ควรปิดไฟสัก 3 ทุ่ม ผู้ป่วนนอนไม่ได้ แสงสว่างเข้าตา (19A)</t>
  </si>
  <si>
    <t xml:space="preserve"> - รอนาน</t>
  </si>
  <si>
    <t xml:space="preserve"> - ควรแจ้งคนไข้ให้รู้รายละเอียดอาการของตนเองจากแพทย์มากกว่านี้ </t>
  </si>
  <si>
    <t xml:space="preserve"> - ควรเพิ่มจุดพักผ่อนให้พี่ ๆ เจ้าหน้าที่ เช่น โซฟา หรือห้องพักผ่อน</t>
  </si>
  <si>
    <t xml:space="preserve"> - ควรสนใจคนไข้ที่ไม่สามารถช่วยเหลือตนเองได้ กรณีผู้ป่วยติดเตียง มีแผลกดทับ</t>
  </si>
  <si>
    <t xml:space="preserve"> - ที่นอนควรเปลี่ยนเป็นที่นอนยางพารา เพราะนอนแล้วปวดหลัง 2567  (19D)</t>
  </si>
  <si>
    <t xml:space="preserve"> - เพิ่มที่นั่งรอของญาติ (19D)</t>
  </si>
  <si>
    <t xml:space="preserve"> - เจ้าหน้าที่ไม่แจ้งว่าการซื้อของใช้ส่วนตัวควรซื้อแบบไหน</t>
  </si>
  <si>
    <t xml:space="preserve"> - ลิฟต์ช้า</t>
  </si>
  <si>
    <t xml:space="preserve"> - ร้อน แอร์ไม่ค่อยเย็น (21D)</t>
  </si>
  <si>
    <t xml:space="preserve"> - เจ้าหน้าที่ พยาบาลทำงานกันหนักเกินไป โดยเฉพาะเวลาเปลี่ยนกะ เหมือนแทบจะไม่ได้พักผ่อน</t>
  </si>
  <si>
    <t xml:space="preserve"> - ลิฟต์โดยสารมีเยอะ แต่ระบบจัดการไม่ดีเลย</t>
  </si>
  <si>
    <t xml:space="preserve"> - แอร์เย็นเกินไป (22C)</t>
  </si>
  <si>
    <t xml:space="preserve"> - ควรมีเก้าอี้สำหรับผู้มาเยี่ยม (22C)</t>
  </si>
  <si>
    <t xml:space="preserve"> - อาหารเย็นชืดจนเกินไป ควรอุ่นมาก่อนให้คนไข้ทาน (2)</t>
  </si>
  <si>
    <t xml:space="preserve"> - ควรอบรมพนักงานที่ไม่เต็มใจให้บริการ</t>
  </si>
  <si>
    <t xml:space="preserve"> - ควรพิจารณาบุคลากรที่ไม่ดี</t>
  </si>
  <si>
    <t xml:space="preserve"> - สถานที่จอดรถ (2)</t>
  </si>
  <si>
    <t xml:space="preserve"> - เจ้าหน้าที่ห้องคลอดไม่ใส่ใจความรู้สึกคนไข้ควรอธิบายสิ่งต่าง ๆ ให้ชัดเจนกว่านี้</t>
  </si>
  <si>
    <t xml:space="preserve"> - อาหารผู้ป่วยควรให้มีรสชาติที่อ่อน เหมาะสมกับผู้ป่วย รสชาติที่กับข้าวควรอ่อนด้วยไม่ใช่อ่อนแค่ข้าว</t>
  </si>
  <si>
    <t xml:space="preserve"> - ทำงานให้เร็วมากขึ้น</t>
  </si>
  <si>
    <t xml:space="preserve"> - ที่จอดรถไม่เพียงพอ หาที่จอดรถยากมาก (3)</t>
  </si>
  <si>
    <t xml:space="preserve"> - ค่าจอดรถควรพิจรณาสำหรับคนไข้ห้องพิเศษ </t>
  </si>
  <si>
    <t xml:space="preserve"> - ที่นอนเป็นหลุม เวลานอนไม่สบายตัว (26B)</t>
  </si>
  <si>
    <t xml:space="preserve"> - อยากให้ชั้นพิเศษมีตู้น้ำหวาน อาทิ เต่าบิน หรือตู้กดน้ำดื่ม น้ำหวาน (25B)</t>
  </si>
  <si>
    <t xml:space="preserve"> - ควรแจ้งการให้บริการที่ชัดเจนมากกว่านี้ บุคลากรเหมือนไม่เต็มใจให้บริการแจ้งว่าต้องรอประมาณ 3 - 4 ชั่วโมงทั้ง ๆ ที่คนไข้มาด้วยอาการปวดท้อง เวลาประมาณ 22.00 น.</t>
  </si>
  <si>
    <t xml:space="preserve"> - รอคิวนาน (4)</t>
  </si>
  <si>
    <t xml:space="preserve"> - ระหว่างที่นั่งรอคนไข้ผ่าตัด พบเจ้าหน้าที่มานั่งนอนบริเวณโซนสีฟ้าและเหลืองเป็นชั่วโมง มองว่าไม่เหมาะสมค่ะ เจ้าหน้าที่ควรมีห้องพัดให้เป็นสัดเป็นส่วนมากกว่านี้</t>
  </si>
  <si>
    <t xml:space="preserve"> - บัตรคิวเล็กจนเกินไป (ห้องหัตถการ)</t>
  </si>
  <si>
    <t xml:space="preserve"> - ไม่มีเจ้าหน้าที่มาแจ้งถึงขั้นตอนการรักษาหรือให้คนไข้รออะไร ปล่อยให้รอนานเกือบ 2 ชั่วโมง</t>
  </si>
  <si>
    <t xml:space="preserve"> - แผนกฉุกเฉินควรดูแลคนไข้มากกว่านี้ เวลานั่งรถควรล็อครถด้วยไม่ใช่ปล่อยไหลเล่นแต่โทรศัพท์ ไม่สนใจผู้ป่วย พูดจาให้อ่อนน้อม ไม่ใช่สะกิดคนไข้แบบเพื่อน ฝากถึงแผนกฉุกเฉินทั้ง 2 กะ </t>
  </si>
  <si>
    <t xml:space="preserve">   ไม่ได้มารักษาฟรี ทั้งเสียเงินและเสียความรู้สึก</t>
  </si>
  <si>
    <t xml:space="preserve"> - วันนี้มีอาการชาที่ปลายมือขวาและปลายเท้าขวากลับไปหาหมอที่ห้องฉุกเฉินอีกครั้งกลับไม่ได้รับการรักษาใดๆเลย เจ้าหน้าที่หน้าห้องก็พูดจาไม่ดีเลยเอาเอกสารให้ดูก็ไม่ยอมดูแล้วต้องให้ยังไง </t>
  </si>
  <si>
    <t xml:space="preserve">   ทำงานบริการต้องมีความอดทนมากกว่านี้ค่ะ</t>
  </si>
  <si>
    <t xml:space="preserve"> - รอแพทย์นาน (6)</t>
  </si>
  <si>
    <t xml:space="preserve"> - หน้าร้อนควรเพิ่มพัดลมหรือความเย็น (ทันตกรรม)</t>
  </si>
  <si>
    <t xml:space="preserve"> - ควรเพิ่มเจ้าหน้าที่ตรงจุดลงทะเบียนเพราะเจ้าหน้าที่มีน้อย คนมาใช้บริการเยอะ (4)</t>
  </si>
  <si>
    <t xml:space="preserve"> - ไม่จ่ายยาทั้งที่มีอาการป่วย</t>
  </si>
  <si>
    <t xml:space="preserve"> - เรื่องของการใช้จิตวิทยา การบอกเรื่องโรคร้ายกับผู้ป่วย </t>
  </si>
  <si>
    <t xml:space="preserve"> - สถานที่ลานจอดรถบนเนินลาดชันไม่น่าให้รถไปจอดรอกันควรจะดูแลให้มากกว่านี้</t>
  </si>
  <si>
    <t xml:space="preserve"> - เพิ่มเจ้าหน้าที่การบริการหรือพยาบาลในการทำเอกสารหรือบริการผู้ป่วยเนื่องจากการบริการล่าช้ามาก</t>
  </si>
  <si>
    <t xml:space="preserve"> - พยาบาลบางท่านเรียกคนไข้ไปยืนฉีดวัคซีนหน้าอ่างล้างมือ ดูไม่เหมาะสม ควรให้ยืนฉีดบริเวณเตียงคนไข้ในห้องหัตถการจะดีและเหมาะสมกว่า</t>
  </si>
  <si>
    <r>
      <t xml:space="preserve"> </t>
    </r>
    <r>
      <rPr>
        <sz val="16"/>
        <color theme="1"/>
        <rFont val="TH SarabunPSK"/>
        <family val="2"/>
      </rPr>
      <t>- ไม่ประทับใจ ทำงานห่วย</t>
    </r>
  </si>
  <si>
    <t xml:space="preserve"> - อยากให้ราคาค่าตรวจเป็นราคาของรัฐ เป็นที่พึ่งประชาชนได้ทุก ๆ อาชีพ </t>
  </si>
  <si>
    <t xml:space="preserve"> - การเรียกคิว เสียงเบา (2)</t>
  </si>
  <si>
    <t>อันดับ 2 อุปกรณ์ เครื่องมือ และสถานที่ไม่สมบูรณ์ (OPD : 20  IPD :16 )</t>
  </si>
  <si>
    <t>อันดับ 3 การทำงานและพฤติกรรมของบุคลากร (OPD : 22 IPD :6 )</t>
  </si>
  <si>
    <t xml:space="preserve"> - รอนาน ในขั้นตอนของการรับยา (5)</t>
  </si>
  <si>
    <t>อันดับ 1 การให้บริการโดยรวม (OPD : 27 IPD :16 )</t>
  </si>
  <si>
    <t>622</t>
  </si>
  <si>
    <t xml:space="preserve">   แพร่ระบาดของโควิดแต่เจ้าหน้าที่กลับไม่ประพฤติตนเป็นแบบอย่างที่ดีให้แก่ประชาชนแจ้งให้ประชาชนใส่แมสแต่เจ้าหน้าที่กลับไม่ใส่</t>
  </si>
  <si>
    <t xml:space="preserve"> - มาฝากครรภ์ครั้งแรกใบนัดหาย ให้ทำนัดเองใหม่ ครั้งที่ 2 บอกคิวเต็ม เลยกลับนัดใหม่อีกครั้ง ครั้งนี้กว่าจะได้คิวก็นานมาก ถ้าไม่ได้ก็คงมาทีเดียวตอนคลอด อยากให้โรงพยาบาล</t>
  </si>
  <si>
    <t xml:space="preserve">   ใส่ใจระบบมากกว่านี้</t>
  </si>
  <si>
    <t xml:space="preserve"> - ห้องหัตถการกลางและพักรอ เข้างาน 8.00 น. การเตรียมการทุกอย่างต้องพร้อมแล้ว ไม่ใช่ 8.00 น.กำลังเปิดเครื่องคอมพิวเตอร์อยู่ แล้วมาใส่อารมณ์กับประชาชนที่มาใช้บริการ</t>
  </si>
  <si>
    <t xml:space="preserve">   ทำงานแบบนี้ถือว่าใช้ไม่ได้</t>
  </si>
  <si>
    <t xml:space="preserve"> - เจ้าหน้าที่การเงินไม่ใส่แมส ขณะรับเงิน และมีช่าง เจ้าหน้าที่ที่มาเก็บสิ่งของ ที่องค์พระรูปของสมเด็จพระเทพฯ  บริเวณชั้น 2 ซึ่งโรงพยาบาลเป็นพื้นที่เสี่ยงสูงโดยเฉพาะช่วงที่มีการ</t>
  </si>
  <si>
    <r>
      <t xml:space="preserve"> - </t>
    </r>
    <r>
      <rPr>
        <sz val="16"/>
        <color theme="1"/>
        <rFont val="TH SarabunPSK"/>
        <family val="2"/>
      </rPr>
      <t>เจ้าหน้าที่ตึก 150 ปี ชั้น 4 ลงทะเบียนให้เข้าซักประวัติแล้วให้นั่งต่อแต่ไม่แจ้งว่าคนไข้ต้องนั่งรอหน้าห้องไหน พอเดินมาถามก็ได้แค่ชี้แต่ไม่บอกคนไข้ สรุปก็เลยคิว พอไปถามก็ไม่พอใจคนไข้</t>
    </r>
  </si>
  <si>
    <t xml:space="preserve">   ไม่ได้อยากให้เลยคิวค่ะ แต่ไม่ได้ยินเสียงเรียกเพราะไม่รู้ว่าต้องนั่งห้องไหน</t>
  </si>
  <si>
    <t xml:space="preserve"> - พยาบาลพูดจาไม่ไพเราะชอบตะคอกใส่ (ห้องหัตถการ)</t>
  </si>
  <si>
    <t xml:space="preserve"> - ปรับปรุงรสชาดอาหาร (4)</t>
  </si>
  <si>
    <t xml:space="preserve"> - การทำคลอด แพทย์ควรช่วยเหลือคนไข้ให้มากกว่านี้ คนไข้มองว่าการตัดสินใจของแพทย์ในวันที่ทำ คลอดการตัดสินใจของแพทย์ในทีมวันนั้นทำให้ลูกเรามีอาการป่วยในวันนี้ </t>
  </si>
  <si>
    <t xml:space="preserve">  ถ้าคนไข้มีความประสงค์ ที่จะไม่ผ่าคลอด แต่ถ้าต้องทำก็ควรแจ้งคนไข้เพื่อให้คนไข้มีทางเลือกในการตัดสินใจ ควรปรับปรุง</t>
  </si>
  <si>
    <t xml:space="preserve">   ทำให้เกิดความสงสัยว่า ได้ดูความเรียบร้อยหลังการขูดมดลูกหรือไม่ ทำไมยังยังเกิดเหตุการณ์แบบนี้ ทำให้ผู้ป่วยต้องเสียเวลา เสียงาน และยังต้องมาเจ็บตัวซ้ำอีกรอบ</t>
  </si>
  <si>
    <t xml:space="preserve"> - อยากให้ใส่ใจเรื่องความสะอาดของโถเก็บปัสสาวะ ไม่แน่ใจว่าใช้ซ้ำเป็นระยะเวลาเท่าไหร่ เพราะที่เจอคือใช้ซ้ำวนจนดอกราขึ้น (22D)</t>
  </si>
  <si>
    <t xml:space="preserve"> - อยากให้มีการอธิบายหลังขูดมดลูก เพราะคนไข้ไม่ทราบอะไรเลย จากนั้นมีอาการปวดท้องหนักมาก จึงได้กลับมาพบแพทย์และ Ultrasound ดู ทำให้พบว่ายังมีตัวอ่อนอยู่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</si>
</sst>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22" fillId="0" borderId="0"/>
    <xf numFmtId="0" fontId="21" fillId="0" borderId="0"/>
  </cellStyleXfs>
  <cellXfs count="1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87" fontId="18" fillId="0" borderId="1" xfId="11" applyNumberFormat="1" applyFont="1" applyBorder="1" applyAlignment="1">
      <alignment horizontal="center" vertical="center"/>
    </xf>
    <xf numFmtId="187" fontId="18" fillId="0" borderId="1" xfId="13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2" fontId="20" fillId="6" borderId="1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4" fillId="0" borderId="7" xfId="16" applyFont="1" applyBorder="1" applyAlignment="1">
      <alignment horizontal="center" vertical="center"/>
    </xf>
    <xf numFmtId="0" fontId="24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8" fillId="7" borderId="1" xfId="14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 wrapText="1"/>
    </xf>
    <xf numFmtId="187" fontId="18" fillId="7" borderId="1" xfId="12" applyNumberFormat="1" applyFont="1" applyFill="1" applyBorder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2" fontId="18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8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6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8" fillId="0" borderId="1" xfId="12" applyNumberFormat="1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7" fillId="6" borderId="1" xfId="14" applyNumberFormat="1" applyFont="1" applyFill="1" applyBorder="1" applyAlignment="1">
      <alignment horizontal="center" vertical="center" wrapText="1"/>
    </xf>
    <xf numFmtId="2" fontId="28" fillId="6" borderId="1" xfId="0" applyNumberFormat="1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6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9" fontId="14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20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 vertical="center"/>
    </xf>
  </cellXfs>
  <cellStyles count="18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zoomScale="80" zoomScaleNormal="80" zoomScaleSheetLayoutView="80" workbookViewId="0">
      <selection activeCell="R12" sqref="R12"/>
    </sheetView>
  </sheetViews>
  <sheetFormatPr defaultColWidth="9" defaultRowHeight="21"/>
  <cols>
    <col min="1" max="1" width="62.625" style="4" customWidth="1"/>
    <col min="2" max="2" width="9" style="4" customWidth="1"/>
    <col min="3" max="5" width="9" style="3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6" s="14" customFormat="1" ht="49.7" customHeight="1">
      <c r="A1" s="97" t="s">
        <v>90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s="2" customFormat="1" ht="54.75" customHeight="1">
      <c r="A2" s="6" t="s">
        <v>0</v>
      </c>
      <c r="B2" s="86" t="s">
        <v>87</v>
      </c>
      <c r="C2" s="86" t="s">
        <v>85</v>
      </c>
      <c r="D2" s="1" t="s">
        <v>2</v>
      </c>
      <c r="E2" s="1" t="s">
        <v>74</v>
      </c>
      <c r="F2" s="1" t="s">
        <v>80</v>
      </c>
      <c r="G2" s="1" t="s">
        <v>75</v>
      </c>
      <c r="H2" s="1" t="s">
        <v>3</v>
      </c>
      <c r="I2" s="1" t="s">
        <v>4</v>
      </c>
      <c r="J2" s="1" t="s">
        <v>77</v>
      </c>
      <c r="K2" s="1" t="s">
        <v>66</v>
      </c>
      <c r="L2" s="1" t="s">
        <v>58</v>
      </c>
      <c r="M2" s="1" t="s">
        <v>5</v>
      </c>
      <c r="N2" s="1" t="s">
        <v>82</v>
      </c>
      <c r="O2" s="1" t="s">
        <v>78</v>
      </c>
      <c r="P2" s="1" t="s">
        <v>86</v>
      </c>
    </row>
    <row r="3" spans="1:16" s="82" customFormat="1" ht="24.75" customHeight="1">
      <c r="A3" s="79" t="s">
        <v>9</v>
      </c>
      <c r="B3" s="26">
        <v>3</v>
      </c>
      <c r="C3" s="80" t="s">
        <v>83</v>
      </c>
      <c r="D3" s="81">
        <v>100</v>
      </c>
      <c r="E3" s="80">
        <v>1</v>
      </c>
      <c r="F3" s="80">
        <v>59</v>
      </c>
      <c r="G3" s="80">
        <v>73</v>
      </c>
      <c r="H3" s="80">
        <v>57</v>
      </c>
      <c r="I3" s="80" t="s">
        <v>83</v>
      </c>
      <c r="J3" s="80">
        <v>42</v>
      </c>
      <c r="K3" s="80">
        <v>28</v>
      </c>
      <c r="L3" s="80">
        <v>126</v>
      </c>
      <c r="M3" s="80">
        <v>140</v>
      </c>
      <c r="N3" s="80">
        <v>2</v>
      </c>
      <c r="O3" s="80">
        <v>4</v>
      </c>
      <c r="P3" s="80" t="s">
        <v>83</v>
      </c>
    </row>
    <row r="4" spans="1:16" s="2" customFormat="1" ht="24" customHeight="1">
      <c r="A4" s="8" t="s">
        <v>26</v>
      </c>
      <c r="B4" s="25">
        <v>2</v>
      </c>
      <c r="C4" s="60" t="s">
        <v>83</v>
      </c>
      <c r="D4" s="32">
        <v>4.4800000000000013</v>
      </c>
      <c r="E4" s="96">
        <v>5</v>
      </c>
      <c r="F4" s="25">
        <v>3.9491525423728815</v>
      </c>
      <c r="G4" s="25">
        <v>4.2191780821917799</v>
      </c>
      <c r="H4" s="21">
        <v>4.3684210526315796</v>
      </c>
      <c r="I4" s="60" t="s">
        <v>83</v>
      </c>
      <c r="J4" s="21">
        <v>4.2142857142857144</v>
      </c>
      <c r="K4" s="21">
        <v>4.1428571428571423</v>
      </c>
      <c r="L4" s="21">
        <v>4.4603174603174605</v>
      </c>
      <c r="M4" s="21">
        <v>4.3500000000000023</v>
      </c>
      <c r="N4" s="25">
        <v>4.5</v>
      </c>
      <c r="O4" s="74">
        <v>4</v>
      </c>
      <c r="P4" s="60" t="s">
        <v>83</v>
      </c>
    </row>
    <row r="5" spans="1:16" s="2" customFormat="1" ht="24" customHeight="1">
      <c r="A5" s="8" t="s">
        <v>59</v>
      </c>
      <c r="B5" s="25">
        <v>2</v>
      </c>
      <c r="C5" s="60" t="s">
        <v>83</v>
      </c>
      <c r="D5" s="32">
        <v>4.4300000000000006</v>
      </c>
      <c r="E5" s="96">
        <v>5</v>
      </c>
      <c r="F5" s="25">
        <v>3.9322033898305095</v>
      </c>
      <c r="G5" s="25">
        <v>4.1369863013698627</v>
      </c>
      <c r="H5" s="21">
        <v>4.2280701754385968</v>
      </c>
      <c r="I5" s="60" t="s">
        <v>83</v>
      </c>
      <c r="J5" s="21">
        <v>4.2142857142857135</v>
      </c>
      <c r="K5" s="21">
        <v>4.1428571428571432</v>
      </c>
      <c r="L5" s="21">
        <v>4.5396825396825395</v>
      </c>
      <c r="M5" s="21">
        <v>4.3857142857142843</v>
      </c>
      <c r="N5" s="25">
        <v>4.5</v>
      </c>
      <c r="O5" s="74">
        <v>4.25</v>
      </c>
      <c r="P5" s="60" t="s">
        <v>83</v>
      </c>
    </row>
    <row r="6" spans="1:16" s="2" customFormat="1" ht="24" customHeight="1">
      <c r="A6" s="8" t="s">
        <v>60</v>
      </c>
      <c r="B6" s="25">
        <v>1.6666666666666665</v>
      </c>
      <c r="C6" s="60" t="s">
        <v>83</v>
      </c>
      <c r="D6" s="32">
        <v>4.3999999999999995</v>
      </c>
      <c r="E6" s="96">
        <v>5</v>
      </c>
      <c r="F6" s="25">
        <v>3.9322033898305095</v>
      </c>
      <c r="G6" s="25">
        <v>4.0684931506849313</v>
      </c>
      <c r="H6" s="21">
        <v>4.2280701754385959</v>
      </c>
      <c r="I6" s="60" t="s">
        <v>83</v>
      </c>
      <c r="J6" s="21">
        <v>4.0476190476190474</v>
      </c>
      <c r="K6" s="21">
        <v>4.2499999999999991</v>
      </c>
      <c r="L6" s="21">
        <v>4.5317460317460316</v>
      </c>
      <c r="M6" s="21">
        <v>4.3428571428571434</v>
      </c>
      <c r="N6" s="25">
        <v>4.5</v>
      </c>
      <c r="O6" s="74">
        <v>4.25</v>
      </c>
      <c r="P6" s="60" t="s">
        <v>83</v>
      </c>
    </row>
    <row r="7" spans="1:16" s="2" customFormat="1" ht="24" customHeight="1">
      <c r="A7" s="8" t="s">
        <v>10</v>
      </c>
      <c r="B7" s="25">
        <v>1.6666666666666665</v>
      </c>
      <c r="C7" s="60" t="s">
        <v>83</v>
      </c>
      <c r="D7" s="32">
        <v>4.3999999999999995</v>
      </c>
      <c r="E7" s="96">
        <v>5</v>
      </c>
      <c r="F7" s="25">
        <v>3.9152542372881354</v>
      </c>
      <c r="G7" s="25">
        <v>3.9178082191780823</v>
      </c>
      <c r="H7" s="21">
        <v>4.2631578947368416</v>
      </c>
      <c r="I7" s="60" t="s">
        <v>83</v>
      </c>
      <c r="J7" s="21">
        <v>4.0714285714285712</v>
      </c>
      <c r="K7" s="21">
        <v>4.1428571428571423</v>
      </c>
      <c r="L7" s="21">
        <v>4.5238095238095237</v>
      </c>
      <c r="M7" s="21">
        <v>4.3642857142857139</v>
      </c>
      <c r="N7" s="25">
        <v>4.5</v>
      </c>
      <c r="O7" s="74">
        <v>4.25</v>
      </c>
      <c r="P7" s="60" t="s">
        <v>83</v>
      </c>
    </row>
    <row r="8" spans="1:16" s="2" customFormat="1" ht="24" customHeight="1">
      <c r="A8" s="8" t="s">
        <v>11</v>
      </c>
      <c r="B8" s="25">
        <v>1.6666666666666665</v>
      </c>
      <c r="C8" s="60" t="s">
        <v>83</v>
      </c>
      <c r="D8" s="32">
        <v>4.2499999999999982</v>
      </c>
      <c r="E8" s="96">
        <v>5</v>
      </c>
      <c r="F8" s="25">
        <v>3.7457627118644061</v>
      </c>
      <c r="G8" s="25">
        <v>3.8219178082191783</v>
      </c>
      <c r="H8" s="21">
        <v>4.1052631578947363</v>
      </c>
      <c r="I8" s="60" t="s">
        <v>83</v>
      </c>
      <c r="J8" s="21">
        <v>3.6904761904761911</v>
      </c>
      <c r="K8" s="21">
        <v>4.2500000000000009</v>
      </c>
      <c r="L8" s="21">
        <v>4.4603174603174596</v>
      </c>
      <c r="M8" s="21">
        <v>4.2999999999999989</v>
      </c>
      <c r="N8" s="25">
        <v>4</v>
      </c>
      <c r="O8" s="74">
        <v>4</v>
      </c>
      <c r="P8" s="60" t="s">
        <v>83</v>
      </c>
    </row>
    <row r="9" spans="1:16" s="2" customFormat="1" ht="24" customHeight="1">
      <c r="A9" s="8" t="s">
        <v>12</v>
      </c>
      <c r="B9" s="25">
        <v>1.3333333333333333</v>
      </c>
      <c r="C9" s="60" t="s">
        <v>83</v>
      </c>
      <c r="D9" s="32">
        <v>4.32</v>
      </c>
      <c r="E9" s="96">
        <v>5</v>
      </c>
      <c r="F9" s="25">
        <v>3.7966101694915251</v>
      </c>
      <c r="G9" s="25">
        <v>4.0410958904109595</v>
      </c>
      <c r="H9" s="21">
        <v>4.140350877192982</v>
      </c>
      <c r="I9" s="60" t="s">
        <v>83</v>
      </c>
      <c r="J9" s="21">
        <v>3.666666666666667</v>
      </c>
      <c r="K9" s="21">
        <v>4.2499999999999991</v>
      </c>
      <c r="L9" s="21">
        <v>4.5158730158730194</v>
      </c>
      <c r="M9" s="21">
        <v>4.3999999999999977</v>
      </c>
      <c r="N9" s="25">
        <v>4.5</v>
      </c>
      <c r="O9" s="74">
        <v>4</v>
      </c>
      <c r="P9" s="60" t="s">
        <v>83</v>
      </c>
    </row>
    <row r="10" spans="1:16" s="2" customFormat="1" ht="24" customHeight="1">
      <c r="A10" s="8" t="s">
        <v>13</v>
      </c>
      <c r="B10" s="25">
        <v>1.6666666666666667</v>
      </c>
      <c r="C10" s="60" t="s">
        <v>83</v>
      </c>
      <c r="D10" s="32">
        <v>4.3099999999999996</v>
      </c>
      <c r="E10" s="96">
        <v>5</v>
      </c>
      <c r="F10" s="25">
        <v>3.7796610169491527</v>
      </c>
      <c r="G10" s="25">
        <v>3.9999999999999996</v>
      </c>
      <c r="H10" s="21">
        <v>4.1929824561403501</v>
      </c>
      <c r="I10" s="60" t="s">
        <v>83</v>
      </c>
      <c r="J10" s="21">
        <v>3.6904761904761902</v>
      </c>
      <c r="K10" s="21">
        <v>4.2857142857142847</v>
      </c>
      <c r="L10" s="21">
        <v>4.5476190476190492</v>
      </c>
      <c r="M10" s="21">
        <v>4.3499999999999979</v>
      </c>
      <c r="N10" s="25">
        <v>4</v>
      </c>
      <c r="O10" s="74">
        <v>4</v>
      </c>
      <c r="P10" s="60" t="s">
        <v>83</v>
      </c>
    </row>
    <row r="11" spans="1:16" s="2" customFormat="1" ht="24" customHeight="1">
      <c r="A11" s="8" t="s">
        <v>14</v>
      </c>
      <c r="B11" s="25">
        <v>1.6666666666666667</v>
      </c>
      <c r="C11" s="60" t="s">
        <v>83</v>
      </c>
      <c r="D11" s="32">
        <v>4.370000000000001</v>
      </c>
      <c r="E11" s="96">
        <v>5</v>
      </c>
      <c r="F11" s="25">
        <v>3.7796610169491531</v>
      </c>
      <c r="G11" s="25">
        <v>3.9315068493150682</v>
      </c>
      <c r="H11" s="21">
        <v>4.2105263157894743</v>
      </c>
      <c r="I11" s="60" t="s">
        <v>83</v>
      </c>
      <c r="J11" s="21">
        <v>3.9047619047619047</v>
      </c>
      <c r="K11" s="21">
        <v>4.392857142857145</v>
      </c>
      <c r="L11" s="21">
        <v>4.515873015873014</v>
      </c>
      <c r="M11" s="21">
        <v>4.3642857142857112</v>
      </c>
      <c r="N11" s="25">
        <v>4</v>
      </c>
      <c r="O11" s="74">
        <v>3.75</v>
      </c>
      <c r="P11" s="60" t="s">
        <v>83</v>
      </c>
    </row>
    <row r="12" spans="1:16" s="2" customFormat="1" ht="24" customHeight="1">
      <c r="A12" s="8" t="s">
        <v>15</v>
      </c>
      <c r="B12" s="25">
        <v>2</v>
      </c>
      <c r="C12" s="60" t="s">
        <v>83</v>
      </c>
      <c r="D12" s="32">
        <v>4.4300000000000006</v>
      </c>
      <c r="E12" s="96">
        <v>5</v>
      </c>
      <c r="F12" s="25">
        <v>3.9152542372881363</v>
      </c>
      <c r="G12" s="25">
        <v>4.1506849315068486</v>
      </c>
      <c r="H12" s="21">
        <v>4.3157894736842115</v>
      </c>
      <c r="I12" s="60" t="s">
        <v>83</v>
      </c>
      <c r="J12" s="21">
        <v>3.8809523809523827</v>
      </c>
      <c r="K12" s="21">
        <v>4.3214285714285721</v>
      </c>
      <c r="L12" s="21">
        <v>4.5396825396825413</v>
      </c>
      <c r="M12" s="21">
        <v>4.4142857142857137</v>
      </c>
      <c r="N12" s="25">
        <v>4</v>
      </c>
      <c r="O12" s="74">
        <v>4</v>
      </c>
      <c r="P12" s="60" t="s">
        <v>83</v>
      </c>
    </row>
    <row r="13" spans="1:16" s="2" customFormat="1" ht="24" customHeight="1">
      <c r="A13" s="8" t="s">
        <v>16</v>
      </c>
      <c r="B13" s="25">
        <v>1.6666666666666667</v>
      </c>
      <c r="C13" s="60" t="s">
        <v>83</v>
      </c>
      <c r="D13" s="32">
        <v>4.2799999999999976</v>
      </c>
      <c r="E13" s="96">
        <v>5</v>
      </c>
      <c r="F13" s="25">
        <v>3.9152542372881363</v>
      </c>
      <c r="G13" s="25">
        <v>4.0547945205479445</v>
      </c>
      <c r="H13" s="21">
        <v>4.2456140350877201</v>
      </c>
      <c r="I13" s="60" t="s">
        <v>83</v>
      </c>
      <c r="J13" s="21">
        <v>3.833333333333333</v>
      </c>
      <c r="K13" s="21">
        <v>4.3928571428571441</v>
      </c>
      <c r="L13" s="21">
        <v>4.4999999999999991</v>
      </c>
      <c r="M13" s="21">
        <v>4.4071428571428575</v>
      </c>
      <c r="N13" s="25">
        <v>4</v>
      </c>
      <c r="O13" s="74">
        <v>4</v>
      </c>
      <c r="P13" s="60" t="s">
        <v>83</v>
      </c>
    </row>
    <row r="14" spans="1:16" s="2" customFormat="1" ht="24" customHeight="1">
      <c r="A14" s="8" t="s">
        <v>17</v>
      </c>
      <c r="B14" s="25">
        <v>2</v>
      </c>
      <c r="C14" s="60" t="s">
        <v>83</v>
      </c>
      <c r="D14" s="32">
        <v>4.3699999999999983</v>
      </c>
      <c r="E14" s="96">
        <v>5</v>
      </c>
      <c r="F14" s="25">
        <v>3.8813559322033906</v>
      </c>
      <c r="G14" s="25">
        <v>4.082191780821919</v>
      </c>
      <c r="H14" s="21">
        <v>4.2982456140350882</v>
      </c>
      <c r="I14" s="60" t="s">
        <v>83</v>
      </c>
      <c r="J14" s="21">
        <v>3.9761904761904763</v>
      </c>
      <c r="K14" s="21">
        <v>4.25</v>
      </c>
      <c r="L14" s="21">
        <v>4.5000000000000018</v>
      </c>
      <c r="M14" s="21">
        <v>4.4071428571428575</v>
      </c>
      <c r="N14" s="25">
        <v>4</v>
      </c>
      <c r="O14" s="74">
        <v>4</v>
      </c>
      <c r="P14" s="60" t="s">
        <v>83</v>
      </c>
    </row>
    <row r="15" spans="1:16" s="2" customFormat="1" ht="24" customHeight="1">
      <c r="A15" s="8" t="s">
        <v>18</v>
      </c>
      <c r="B15" s="25">
        <v>1.6666666666666667</v>
      </c>
      <c r="C15" s="60" t="s">
        <v>83</v>
      </c>
      <c r="D15" s="32">
        <v>4.4700000000000015</v>
      </c>
      <c r="E15" s="96">
        <v>5</v>
      </c>
      <c r="F15" s="25">
        <v>3.8305084745762712</v>
      </c>
      <c r="G15" s="25">
        <v>4.0273972602739727</v>
      </c>
      <c r="H15" s="21">
        <v>4.2982456140350882</v>
      </c>
      <c r="I15" s="60" t="s">
        <v>83</v>
      </c>
      <c r="J15" s="21">
        <v>4.1190476190476186</v>
      </c>
      <c r="K15" s="21">
        <v>4.3214285714285712</v>
      </c>
      <c r="L15" s="21">
        <v>4.5555555555555562</v>
      </c>
      <c r="M15" s="21">
        <v>4.4357142857142859</v>
      </c>
      <c r="N15" s="25">
        <v>4</v>
      </c>
      <c r="O15" s="74">
        <v>4.25</v>
      </c>
      <c r="P15" s="60" t="s">
        <v>83</v>
      </c>
    </row>
    <row r="16" spans="1:16" s="2" customFormat="1" ht="24" customHeight="1">
      <c r="A16" s="8" t="s">
        <v>19</v>
      </c>
      <c r="B16" s="25">
        <v>1.6666666666666667</v>
      </c>
      <c r="C16" s="60" t="s">
        <v>83</v>
      </c>
      <c r="D16" s="32">
        <v>4.3900000000000006</v>
      </c>
      <c r="E16" s="96">
        <v>5</v>
      </c>
      <c r="F16" s="25">
        <v>3.7796610169491527</v>
      </c>
      <c r="G16" s="25">
        <v>4.0684931506849313</v>
      </c>
      <c r="H16" s="21">
        <v>4.29824561403509</v>
      </c>
      <c r="I16" s="60" t="s">
        <v>83</v>
      </c>
      <c r="J16" s="21">
        <v>4.0238095238095255</v>
      </c>
      <c r="K16" s="21">
        <v>4.2857142857142856</v>
      </c>
      <c r="L16" s="21">
        <v>4.5158730158730158</v>
      </c>
      <c r="M16" s="21">
        <v>4.3928571428571423</v>
      </c>
      <c r="N16" s="25">
        <v>4</v>
      </c>
      <c r="O16" s="74">
        <v>4.25</v>
      </c>
      <c r="P16" s="60" t="s">
        <v>83</v>
      </c>
    </row>
    <row r="17" spans="1:17" s="2" customFormat="1" ht="24" customHeight="1">
      <c r="A17" s="8" t="s">
        <v>20</v>
      </c>
      <c r="B17" s="25">
        <v>2</v>
      </c>
      <c r="C17" s="60" t="s">
        <v>83</v>
      </c>
      <c r="D17" s="32">
        <v>4.3999999999999968</v>
      </c>
      <c r="E17" s="96">
        <v>5</v>
      </c>
      <c r="F17" s="25">
        <v>3.7118644067796613</v>
      </c>
      <c r="G17" s="25">
        <v>4.1095890410958908</v>
      </c>
      <c r="H17" s="21">
        <v>4.3157894736842106</v>
      </c>
      <c r="I17" s="60" t="s">
        <v>83</v>
      </c>
      <c r="J17" s="21">
        <v>4.0714285714285712</v>
      </c>
      <c r="K17" s="21">
        <v>4.2142857142857144</v>
      </c>
      <c r="L17" s="21">
        <v>4.5158730158730158</v>
      </c>
      <c r="M17" s="21">
        <v>4.4214285714285717</v>
      </c>
      <c r="N17" s="25">
        <v>4</v>
      </c>
      <c r="O17" s="74">
        <v>3.75</v>
      </c>
      <c r="P17" s="60" t="s">
        <v>83</v>
      </c>
    </row>
    <row r="18" spans="1:17" s="2" customFormat="1" ht="24" customHeight="1">
      <c r="A18" s="8" t="s">
        <v>21</v>
      </c>
      <c r="B18" s="25">
        <v>2</v>
      </c>
      <c r="C18" s="60" t="s">
        <v>83</v>
      </c>
      <c r="D18" s="32">
        <v>4.4800000000000031</v>
      </c>
      <c r="E18" s="96">
        <v>5</v>
      </c>
      <c r="F18" s="25">
        <v>3.7118644067796609</v>
      </c>
      <c r="G18" s="25">
        <v>4.205479452054794</v>
      </c>
      <c r="H18" s="21">
        <v>4.3333333333333357</v>
      </c>
      <c r="I18" s="60" t="s">
        <v>83</v>
      </c>
      <c r="J18" s="21">
        <v>4.0476190476190466</v>
      </c>
      <c r="K18" s="21">
        <v>4.321428571428573</v>
      </c>
      <c r="L18" s="21">
        <v>4.563492063492065</v>
      </c>
      <c r="M18" s="21">
        <v>4.4500000000000011</v>
      </c>
      <c r="N18" s="25">
        <v>4</v>
      </c>
      <c r="O18" s="74">
        <v>4</v>
      </c>
      <c r="P18" s="60" t="s">
        <v>83</v>
      </c>
    </row>
    <row r="19" spans="1:17" s="2" customFormat="1" ht="24" customHeight="1">
      <c r="A19" s="8" t="s">
        <v>22</v>
      </c>
      <c r="B19" s="25">
        <v>2</v>
      </c>
      <c r="C19" s="60" t="s">
        <v>83</v>
      </c>
      <c r="D19" s="32">
        <v>4.45</v>
      </c>
      <c r="E19" s="96">
        <v>5</v>
      </c>
      <c r="F19" s="25">
        <v>3.6949152542372881</v>
      </c>
      <c r="G19" s="25">
        <v>4.2602739726027412</v>
      </c>
      <c r="H19" s="21">
        <v>4.4385964912280693</v>
      </c>
      <c r="I19" s="60" t="s">
        <v>83</v>
      </c>
      <c r="J19" s="21">
        <v>3.8571428571428568</v>
      </c>
      <c r="K19" s="21">
        <v>4.3571428571428594</v>
      </c>
      <c r="L19" s="21">
        <v>4.5555555555555562</v>
      </c>
      <c r="M19" s="21">
        <v>4.4785714285714269</v>
      </c>
      <c r="N19" s="25">
        <v>4</v>
      </c>
      <c r="O19" s="74">
        <v>4</v>
      </c>
      <c r="P19" s="60" t="s">
        <v>83</v>
      </c>
    </row>
    <row r="20" spans="1:17" s="2" customFormat="1" ht="24" customHeight="1">
      <c r="A20" s="16" t="s">
        <v>23</v>
      </c>
      <c r="B20" s="25">
        <v>1.7916666666666667</v>
      </c>
      <c r="C20" s="60" t="s">
        <v>83</v>
      </c>
      <c r="D20" s="32">
        <v>4.3893750000000002</v>
      </c>
      <c r="E20" s="96">
        <v>5</v>
      </c>
      <c r="F20" s="25">
        <v>3.8294491525423728</v>
      </c>
      <c r="G20" s="25">
        <v>4.0684931506849322</v>
      </c>
      <c r="H20" s="21">
        <v>4.2675438596491198</v>
      </c>
      <c r="I20" s="60" t="s">
        <v>83</v>
      </c>
      <c r="J20" s="21">
        <v>3.9568452380952377</v>
      </c>
      <c r="K20" s="21">
        <v>4.2700892857142856</v>
      </c>
      <c r="L20" s="21">
        <v>4.5213293650793673</v>
      </c>
      <c r="M20" s="21">
        <v>4.3915178571428557</v>
      </c>
      <c r="N20" s="25">
        <v>4.15625</v>
      </c>
      <c r="O20" s="74">
        <v>4.046875</v>
      </c>
      <c r="P20" s="60" t="s">
        <v>83</v>
      </c>
    </row>
    <row r="21" spans="1:17" s="2" customFormat="1" ht="24.75" customHeight="1">
      <c r="A21" s="9" t="s">
        <v>24</v>
      </c>
      <c r="B21" s="62">
        <f>B20*20</f>
        <v>35.833333333333336</v>
      </c>
      <c r="C21" s="60" t="s">
        <v>83</v>
      </c>
      <c r="D21" s="62">
        <f>D20*20</f>
        <v>87.787500000000009</v>
      </c>
      <c r="E21" s="62">
        <f>E20*20</f>
        <v>100</v>
      </c>
      <c r="F21" s="62">
        <f>F20*20</f>
        <v>76.58898305084746</v>
      </c>
      <c r="G21" s="62">
        <f t="shared" ref="G21:M21" si="0">G20*20</f>
        <v>81.369863013698648</v>
      </c>
      <c r="H21" s="62">
        <f t="shared" si="0"/>
        <v>85.350877192982395</v>
      </c>
      <c r="I21" s="60" t="s">
        <v>83</v>
      </c>
      <c r="J21" s="62">
        <f t="shared" si="0"/>
        <v>79.136904761904759</v>
      </c>
      <c r="K21" s="62">
        <f t="shared" si="0"/>
        <v>85.401785714285708</v>
      </c>
      <c r="L21" s="62">
        <f t="shared" si="0"/>
        <v>90.426587301587347</v>
      </c>
      <c r="M21" s="62">
        <f t="shared" si="0"/>
        <v>87.83035714285711</v>
      </c>
      <c r="N21" s="62">
        <f>N20*20</f>
        <v>83.125</v>
      </c>
      <c r="O21" s="62">
        <f>O20*20</f>
        <v>80.9375</v>
      </c>
      <c r="P21" s="60" t="s">
        <v>83</v>
      </c>
    </row>
    <row r="22" spans="1:17">
      <c r="A22" s="17" t="s">
        <v>61</v>
      </c>
      <c r="B22" s="61">
        <v>66.666666666666657</v>
      </c>
      <c r="C22" s="23" t="s">
        <v>84</v>
      </c>
      <c r="D22" s="61">
        <v>98</v>
      </c>
      <c r="E22" s="76">
        <v>100</v>
      </c>
      <c r="F22" s="61">
        <v>86.440677966101703</v>
      </c>
      <c r="G22" s="24">
        <v>89.041095890410958</v>
      </c>
      <c r="H22" s="61">
        <v>94.73684210526315</v>
      </c>
      <c r="I22" s="23" t="s">
        <v>84</v>
      </c>
      <c r="J22" s="61">
        <v>92.857142857142861</v>
      </c>
      <c r="K22" s="61">
        <v>96.428571428571431</v>
      </c>
      <c r="L22" s="61">
        <v>98.412698412698404</v>
      </c>
      <c r="M22" s="61">
        <v>97.857142857142847</v>
      </c>
      <c r="N22" s="76">
        <v>100</v>
      </c>
      <c r="O22" s="76">
        <v>100</v>
      </c>
      <c r="P22" s="23" t="s">
        <v>84</v>
      </c>
    </row>
    <row r="24" spans="1:17" ht="24" customHeight="1"/>
    <row r="25" spans="1:17" ht="59.25" customHeight="1">
      <c r="A25" s="6" t="s">
        <v>0</v>
      </c>
      <c r="B25" s="1" t="s">
        <v>71</v>
      </c>
      <c r="C25" s="1" t="s">
        <v>7</v>
      </c>
      <c r="D25" s="1" t="s">
        <v>6</v>
      </c>
      <c r="E25" s="1" t="s">
        <v>8</v>
      </c>
      <c r="F25" s="1" t="s">
        <v>73</v>
      </c>
      <c r="G25" s="1" t="s">
        <v>79</v>
      </c>
      <c r="H25" s="1" t="s">
        <v>76</v>
      </c>
      <c r="I25" s="1" t="s">
        <v>25</v>
      </c>
      <c r="J25" s="1" t="s">
        <v>62</v>
      </c>
      <c r="K25" s="1" t="s">
        <v>88</v>
      </c>
      <c r="L25" s="1" t="s">
        <v>89</v>
      </c>
      <c r="M25" s="1" t="s">
        <v>67</v>
      </c>
      <c r="N25" s="1" t="s">
        <v>72</v>
      </c>
      <c r="O25" s="1" t="s">
        <v>1</v>
      </c>
      <c r="P25" s="1" t="s">
        <v>50</v>
      </c>
      <c r="Q25" s="1" t="s">
        <v>91</v>
      </c>
    </row>
    <row r="26" spans="1:17" s="28" customFormat="1" ht="24" customHeight="1">
      <c r="A26" s="9" t="s">
        <v>9</v>
      </c>
      <c r="B26" s="60" t="s">
        <v>83</v>
      </c>
      <c r="C26" s="60">
        <v>9</v>
      </c>
      <c r="D26" s="60">
        <v>1</v>
      </c>
      <c r="E26" s="26">
        <v>7</v>
      </c>
      <c r="F26" s="26">
        <v>20</v>
      </c>
      <c r="G26" s="27">
        <v>9</v>
      </c>
      <c r="H26" s="26">
        <v>31</v>
      </c>
      <c r="I26" s="60" t="s">
        <v>83</v>
      </c>
      <c r="J26" s="60" t="s">
        <v>83</v>
      </c>
      <c r="K26" s="60" t="s">
        <v>83</v>
      </c>
      <c r="L26" s="26">
        <v>3</v>
      </c>
      <c r="M26" s="26">
        <v>16</v>
      </c>
      <c r="N26" s="26">
        <v>89</v>
      </c>
      <c r="O26" s="26">
        <v>5</v>
      </c>
      <c r="P26" s="26">
        <v>53</v>
      </c>
      <c r="Q26" s="26">
        <v>1</v>
      </c>
    </row>
    <row r="27" spans="1:17" ht="24" customHeight="1">
      <c r="A27" s="8" t="s">
        <v>26</v>
      </c>
      <c r="B27" s="60" t="s">
        <v>83</v>
      </c>
      <c r="C27" s="74">
        <v>4.8888888888888893</v>
      </c>
      <c r="D27" s="74">
        <v>5</v>
      </c>
      <c r="E27" s="21">
        <v>4.7142857142857135</v>
      </c>
      <c r="F27" s="25">
        <v>4.6500000000000004</v>
      </c>
      <c r="G27" s="21">
        <v>4.4444444444444446</v>
      </c>
      <c r="H27" s="21">
        <v>4.67741935483871</v>
      </c>
      <c r="I27" s="60" t="s">
        <v>83</v>
      </c>
      <c r="J27" s="60" t="s">
        <v>83</v>
      </c>
      <c r="K27" s="60" t="s">
        <v>83</v>
      </c>
      <c r="L27" s="21">
        <v>3.6666666666666665</v>
      </c>
      <c r="M27" s="25">
        <v>4.6874999999999991</v>
      </c>
      <c r="N27" s="21">
        <v>3.9662921348314604</v>
      </c>
      <c r="O27" s="25">
        <v>2.4</v>
      </c>
      <c r="P27" s="25">
        <v>4.3584905660377364</v>
      </c>
      <c r="Q27" s="21">
        <v>5</v>
      </c>
    </row>
    <row r="28" spans="1:17" ht="24" customHeight="1">
      <c r="A28" s="8" t="s">
        <v>59</v>
      </c>
      <c r="B28" s="60" t="s">
        <v>83</v>
      </c>
      <c r="C28" s="74">
        <v>4.8888888888888893</v>
      </c>
      <c r="D28" s="74">
        <v>5</v>
      </c>
      <c r="E28" s="21">
        <v>4.7142857142857135</v>
      </c>
      <c r="F28" s="25">
        <v>4.7</v>
      </c>
      <c r="G28" s="21">
        <v>4.4444444444444446</v>
      </c>
      <c r="H28" s="21">
        <v>4.709677419354839</v>
      </c>
      <c r="I28" s="60" t="s">
        <v>83</v>
      </c>
      <c r="J28" s="60" t="s">
        <v>83</v>
      </c>
      <c r="K28" s="60" t="s">
        <v>83</v>
      </c>
      <c r="L28" s="21">
        <v>3.6666666666666665</v>
      </c>
      <c r="M28" s="25">
        <v>4.4999999999999991</v>
      </c>
      <c r="N28" s="21">
        <v>4.0000000000000009</v>
      </c>
      <c r="O28" s="25">
        <v>2.6</v>
      </c>
      <c r="P28" s="25">
        <v>4.3773584905660377</v>
      </c>
      <c r="Q28" s="21">
        <v>5</v>
      </c>
    </row>
    <row r="29" spans="1:17" ht="24" customHeight="1">
      <c r="A29" s="8" t="s">
        <v>60</v>
      </c>
      <c r="B29" s="60" t="s">
        <v>83</v>
      </c>
      <c r="C29" s="74">
        <v>4.8888888888888893</v>
      </c>
      <c r="D29" s="74">
        <v>5</v>
      </c>
      <c r="E29" s="21">
        <v>4.5714285714285712</v>
      </c>
      <c r="F29" s="25">
        <v>4.6500000000000012</v>
      </c>
      <c r="G29" s="21">
        <v>4.2222222222222223</v>
      </c>
      <c r="H29" s="21">
        <v>4.6129032258064511</v>
      </c>
      <c r="I29" s="60" t="s">
        <v>83</v>
      </c>
      <c r="J29" s="60" t="s">
        <v>83</v>
      </c>
      <c r="K29" s="60" t="s">
        <v>83</v>
      </c>
      <c r="L29" s="21">
        <v>3.6666666666666665</v>
      </c>
      <c r="M29" s="25">
        <v>4.625</v>
      </c>
      <c r="N29" s="21">
        <v>3.9662921348314599</v>
      </c>
      <c r="O29" s="25">
        <v>2.4</v>
      </c>
      <c r="P29" s="25">
        <v>4.3396226415094334</v>
      </c>
      <c r="Q29" s="21">
        <v>5</v>
      </c>
    </row>
    <row r="30" spans="1:17" ht="24" customHeight="1">
      <c r="A30" s="8" t="s">
        <v>10</v>
      </c>
      <c r="B30" s="60" t="s">
        <v>83</v>
      </c>
      <c r="C30" s="74">
        <v>4.7777777777777768</v>
      </c>
      <c r="D30" s="74">
        <v>5</v>
      </c>
      <c r="E30" s="21">
        <v>4.5714285714285712</v>
      </c>
      <c r="F30" s="25">
        <v>4.7000000000000011</v>
      </c>
      <c r="G30" s="21">
        <v>4.2222222222222223</v>
      </c>
      <c r="H30" s="21">
        <v>4.6774193548387109</v>
      </c>
      <c r="I30" s="60" t="s">
        <v>83</v>
      </c>
      <c r="J30" s="60" t="s">
        <v>83</v>
      </c>
      <c r="K30" s="60" t="s">
        <v>83</v>
      </c>
      <c r="L30" s="21">
        <v>3.6666666666666665</v>
      </c>
      <c r="M30" s="25">
        <v>4.6874999999999991</v>
      </c>
      <c r="N30" s="21">
        <v>3.9438202247191017</v>
      </c>
      <c r="O30" s="25">
        <v>2.4</v>
      </c>
      <c r="P30" s="25">
        <v>4.4716981132075482</v>
      </c>
      <c r="Q30" s="21">
        <v>5</v>
      </c>
    </row>
    <row r="31" spans="1:17" ht="24" customHeight="1">
      <c r="A31" s="8" t="s">
        <v>11</v>
      </c>
      <c r="B31" s="60" t="s">
        <v>83</v>
      </c>
      <c r="C31" s="74">
        <v>4.3333333333333321</v>
      </c>
      <c r="D31" s="74">
        <v>3</v>
      </c>
      <c r="E31" s="21">
        <v>4.2857142857142856</v>
      </c>
      <c r="F31" s="25">
        <v>4.4000000000000012</v>
      </c>
      <c r="G31" s="21">
        <v>4.2222222222222232</v>
      </c>
      <c r="H31" s="21">
        <v>4.5806451612903221</v>
      </c>
      <c r="I31" s="60" t="s">
        <v>83</v>
      </c>
      <c r="J31" s="60" t="s">
        <v>83</v>
      </c>
      <c r="K31" s="60" t="s">
        <v>83</v>
      </c>
      <c r="L31" s="21">
        <v>3.6666666666666665</v>
      </c>
      <c r="M31" s="25">
        <v>4.4999999999999991</v>
      </c>
      <c r="N31" s="21">
        <v>3.8651685393258433</v>
      </c>
      <c r="O31" s="25">
        <v>2.4</v>
      </c>
      <c r="P31" s="25">
        <v>4.3584905660377347</v>
      </c>
      <c r="Q31" s="21">
        <v>5</v>
      </c>
    </row>
    <row r="32" spans="1:17" ht="24" customHeight="1">
      <c r="A32" s="8" t="s">
        <v>12</v>
      </c>
      <c r="B32" s="60" t="s">
        <v>83</v>
      </c>
      <c r="C32" s="74">
        <v>4.8888888888888893</v>
      </c>
      <c r="D32" s="74">
        <v>1</v>
      </c>
      <c r="E32" s="21">
        <v>4.4285714285714288</v>
      </c>
      <c r="F32" s="25">
        <v>4.4999999999999991</v>
      </c>
      <c r="G32" s="21">
        <v>4.2222222222222232</v>
      </c>
      <c r="H32" s="21">
        <v>4.6774193548387091</v>
      </c>
      <c r="I32" s="60" t="s">
        <v>83</v>
      </c>
      <c r="J32" s="60" t="s">
        <v>83</v>
      </c>
      <c r="K32" s="60" t="s">
        <v>83</v>
      </c>
      <c r="L32" s="21">
        <v>3.6666666666666665</v>
      </c>
      <c r="M32" s="25">
        <v>4.625</v>
      </c>
      <c r="N32" s="21">
        <v>3.9101123595505625</v>
      </c>
      <c r="O32" s="25">
        <v>2.4</v>
      </c>
      <c r="P32" s="25">
        <v>4.3584905660377364</v>
      </c>
      <c r="Q32" s="21">
        <v>5</v>
      </c>
    </row>
    <row r="33" spans="1:17" ht="24" customHeight="1">
      <c r="A33" s="8" t="s">
        <v>13</v>
      </c>
      <c r="B33" s="60" t="s">
        <v>83</v>
      </c>
      <c r="C33" s="74">
        <v>4.666666666666667</v>
      </c>
      <c r="D33" s="74">
        <v>1</v>
      </c>
      <c r="E33" s="21">
        <v>4.2857142857142856</v>
      </c>
      <c r="F33" s="25">
        <v>4.6500000000000004</v>
      </c>
      <c r="G33" s="21">
        <v>4.333333333333333</v>
      </c>
      <c r="H33" s="21">
        <v>4.8387096774193541</v>
      </c>
      <c r="I33" s="60" t="s">
        <v>83</v>
      </c>
      <c r="J33" s="60" t="s">
        <v>83</v>
      </c>
      <c r="K33" s="60" t="s">
        <v>83</v>
      </c>
      <c r="L33" s="21">
        <v>4</v>
      </c>
      <c r="M33" s="25">
        <v>4.625</v>
      </c>
      <c r="N33" s="21">
        <v>3.8539325842696623</v>
      </c>
      <c r="O33" s="25">
        <v>2.2000000000000002</v>
      </c>
      <c r="P33" s="25">
        <v>4.3207547169811331</v>
      </c>
      <c r="Q33" s="21">
        <v>5</v>
      </c>
    </row>
    <row r="34" spans="1:17" ht="24" customHeight="1">
      <c r="A34" s="8" t="s">
        <v>14</v>
      </c>
      <c r="B34" s="60" t="s">
        <v>83</v>
      </c>
      <c r="C34" s="74">
        <v>4.7777777777777768</v>
      </c>
      <c r="D34" s="74">
        <v>5</v>
      </c>
      <c r="E34" s="21">
        <v>4.5714285714285712</v>
      </c>
      <c r="F34" s="25">
        <v>4.55</v>
      </c>
      <c r="G34" s="21">
        <v>4.1111111111111107</v>
      </c>
      <c r="H34" s="21">
        <v>4.67741935483871</v>
      </c>
      <c r="I34" s="60" t="s">
        <v>83</v>
      </c>
      <c r="J34" s="60" t="s">
        <v>83</v>
      </c>
      <c r="K34" s="60" t="s">
        <v>83</v>
      </c>
      <c r="L34" s="21">
        <v>3.6666666666666665</v>
      </c>
      <c r="M34" s="25">
        <v>4.4374999999999991</v>
      </c>
      <c r="N34" s="21">
        <v>3.9213483146067425</v>
      </c>
      <c r="O34" s="25">
        <v>2.4</v>
      </c>
      <c r="P34" s="25">
        <v>4.2641509433962259</v>
      </c>
      <c r="Q34" s="21">
        <v>5</v>
      </c>
    </row>
    <row r="35" spans="1:17" ht="24" customHeight="1">
      <c r="A35" s="8" t="s">
        <v>15</v>
      </c>
      <c r="B35" s="60" t="s">
        <v>83</v>
      </c>
      <c r="C35" s="74">
        <v>4.8888888888888893</v>
      </c>
      <c r="D35" s="74">
        <v>1</v>
      </c>
      <c r="E35" s="21">
        <v>4.5714285714285712</v>
      </c>
      <c r="F35" s="25">
        <v>4.6499999999999986</v>
      </c>
      <c r="G35" s="21">
        <v>4.333333333333333</v>
      </c>
      <c r="H35" s="21">
        <v>4.6129032258064511</v>
      </c>
      <c r="I35" s="60" t="s">
        <v>83</v>
      </c>
      <c r="J35" s="60" t="s">
        <v>83</v>
      </c>
      <c r="K35" s="60" t="s">
        <v>83</v>
      </c>
      <c r="L35" s="21">
        <v>4</v>
      </c>
      <c r="M35" s="25">
        <v>4.625</v>
      </c>
      <c r="N35" s="21">
        <v>3.9438202247191021</v>
      </c>
      <c r="O35" s="25">
        <v>2.4</v>
      </c>
      <c r="P35" s="25">
        <v>4.3962264150943389</v>
      </c>
      <c r="Q35" s="21">
        <v>1</v>
      </c>
    </row>
    <row r="36" spans="1:17" ht="24" customHeight="1">
      <c r="A36" s="8" t="s">
        <v>16</v>
      </c>
      <c r="B36" s="60" t="s">
        <v>83</v>
      </c>
      <c r="C36" s="74">
        <v>4.3333333333333321</v>
      </c>
      <c r="D36" s="74">
        <v>1</v>
      </c>
      <c r="E36" s="21">
        <v>4.5714285714285712</v>
      </c>
      <c r="F36" s="25">
        <v>4.5499999999999989</v>
      </c>
      <c r="G36" s="21">
        <v>4.333333333333333</v>
      </c>
      <c r="H36" s="21">
        <v>4.709677419354839</v>
      </c>
      <c r="I36" s="60" t="s">
        <v>83</v>
      </c>
      <c r="J36" s="60" t="s">
        <v>83</v>
      </c>
      <c r="K36" s="60" t="s">
        <v>83</v>
      </c>
      <c r="L36" s="21">
        <v>3.6666666666666665</v>
      </c>
      <c r="M36" s="25">
        <v>4.6874999999999991</v>
      </c>
      <c r="N36" s="21">
        <v>3.8651685393258441</v>
      </c>
      <c r="O36" s="25">
        <v>2.4</v>
      </c>
      <c r="P36" s="25">
        <v>4.4905660377358485</v>
      </c>
      <c r="Q36" s="21">
        <v>5</v>
      </c>
    </row>
    <row r="37" spans="1:17" ht="24" customHeight="1">
      <c r="A37" s="8" t="s">
        <v>17</v>
      </c>
      <c r="B37" s="60" t="s">
        <v>83</v>
      </c>
      <c r="C37" s="74">
        <v>4.5555555555555545</v>
      </c>
      <c r="D37" s="74">
        <v>5</v>
      </c>
      <c r="E37" s="21">
        <v>4.5714285714285712</v>
      </c>
      <c r="F37" s="25">
        <v>4.6499999999999995</v>
      </c>
      <c r="G37" s="21">
        <v>4.333333333333333</v>
      </c>
      <c r="H37" s="21">
        <v>4.6451612903225801</v>
      </c>
      <c r="I37" s="60" t="s">
        <v>83</v>
      </c>
      <c r="J37" s="60" t="s">
        <v>83</v>
      </c>
      <c r="K37" s="60" t="s">
        <v>83</v>
      </c>
      <c r="L37" s="21">
        <v>3.6666666666666665</v>
      </c>
      <c r="M37" s="25">
        <v>4.7499999999999991</v>
      </c>
      <c r="N37" s="21">
        <v>3.8539325842696632</v>
      </c>
      <c r="O37" s="25">
        <v>2.6</v>
      </c>
      <c r="P37" s="25">
        <v>4.5094339622641506</v>
      </c>
      <c r="Q37" s="21">
        <v>5</v>
      </c>
    </row>
    <row r="38" spans="1:17" ht="24" customHeight="1">
      <c r="A38" s="8" t="s">
        <v>18</v>
      </c>
      <c r="B38" s="60" t="s">
        <v>83</v>
      </c>
      <c r="C38" s="74">
        <v>4.7777777777777768</v>
      </c>
      <c r="D38" s="74">
        <v>5</v>
      </c>
      <c r="E38" s="21">
        <v>4.7142857142857135</v>
      </c>
      <c r="F38" s="25">
        <v>4.55</v>
      </c>
      <c r="G38" s="21">
        <v>4.2222222222222223</v>
      </c>
      <c r="H38" s="21">
        <v>4.6774193548387091</v>
      </c>
      <c r="I38" s="60" t="s">
        <v>83</v>
      </c>
      <c r="J38" s="60" t="s">
        <v>83</v>
      </c>
      <c r="K38" s="60" t="s">
        <v>83</v>
      </c>
      <c r="L38" s="21">
        <v>3.6666666666666665</v>
      </c>
      <c r="M38" s="25">
        <v>4.5624999999999991</v>
      </c>
      <c r="N38" s="21">
        <v>3.8539325842696628</v>
      </c>
      <c r="O38" s="25">
        <v>2.4</v>
      </c>
      <c r="P38" s="25">
        <v>4.4716981132075464</v>
      </c>
      <c r="Q38" s="21">
        <v>5</v>
      </c>
    </row>
    <row r="39" spans="1:17" ht="24" customHeight="1">
      <c r="A39" s="8" t="s">
        <v>19</v>
      </c>
      <c r="B39" s="60" t="s">
        <v>83</v>
      </c>
      <c r="C39" s="74">
        <v>4.666666666666667</v>
      </c>
      <c r="D39" s="74">
        <v>5</v>
      </c>
      <c r="E39" s="21">
        <v>4.5714285714285712</v>
      </c>
      <c r="F39" s="25">
        <v>4.4999999999999991</v>
      </c>
      <c r="G39" s="21">
        <v>4.333333333333333</v>
      </c>
      <c r="H39" s="21">
        <v>4.5806451612903221</v>
      </c>
      <c r="I39" s="60" t="s">
        <v>83</v>
      </c>
      <c r="J39" s="60" t="s">
        <v>83</v>
      </c>
      <c r="K39" s="60" t="s">
        <v>83</v>
      </c>
      <c r="L39" s="21">
        <v>3.6666666666666665</v>
      </c>
      <c r="M39" s="25">
        <v>4.4374999999999982</v>
      </c>
      <c r="N39" s="21">
        <v>3.9213483146067407</v>
      </c>
      <c r="O39" s="25">
        <v>2.4</v>
      </c>
      <c r="P39" s="25">
        <v>4.4339622641509466</v>
      </c>
      <c r="Q39" s="21">
        <v>5</v>
      </c>
    </row>
    <row r="40" spans="1:17" ht="24" customHeight="1">
      <c r="A40" s="8" t="s">
        <v>20</v>
      </c>
      <c r="B40" s="60" t="s">
        <v>83</v>
      </c>
      <c r="C40" s="74">
        <v>4.666666666666667</v>
      </c>
      <c r="D40" s="74">
        <v>5</v>
      </c>
      <c r="E40" s="21">
        <v>4.5714285714285712</v>
      </c>
      <c r="F40" s="25">
        <v>4.45</v>
      </c>
      <c r="G40" s="21">
        <v>4.2222222222222223</v>
      </c>
      <c r="H40" s="21">
        <v>4.6774193548387091</v>
      </c>
      <c r="I40" s="60" t="s">
        <v>83</v>
      </c>
      <c r="J40" s="60" t="s">
        <v>83</v>
      </c>
      <c r="K40" s="60" t="s">
        <v>83</v>
      </c>
      <c r="L40" s="21">
        <v>3.6666666666666665</v>
      </c>
      <c r="M40" s="25">
        <v>4.5625</v>
      </c>
      <c r="N40" s="21">
        <v>4.0337078651685401</v>
      </c>
      <c r="O40" s="25">
        <v>2.6</v>
      </c>
      <c r="P40" s="25">
        <v>4.4716981132075455</v>
      </c>
      <c r="Q40" s="21">
        <v>5</v>
      </c>
    </row>
    <row r="41" spans="1:17" ht="24" customHeight="1">
      <c r="A41" s="8" t="s">
        <v>21</v>
      </c>
      <c r="B41" s="60" t="s">
        <v>83</v>
      </c>
      <c r="C41" s="74">
        <v>4.7777777777777768</v>
      </c>
      <c r="D41" s="74">
        <v>5</v>
      </c>
      <c r="E41" s="21">
        <v>4.5714285714285712</v>
      </c>
      <c r="F41" s="25">
        <v>4.5999999999999996</v>
      </c>
      <c r="G41" s="21">
        <v>4.333333333333333</v>
      </c>
      <c r="H41" s="21">
        <v>4.6451612903225801</v>
      </c>
      <c r="I41" s="60" t="s">
        <v>83</v>
      </c>
      <c r="J41" s="60" t="s">
        <v>83</v>
      </c>
      <c r="K41" s="60" t="s">
        <v>83</v>
      </c>
      <c r="L41" s="21">
        <v>3.6666666666666665</v>
      </c>
      <c r="M41" s="25">
        <v>4.625</v>
      </c>
      <c r="N41" s="21">
        <v>4.0674157303370775</v>
      </c>
      <c r="O41" s="25">
        <v>2.8</v>
      </c>
      <c r="P41" s="25">
        <v>4.4716981132075464</v>
      </c>
      <c r="Q41" s="21">
        <v>5</v>
      </c>
    </row>
    <row r="42" spans="1:17" ht="24" customHeight="1">
      <c r="A42" s="8" t="s">
        <v>22</v>
      </c>
      <c r="B42" s="60" t="s">
        <v>83</v>
      </c>
      <c r="C42" s="74">
        <v>4.8888888888888893</v>
      </c>
      <c r="D42" s="74">
        <v>1</v>
      </c>
      <c r="E42" s="21">
        <v>4.5714285714285712</v>
      </c>
      <c r="F42" s="25">
        <v>4.6999999999999993</v>
      </c>
      <c r="G42" s="21">
        <v>4.333333333333333</v>
      </c>
      <c r="H42" s="21">
        <v>4.838709677419355</v>
      </c>
      <c r="I42" s="60" t="s">
        <v>83</v>
      </c>
      <c r="J42" s="60" t="s">
        <v>83</v>
      </c>
      <c r="K42" s="60" t="s">
        <v>83</v>
      </c>
      <c r="L42" s="21">
        <v>3.6666666666666665</v>
      </c>
      <c r="M42" s="25">
        <v>4.8125</v>
      </c>
      <c r="N42" s="21">
        <v>4.0674157303370775</v>
      </c>
      <c r="O42" s="25">
        <v>2</v>
      </c>
      <c r="P42" s="25">
        <v>4.4716981132075473</v>
      </c>
      <c r="Q42" s="21">
        <v>5</v>
      </c>
    </row>
    <row r="43" spans="1:17" ht="24" customHeight="1">
      <c r="A43" s="9" t="s">
        <v>23</v>
      </c>
      <c r="B43" s="60" t="s">
        <v>83</v>
      </c>
      <c r="C43" s="74">
        <v>4.729166666666667</v>
      </c>
      <c r="D43" s="74">
        <v>3.625</v>
      </c>
      <c r="E43" s="21">
        <v>4.5535714285714288</v>
      </c>
      <c r="F43" s="25">
        <v>4.5906250000000002</v>
      </c>
      <c r="G43" s="21">
        <v>4.291666666666667</v>
      </c>
      <c r="H43" s="21">
        <v>4.67741935483871</v>
      </c>
      <c r="I43" s="60" t="s">
        <v>83</v>
      </c>
      <c r="J43" s="60" t="s">
        <v>83</v>
      </c>
      <c r="K43" s="60" t="s">
        <v>83</v>
      </c>
      <c r="L43" s="21">
        <v>3.7083333333333335</v>
      </c>
      <c r="M43" s="25">
        <v>4.6093750000000009</v>
      </c>
      <c r="N43" s="21">
        <v>3.9396067415730349</v>
      </c>
      <c r="O43" s="25">
        <v>2.4249999999999998</v>
      </c>
      <c r="P43" s="25">
        <v>4.4103773584905648</v>
      </c>
      <c r="Q43" s="21">
        <v>4.75</v>
      </c>
    </row>
    <row r="44" spans="1:17">
      <c r="A44" s="9" t="s">
        <v>24</v>
      </c>
      <c r="B44" s="60" t="s">
        <v>83</v>
      </c>
      <c r="C44" s="62">
        <f t="shared" ref="C44:O44" si="1">C43*20</f>
        <v>94.583333333333343</v>
      </c>
      <c r="D44" s="62">
        <f t="shared" si="1"/>
        <v>72.5</v>
      </c>
      <c r="E44" s="62">
        <f t="shared" si="1"/>
        <v>91.071428571428584</v>
      </c>
      <c r="F44" s="62">
        <f t="shared" si="1"/>
        <v>91.8125</v>
      </c>
      <c r="G44" s="62">
        <f t="shared" si="1"/>
        <v>85.833333333333343</v>
      </c>
      <c r="H44" s="62">
        <f t="shared" si="1"/>
        <v>93.548387096774206</v>
      </c>
      <c r="I44" s="60" t="s">
        <v>83</v>
      </c>
      <c r="J44" s="60" t="s">
        <v>83</v>
      </c>
      <c r="K44" s="60" t="s">
        <v>83</v>
      </c>
      <c r="L44" s="62">
        <f t="shared" ref="L44" si="2">L43*20</f>
        <v>74.166666666666671</v>
      </c>
      <c r="M44" s="62">
        <f t="shared" si="1"/>
        <v>92.187500000000014</v>
      </c>
      <c r="N44" s="62">
        <f t="shared" si="1"/>
        <v>78.7921348314607</v>
      </c>
      <c r="O44" s="62">
        <f t="shared" si="1"/>
        <v>48.5</v>
      </c>
      <c r="P44" s="62">
        <f>P43*20</f>
        <v>88.207547169811292</v>
      </c>
      <c r="Q44" s="62">
        <f t="shared" ref="Q44" si="3">Q43*20</f>
        <v>95</v>
      </c>
    </row>
    <row r="45" spans="1:17">
      <c r="A45" s="75" t="s">
        <v>61</v>
      </c>
      <c r="B45" s="78" t="s">
        <v>84</v>
      </c>
      <c r="C45" s="77">
        <v>100</v>
      </c>
      <c r="D45" s="77">
        <v>100</v>
      </c>
      <c r="E45" s="76">
        <v>71.428571428571431</v>
      </c>
      <c r="F45" s="77">
        <v>100</v>
      </c>
      <c r="G45" s="76">
        <v>88.888888888888886</v>
      </c>
      <c r="H45" s="77">
        <v>100</v>
      </c>
      <c r="I45" s="78" t="s">
        <v>84</v>
      </c>
      <c r="J45" s="78" t="s">
        <v>84</v>
      </c>
      <c r="K45" s="78" t="s">
        <v>84</v>
      </c>
      <c r="L45" s="76">
        <v>66.666666666666657</v>
      </c>
      <c r="M45" s="76">
        <v>93.75</v>
      </c>
      <c r="N45" s="76">
        <v>93.258426966292134</v>
      </c>
      <c r="O45" s="77">
        <v>20</v>
      </c>
      <c r="P45" s="77">
        <v>86.79245283018868</v>
      </c>
      <c r="Q45" s="76">
        <v>100</v>
      </c>
    </row>
    <row r="47" spans="1:17" ht="24" customHeight="1"/>
    <row r="48" spans="1:17" s="15" customFormat="1" ht="24" customHeight="1">
      <c r="A48" s="6" t="s">
        <v>0</v>
      </c>
      <c r="B48" s="5" t="s">
        <v>63</v>
      </c>
      <c r="C48" s="5" t="s">
        <v>27</v>
      </c>
      <c r="D48" s="5" t="s">
        <v>65</v>
      </c>
      <c r="E48" s="5" t="s">
        <v>29</v>
      </c>
      <c r="F48" s="18" t="s">
        <v>69</v>
      </c>
      <c r="G48" s="5" t="s">
        <v>30</v>
      </c>
      <c r="H48" s="5" t="s">
        <v>31</v>
      </c>
      <c r="I48" s="5" t="s">
        <v>32</v>
      </c>
      <c r="J48" s="5" t="s">
        <v>33</v>
      </c>
      <c r="K48" s="5" t="s">
        <v>34</v>
      </c>
      <c r="L48" s="5" t="s">
        <v>64</v>
      </c>
      <c r="M48" s="5" t="s">
        <v>35</v>
      </c>
      <c r="N48" s="5" t="s">
        <v>36</v>
      </c>
    </row>
    <row r="49" spans="1:14" s="28" customFormat="1" ht="24" customHeight="1">
      <c r="A49" s="9" t="s">
        <v>9</v>
      </c>
      <c r="B49" s="26">
        <v>30</v>
      </c>
      <c r="C49" s="33">
        <v>24</v>
      </c>
      <c r="D49" s="26">
        <v>36</v>
      </c>
      <c r="E49" s="26">
        <v>10</v>
      </c>
      <c r="F49" s="60" t="s">
        <v>83</v>
      </c>
      <c r="G49" s="26">
        <v>92</v>
      </c>
      <c r="H49" s="26">
        <v>70</v>
      </c>
      <c r="I49" s="60" t="s">
        <v>83</v>
      </c>
      <c r="J49" s="29">
        <v>49</v>
      </c>
      <c r="K49" s="30">
        <v>52</v>
      </c>
      <c r="L49" s="26">
        <v>80</v>
      </c>
      <c r="M49" s="26">
        <v>35</v>
      </c>
      <c r="N49" s="26">
        <v>79</v>
      </c>
    </row>
    <row r="50" spans="1:14" ht="24" customHeight="1">
      <c r="A50" s="8" t="s">
        <v>26</v>
      </c>
      <c r="B50" s="22">
        <v>4.8666666666666671</v>
      </c>
      <c r="C50" s="34">
        <v>4.583333333333333</v>
      </c>
      <c r="D50" s="22">
        <v>4.6388888888888884</v>
      </c>
      <c r="E50" s="22">
        <v>4.6999999999999993</v>
      </c>
      <c r="F50" s="60" t="s">
        <v>83</v>
      </c>
      <c r="G50" s="22">
        <v>4.4347826086956514</v>
      </c>
      <c r="H50" s="22">
        <v>4.5714285714285738</v>
      </c>
      <c r="I50" s="60" t="s">
        <v>83</v>
      </c>
      <c r="J50" s="22">
        <v>4.591836734693878</v>
      </c>
      <c r="K50" s="22">
        <v>4.4807692307692308</v>
      </c>
      <c r="L50" s="22">
        <v>4.4499999999999993</v>
      </c>
      <c r="M50" s="22">
        <v>4.3999999999999977</v>
      </c>
      <c r="N50" s="73">
        <v>4.4556962025316444</v>
      </c>
    </row>
    <row r="51" spans="1:14" ht="24" customHeight="1">
      <c r="A51" s="8" t="s">
        <v>59</v>
      </c>
      <c r="B51" s="22">
        <v>4.8666666666666663</v>
      </c>
      <c r="C51" s="34">
        <v>4.5833333333333339</v>
      </c>
      <c r="D51" s="22">
        <v>4.583333333333333</v>
      </c>
      <c r="E51" s="22">
        <v>4.7999999999999989</v>
      </c>
      <c r="F51" s="60" t="s">
        <v>83</v>
      </c>
      <c r="G51" s="22">
        <v>4.4782608695652151</v>
      </c>
      <c r="H51" s="22">
        <v>4.5285714285714285</v>
      </c>
      <c r="I51" s="60" t="s">
        <v>83</v>
      </c>
      <c r="J51" s="22">
        <v>4.6530612244897966</v>
      </c>
      <c r="K51" s="22">
        <v>4.4423076923076907</v>
      </c>
      <c r="L51" s="22">
        <v>4.4374999999999991</v>
      </c>
      <c r="M51" s="22">
        <v>4.2857142857142847</v>
      </c>
      <c r="N51" s="73">
        <v>4.4430379746835431</v>
      </c>
    </row>
    <row r="52" spans="1:14" ht="24" customHeight="1">
      <c r="A52" s="8" t="s">
        <v>60</v>
      </c>
      <c r="B52" s="22">
        <v>4.8333333333333339</v>
      </c>
      <c r="C52" s="34">
        <v>4.583333333333333</v>
      </c>
      <c r="D52" s="22">
        <v>4.6111111111111116</v>
      </c>
      <c r="E52" s="22">
        <v>4.5999999999999996</v>
      </c>
      <c r="F52" s="60" t="s">
        <v>83</v>
      </c>
      <c r="G52" s="22">
        <v>4.4999999999999991</v>
      </c>
      <c r="H52" s="22">
        <v>4.5285714285714285</v>
      </c>
      <c r="I52" s="60" t="s">
        <v>83</v>
      </c>
      <c r="J52" s="22">
        <v>4.6530612244897966</v>
      </c>
      <c r="K52" s="22">
        <v>4.3846153846153859</v>
      </c>
      <c r="L52" s="22">
        <v>4.4250000000000007</v>
      </c>
      <c r="M52" s="22">
        <v>4.3142857142857132</v>
      </c>
      <c r="N52" s="73">
        <v>4.481012658227848</v>
      </c>
    </row>
    <row r="53" spans="1:14" ht="24" customHeight="1">
      <c r="A53" s="8" t="s">
        <v>10</v>
      </c>
      <c r="B53" s="22">
        <v>4.833333333333333</v>
      </c>
      <c r="C53" s="34">
        <v>4.541666666666667</v>
      </c>
      <c r="D53" s="22">
        <v>4.6388888888888884</v>
      </c>
      <c r="E53" s="22">
        <v>4.7</v>
      </c>
      <c r="F53" s="60" t="s">
        <v>83</v>
      </c>
      <c r="G53" s="22">
        <v>4.4673913043478226</v>
      </c>
      <c r="H53" s="22">
        <v>4.4285714285714279</v>
      </c>
      <c r="I53" s="60" t="s">
        <v>83</v>
      </c>
      <c r="J53" s="22">
        <v>4.6530612244897958</v>
      </c>
      <c r="K53" s="22">
        <v>4.3653846153846141</v>
      </c>
      <c r="L53" s="22">
        <v>4.3874999999999984</v>
      </c>
      <c r="M53" s="22">
        <v>4.2571428571428562</v>
      </c>
      <c r="N53" s="73">
        <v>4.367088607594936</v>
      </c>
    </row>
    <row r="54" spans="1:14" ht="24" customHeight="1">
      <c r="A54" s="8" t="s">
        <v>11</v>
      </c>
      <c r="B54" s="22">
        <v>4.8666666666666663</v>
      </c>
      <c r="C54" s="34">
        <v>4.5416666666666661</v>
      </c>
      <c r="D54" s="22">
        <v>4.6666666666666679</v>
      </c>
      <c r="E54" s="22">
        <v>4.5000000000000009</v>
      </c>
      <c r="F54" s="60" t="s">
        <v>83</v>
      </c>
      <c r="G54" s="22">
        <v>4.3586956521739122</v>
      </c>
      <c r="H54" s="22">
        <v>4.3285714285714283</v>
      </c>
      <c r="I54" s="60" t="s">
        <v>83</v>
      </c>
      <c r="J54" s="22">
        <v>4.5714285714285703</v>
      </c>
      <c r="K54" s="22">
        <v>4.4038461538461542</v>
      </c>
      <c r="L54" s="22">
        <v>4.2749999999999986</v>
      </c>
      <c r="M54" s="22">
        <v>4.1714285714285726</v>
      </c>
      <c r="N54" s="73">
        <v>4.5063291139240498</v>
      </c>
    </row>
    <row r="55" spans="1:14" ht="24" customHeight="1">
      <c r="A55" s="8" t="s">
        <v>12</v>
      </c>
      <c r="B55" s="22">
        <v>4.833333333333333</v>
      </c>
      <c r="C55" s="34">
        <v>4.6666666666666661</v>
      </c>
      <c r="D55" s="22">
        <v>4.6944444444444446</v>
      </c>
      <c r="E55" s="22">
        <v>4.4000000000000004</v>
      </c>
      <c r="F55" s="60" t="s">
        <v>83</v>
      </c>
      <c r="G55" s="22">
        <v>4.4456521739130412</v>
      </c>
      <c r="H55" s="22">
        <v>4.3857142857142852</v>
      </c>
      <c r="I55" s="60" t="s">
        <v>83</v>
      </c>
      <c r="J55" s="22">
        <v>4.5510204081632644</v>
      </c>
      <c r="K55" s="22">
        <v>4.5192307692307692</v>
      </c>
      <c r="L55" s="22">
        <v>4.3750000000000009</v>
      </c>
      <c r="M55" s="22">
        <v>4.3999999999999995</v>
      </c>
      <c r="N55" s="73">
        <v>4.5316455696202524</v>
      </c>
    </row>
    <row r="56" spans="1:14" ht="24" customHeight="1">
      <c r="A56" s="8" t="s">
        <v>13</v>
      </c>
      <c r="B56" s="22">
        <v>4.8666666666666663</v>
      </c>
      <c r="C56" s="34">
        <v>4.583333333333333</v>
      </c>
      <c r="D56" s="22">
        <v>4.583333333333333</v>
      </c>
      <c r="E56" s="22">
        <v>4.5</v>
      </c>
      <c r="F56" s="60" t="s">
        <v>83</v>
      </c>
      <c r="G56" s="22">
        <v>4.3695652173913029</v>
      </c>
      <c r="H56" s="22">
        <v>4.4999999999999991</v>
      </c>
      <c r="I56" s="60" t="s">
        <v>83</v>
      </c>
      <c r="J56" s="22">
        <v>4.6734693877551026</v>
      </c>
      <c r="K56" s="22">
        <v>4.4423076923076925</v>
      </c>
      <c r="L56" s="22">
        <v>4.5375000000000005</v>
      </c>
      <c r="M56" s="22">
        <v>4.4571428571428573</v>
      </c>
      <c r="N56" s="73">
        <v>4.6202531645569636</v>
      </c>
    </row>
    <row r="57" spans="1:14" ht="24" customHeight="1">
      <c r="A57" s="8" t="s">
        <v>14</v>
      </c>
      <c r="B57" s="22">
        <v>4.8000000000000007</v>
      </c>
      <c r="C57" s="34">
        <v>4.625</v>
      </c>
      <c r="D57" s="22">
        <v>4.666666666666667</v>
      </c>
      <c r="E57" s="22">
        <v>4.5000000000000009</v>
      </c>
      <c r="F57" s="60" t="s">
        <v>83</v>
      </c>
      <c r="G57" s="22">
        <v>4.3478260869565215</v>
      </c>
      <c r="H57" s="22">
        <v>4.371428571428571</v>
      </c>
      <c r="I57" s="60" t="s">
        <v>83</v>
      </c>
      <c r="J57" s="22">
        <v>4.5510204081632661</v>
      </c>
      <c r="K57" s="22">
        <v>4.3269230769230766</v>
      </c>
      <c r="L57" s="22">
        <v>4.2999999999999989</v>
      </c>
      <c r="M57" s="22">
        <v>4.2571428571428562</v>
      </c>
      <c r="N57" s="73">
        <v>4.556962025316456</v>
      </c>
    </row>
    <row r="58" spans="1:14" ht="24" customHeight="1">
      <c r="A58" s="8" t="s">
        <v>15</v>
      </c>
      <c r="B58" s="22">
        <v>4.9000000000000004</v>
      </c>
      <c r="C58" s="34">
        <v>4.6249999999999982</v>
      </c>
      <c r="D58" s="22">
        <v>4.6111111111111107</v>
      </c>
      <c r="E58" s="22">
        <v>4.4000000000000004</v>
      </c>
      <c r="F58" s="60" t="s">
        <v>83</v>
      </c>
      <c r="G58" s="22">
        <v>4.4456521739130466</v>
      </c>
      <c r="H58" s="22">
        <v>4.5142857142857142</v>
      </c>
      <c r="I58" s="60" t="s">
        <v>83</v>
      </c>
      <c r="J58" s="22">
        <v>4.7142857142857153</v>
      </c>
      <c r="K58" s="22">
        <v>4.3653846153846159</v>
      </c>
      <c r="L58" s="22">
        <v>4.4499999999999984</v>
      </c>
      <c r="M58" s="22">
        <v>4.4857142857142849</v>
      </c>
      <c r="N58" s="73">
        <v>4.5949367088607591</v>
      </c>
    </row>
    <row r="59" spans="1:14" ht="24" customHeight="1">
      <c r="A59" s="8" t="s">
        <v>16</v>
      </c>
      <c r="B59" s="22">
        <v>4.8666666666666671</v>
      </c>
      <c r="C59" s="34">
        <v>4.6666666666666661</v>
      </c>
      <c r="D59" s="22">
        <v>4.583333333333333</v>
      </c>
      <c r="E59" s="22">
        <v>4.5</v>
      </c>
      <c r="F59" s="60" t="s">
        <v>83</v>
      </c>
      <c r="G59" s="22">
        <v>4.4456521739130475</v>
      </c>
      <c r="H59" s="22">
        <v>4.4285714285714279</v>
      </c>
      <c r="I59" s="60" t="s">
        <v>83</v>
      </c>
      <c r="J59" s="22">
        <v>4.6122448979591821</v>
      </c>
      <c r="K59" s="22">
        <v>4.4615384615384608</v>
      </c>
      <c r="L59" s="22">
        <v>4.4749999999999988</v>
      </c>
      <c r="M59" s="22">
        <v>4.3142857142857141</v>
      </c>
      <c r="N59" s="73">
        <v>4.59493670886076</v>
      </c>
    </row>
    <row r="60" spans="1:14" ht="24" customHeight="1">
      <c r="A60" s="8" t="s">
        <v>17</v>
      </c>
      <c r="B60" s="22">
        <v>4.8666666666666663</v>
      </c>
      <c r="C60" s="34">
        <v>4.708333333333333</v>
      </c>
      <c r="D60" s="22">
        <v>4.583333333333333</v>
      </c>
      <c r="E60" s="22">
        <v>4.5</v>
      </c>
      <c r="F60" s="60" t="s">
        <v>83</v>
      </c>
      <c r="G60" s="22">
        <v>4.3804347826086962</v>
      </c>
      <c r="H60" s="22">
        <v>4.4285714285714288</v>
      </c>
      <c r="I60" s="60" t="s">
        <v>83</v>
      </c>
      <c r="J60" s="22">
        <v>4.6326530612244907</v>
      </c>
      <c r="K60" s="22">
        <v>4.4807692307692291</v>
      </c>
      <c r="L60" s="22">
        <v>4.5374999999999996</v>
      </c>
      <c r="M60" s="22">
        <v>4.3142857142857132</v>
      </c>
      <c r="N60" s="73">
        <v>4.6329113924050631</v>
      </c>
    </row>
    <row r="61" spans="1:14" ht="24" customHeight="1">
      <c r="A61" s="8" t="s">
        <v>18</v>
      </c>
      <c r="B61" s="22">
        <v>4.8666666666666663</v>
      </c>
      <c r="C61" s="34">
        <v>4.5416666666666661</v>
      </c>
      <c r="D61" s="22">
        <v>4.6111111111111125</v>
      </c>
      <c r="E61" s="22">
        <v>4.5999999999999996</v>
      </c>
      <c r="F61" s="60" t="s">
        <v>83</v>
      </c>
      <c r="G61" s="22">
        <v>4.413043478260871</v>
      </c>
      <c r="H61" s="22">
        <v>4.4428571428571431</v>
      </c>
      <c r="I61" s="60" t="s">
        <v>83</v>
      </c>
      <c r="J61" s="22">
        <v>4.7346938775510212</v>
      </c>
      <c r="K61" s="22">
        <v>4.3653846153846141</v>
      </c>
      <c r="L61" s="22">
        <v>4.4500000000000011</v>
      </c>
      <c r="M61" s="22">
        <v>4.2857142857142847</v>
      </c>
      <c r="N61" s="73">
        <v>4.5443037974683556</v>
      </c>
    </row>
    <row r="62" spans="1:14" ht="24" customHeight="1">
      <c r="A62" s="8" t="s">
        <v>19</v>
      </c>
      <c r="B62" s="22">
        <v>4.9333333333333336</v>
      </c>
      <c r="C62" s="34">
        <v>4.5416666666666661</v>
      </c>
      <c r="D62" s="22">
        <v>4.5555555555555554</v>
      </c>
      <c r="E62" s="22">
        <v>4.5999999999999996</v>
      </c>
      <c r="F62" s="60" t="s">
        <v>83</v>
      </c>
      <c r="G62" s="22">
        <v>4.4239130434782616</v>
      </c>
      <c r="H62" s="22">
        <v>4.4285714285714288</v>
      </c>
      <c r="I62" s="60" t="s">
        <v>83</v>
      </c>
      <c r="J62" s="22">
        <v>4.6326530612244898</v>
      </c>
      <c r="K62" s="22">
        <v>4.3461538461538467</v>
      </c>
      <c r="L62" s="22">
        <v>4.4124999999999996</v>
      </c>
      <c r="M62" s="22">
        <v>4.2857142857142847</v>
      </c>
      <c r="N62" s="73">
        <v>4.5443037974683556</v>
      </c>
    </row>
    <row r="63" spans="1:14" ht="24" customHeight="1">
      <c r="A63" s="8" t="s">
        <v>20</v>
      </c>
      <c r="B63" s="22">
        <v>4.8666666666666663</v>
      </c>
      <c r="C63" s="34">
        <v>4.6666666666666652</v>
      </c>
      <c r="D63" s="22">
        <v>4.583333333333333</v>
      </c>
      <c r="E63" s="22">
        <v>4.5</v>
      </c>
      <c r="F63" s="60" t="s">
        <v>83</v>
      </c>
      <c r="G63" s="22">
        <v>4.478260869565216</v>
      </c>
      <c r="H63" s="22">
        <v>4.4142857142857137</v>
      </c>
      <c r="I63" s="60" t="s">
        <v>83</v>
      </c>
      <c r="J63" s="22">
        <v>4.6530612244897958</v>
      </c>
      <c r="K63" s="22">
        <v>4.3461538461538449</v>
      </c>
      <c r="L63" s="22">
        <v>4.4249999999999998</v>
      </c>
      <c r="M63" s="22">
        <v>4.3142857142857132</v>
      </c>
      <c r="N63" s="73">
        <v>4.5316455696202551</v>
      </c>
    </row>
    <row r="64" spans="1:14" ht="24" customHeight="1">
      <c r="A64" s="8" t="s">
        <v>21</v>
      </c>
      <c r="B64" s="22">
        <v>4.9333333333333336</v>
      </c>
      <c r="C64" s="34">
        <v>4.583333333333333</v>
      </c>
      <c r="D64" s="22">
        <v>4.583333333333333</v>
      </c>
      <c r="E64" s="22">
        <v>4.5999999999999996</v>
      </c>
      <c r="F64" s="60" t="s">
        <v>83</v>
      </c>
      <c r="G64" s="22">
        <v>4.5652173913043494</v>
      </c>
      <c r="H64" s="22">
        <v>4.4714285714285715</v>
      </c>
      <c r="I64" s="60" t="s">
        <v>83</v>
      </c>
      <c r="J64" s="22">
        <v>4.6734693877551008</v>
      </c>
      <c r="K64" s="22">
        <v>4.384615384615385</v>
      </c>
      <c r="L64" s="22">
        <v>4.5124999999999993</v>
      </c>
      <c r="M64" s="22">
        <v>4.3999999999999986</v>
      </c>
      <c r="N64" s="73">
        <v>4.6329113924050631</v>
      </c>
    </row>
    <row r="65" spans="1:16" ht="24" customHeight="1">
      <c r="A65" s="8" t="s">
        <v>22</v>
      </c>
      <c r="B65" s="22">
        <v>4.9000000000000004</v>
      </c>
      <c r="C65" s="34">
        <v>4.6249999999999991</v>
      </c>
      <c r="D65" s="22">
        <v>4.666666666666667</v>
      </c>
      <c r="E65" s="22">
        <v>4.5999999999999996</v>
      </c>
      <c r="F65" s="60" t="s">
        <v>83</v>
      </c>
      <c r="G65" s="22">
        <v>4.5326086956521756</v>
      </c>
      <c r="H65" s="22">
        <v>4.6142857142857139</v>
      </c>
      <c r="I65" s="60" t="s">
        <v>83</v>
      </c>
      <c r="J65" s="22">
        <v>4.6938775510204103</v>
      </c>
      <c r="K65" s="22">
        <v>4.4423076923076934</v>
      </c>
      <c r="L65" s="22">
        <v>4.6375000000000011</v>
      </c>
      <c r="M65" s="22">
        <v>4.4571428571428573</v>
      </c>
      <c r="N65" s="73">
        <v>4.7088607594936738</v>
      </c>
    </row>
    <row r="66" spans="1:16" ht="24" customHeight="1">
      <c r="A66" s="9" t="s">
        <v>23</v>
      </c>
      <c r="B66" s="22">
        <v>4.8687499999999995</v>
      </c>
      <c r="C66" s="73">
        <v>4.604166666666667</v>
      </c>
      <c r="D66" s="22">
        <v>4.6163194444444429</v>
      </c>
      <c r="E66" s="22">
        <v>4.5625</v>
      </c>
      <c r="F66" s="60" t="s">
        <v>83</v>
      </c>
      <c r="G66" s="22">
        <v>4.4429347826086989</v>
      </c>
      <c r="H66" s="22">
        <v>4.4616071428571429</v>
      </c>
      <c r="I66" s="60" t="s">
        <v>83</v>
      </c>
      <c r="J66" s="22">
        <v>4.6403061224489788</v>
      </c>
      <c r="K66" s="22">
        <v>4.4098557692307701</v>
      </c>
      <c r="L66" s="22">
        <v>4.4429687499999986</v>
      </c>
      <c r="M66" s="22">
        <v>4.3375000000000004</v>
      </c>
      <c r="N66" s="73">
        <v>4.5466772151898747</v>
      </c>
    </row>
    <row r="67" spans="1:16">
      <c r="A67" s="9" t="s">
        <v>24</v>
      </c>
      <c r="B67" s="62">
        <f t="shared" ref="B67:N67" si="4">B66*20</f>
        <v>97.374999999999986</v>
      </c>
      <c r="C67" s="62">
        <f t="shared" si="4"/>
        <v>92.083333333333343</v>
      </c>
      <c r="D67" s="62">
        <f t="shared" si="4"/>
        <v>92.326388888888857</v>
      </c>
      <c r="E67" s="62">
        <f t="shared" si="4"/>
        <v>91.25</v>
      </c>
      <c r="F67" s="60" t="s">
        <v>83</v>
      </c>
      <c r="G67" s="62">
        <f t="shared" si="4"/>
        <v>88.858695652173978</v>
      </c>
      <c r="H67" s="62">
        <f t="shared" si="4"/>
        <v>89.232142857142861</v>
      </c>
      <c r="I67" s="60" t="s">
        <v>83</v>
      </c>
      <c r="J67" s="62">
        <f t="shared" si="4"/>
        <v>92.806122448979579</v>
      </c>
      <c r="K67" s="62">
        <f t="shared" si="4"/>
        <v>88.197115384615401</v>
      </c>
      <c r="L67" s="62">
        <f t="shared" si="4"/>
        <v>88.859374999999972</v>
      </c>
      <c r="M67" s="62">
        <f t="shared" si="4"/>
        <v>86.75</v>
      </c>
      <c r="N67" s="62">
        <f t="shared" si="4"/>
        <v>90.93354430379749</v>
      </c>
    </row>
    <row r="68" spans="1:16">
      <c r="A68" s="17" t="s">
        <v>61</v>
      </c>
      <c r="B68" s="61">
        <v>100</v>
      </c>
      <c r="C68" s="61">
        <v>91.666666666666657</v>
      </c>
      <c r="D68" s="61">
        <v>100</v>
      </c>
      <c r="E68" s="61">
        <v>100</v>
      </c>
      <c r="F68" s="23" t="s">
        <v>84</v>
      </c>
      <c r="G68" s="61">
        <v>95.652173913043484</v>
      </c>
      <c r="H68" s="63">
        <v>98.571428571428584</v>
      </c>
      <c r="I68" s="23" t="s">
        <v>84</v>
      </c>
      <c r="J68" s="61">
        <v>100</v>
      </c>
      <c r="K68" s="61">
        <v>98.076923076923066</v>
      </c>
      <c r="L68" s="61">
        <v>98.75</v>
      </c>
      <c r="M68" s="61">
        <v>100</v>
      </c>
      <c r="N68" s="61">
        <v>100</v>
      </c>
    </row>
    <row r="70" spans="1:16" ht="24" customHeight="1"/>
    <row r="71" spans="1:16" s="15" customFormat="1" ht="24" customHeight="1">
      <c r="A71" s="7" t="s">
        <v>0</v>
      </c>
      <c r="B71" s="5" t="s">
        <v>37</v>
      </c>
      <c r="C71" s="5" t="s">
        <v>38</v>
      </c>
      <c r="D71" s="5" t="s">
        <v>39</v>
      </c>
      <c r="E71" s="10" t="s">
        <v>40</v>
      </c>
      <c r="F71" s="5" t="s">
        <v>41</v>
      </c>
      <c r="G71" s="5" t="s">
        <v>42</v>
      </c>
      <c r="H71" s="5" t="s">
        <v>43</v>
      </c>
      <c r="I71" s="5" t="s">
        <v>44</v>
      </c>
      <c r="J71" s="5" t="s">
        <v>45</v>
      </c>
      <c r="K71" s="5" t="s">
        <v>46</v>
      </c>
      <c r="L71" s="5" t="s">
        <v>47</v>
      </c>
      <c r="M71" s="5" t="s">
        <v>28</v>
      </c>
      <c r="N71" s="5" t="s">
        <v>81</v>
      </c>
      <c r="O71" s="28"/>
      <c r="P71" s="3"/>
    </row>
    <row r="72" spans="1:16" s="28" customFormat="1" ht="24" customHeight="1">
      <c r="A72" s="9" t="s">
        <v>9</v>
      </c>
      <c r="B72" s="26">
        <v>30</v>
      </c>
      <c r="C72" s="26">
        <v>7</v>
      </c>
      <c r="D72" s="26">
        <v>41</v>
      </c>
      <c r="E72" s="26">
        <v>34</v>
      </c>
      <c r="F72" s="26">
        <v>76</v>
      </c>
      <c r="G72" s="26">
        <v>44</v>
      </c>
      <c r="H72" s="26">
        <v>40</v>
      </c>
      <c r="I72" s="26">
        <v>45</v>
      </c>
      <c r="J72" s="26">
        <v>82</v>
      </c>
      <c r="K72" s="60" t="s">
        <v>83</v>
      </c>
      <c r="L72" s="60">
        <v>56</v>
      </c>
      <c r="M72" s="20">
        <v>42</v>
      </c>
      <c r="N72" s="60" t="s">
        <v>83</v>
      </c>
      <c r="O72" s="3"/>
      <c r="P72" s="65"/>
    </row>
    <row r="73" spans="1:16" ht="24" customHeight="1">
      <c r="A73" s="8" t="s">
        <v>26</v>
      </c>
      <c r="B73" s="22">
        <v>4.6333333333333329</v>
      </c>
      <c r="C73" s="22">
        <v>4.8571428571428568</v>
      </c>
      <c r="D73" s="22">
        <v>4.6585365853658542</v>
      </c>
      <c r="E73" s="22">
        <v>4.2941176470588225</v>
      </c>
      <c r="F73" s="22">
        <v>4.4078947368421035</v>
      </c>
      <c r="G73" s="22">
        <v>4.5</v>
      </c>
      <c r="H73" s="22">
        <v>4.9250000000000007</v>
      </c>
      <c r="I73" s="22">
        <v>4.6444444444444457</v>
      </c>
      <c r="J73" s="22">
        <v>4.6707317073170724</v>
      </c>
      <c r="K73" s="60" t="s">
        <v>83</v>
      </c>
      <c r="L73" s="22">
        <v>4.7142857142857135</v>
      </c>
      <c r="M73" s="22">
        <v>4.4047619047619051</v>
      </c>
      <c r="N73" s="60" t="s">
        <v>83</v>
      </c>
    </row>
    <row r="74" spans="1:16" ht="24" customHeight="1">
      <c r="A74" s="8" t="s">
        <v>59</v>
      </c>
      <c r="B74" s="22">
        <v>4.5333333333333332</v>
      </c>
      <c r="C74" s="22">
        <v>4.4285714285714288</v>
      </c>
      <c r="D74" s="22">
        <v>4.6097560975609744</v>
      </c>
      <c r="E74" s="22">
        <v>4.3823529411764701</v>
      </c>
      <c r="F74" s="22">
        <v>4.3815789473684212</v>
      </c>
      <c r="G74" s="22">
        <v>4.4772727272727275</v>
      </c>
      <c r="H74" s="22">
        <v>4.8999999999999986</v>
      </c>
      <c r="I74" s="22">
        <v>4.666666666666667</v>
      </c>
      <c r="J74" s="22">
        <v>4.6707317073170733</v>
      </c>
      <c r="K74" s="60" t="s">
        <v>83</v>
      </c>
      <c r="L74" s="22">
        <v>4.6785714285714306</v>
      </c>
      <c r="M74" s="22">
        <v>4.4523809523809526</v>
      </c>
      <c r="N74" s="60" t="s">
        <v>83</v>
      </c>
    </row>
    <row r="75" spans="1:16" ht="24" customHeight="1">
      <c r="A75" s="8" t="s">
        <v>60</v>
      </c>
      <c r="B75" s="22">
        <v>4.4666666666666668</v>
      </c>
      <c r="C75" s="22">
        <v>4.5714285714285712</v>
      </c>
      <c r="D75" s="22">
        <v>4.5853658536585371</v>
      </c>
      <c r="E75" s="22">
        <v>4.3823529411764701</v>
      </c>
      <c r="F75" s="22">
        <v>4.4473684210526292</v>
      </c>
      <c r="G75" s="22">
        <v>4.5681818181818183</v>
      </c>
      <c r="H75" s="22">
        <v>4.8250000000000002</v>
      </c>
      <c r="I75" s="22">
        <v>4.7111111111111112</v>
      </c>
      <c r="J75" s="22">
        <v>4.6585365853658542</v>
      </c>
      <c r="K75" s="60" t="s">
        <v>83</v>
      </c>
      <c r="L75" s="22">
        <v>4.6607142857142874</v>
      </c>
      <c r="M75" s="22">
        <v>4.404761904761906</v>
      </c>
      <c r="N75" s="60" t="s">
        <v>83</v>
      </c>
    </row>
    <row r="76" spans="1:16" ht="24" customHeight="1">
      <c r="A76" s="8" t="s">
        <v>10</v>
      </c>
      <c r="B76" s="22">
        <v>4.4333333333333336</v>
      </c>
      <c r="C76" s="22">
        <v>4.5714285714285712</v>
      </c>
      <c r="D76" s="22">
        <v>4.536585365853659</v>
      </c>
      <c r="E76" s="22">
        <v>4.382352941176471</v>
      </c>
      <c r="F76" s="22">
        <v>4.4342105263157885</v>
      </c>
      <c r="G76" s="22">
        <v>4.5227272727272716</v>
      </c>
      <c r="H76" s="22">
        <v>4.875</v>
      </c>
      <c r="I76" s="22">
        <v>4.666666666666667</v>
      </c>
      <c r="J76" s="22">
        <v>4.5487804878048763</v>
      </c>
      <c r="K76" s="60" t="s">
        <v>83</v>
      </c>
      <c r="L76" s="22">
        <v>4.6428571428571441</v>
      </c>
      <c r="M76" s="22">
        <v>4.4523809523809534</v>
      </c>
      <c r="N76" s="60" t="s">
        <v>83</v>
      </c>
    </row>
    <row r="77" spans="1:16" ht="24" customHeight="1">
      <c r="A77" s="8" t="s">
        <v>11</v>
      </c>
      <c r="B77" s="22">
        <v>4.333333333333333</v>
      </c>
      <c r="C77" s="22">
        <v>4.2857142857142856</v>
      </c>
      <c r="D77" s="22">
        <v>4.536585365853659</v>
      </c>
      <c r="E77" s="22">
        <v>4.3235294117647047</v>
      </c>
      <c r="F77" s="22">
        <v>4.2763157894736814</v>
      </c>
      <c r="G77" s="22">
        <v>4.5227272727272716</v>
      </c>
      <c r="H77" s="22">
        <v>4.8249999999999993</v>
      </c>
      <c r="I77" s="22">
        <v>4.5555555555555562</v>
      </c>
      <c r="J77" s="22">
        <v>4.6463414634146361</v>
      </c>
      <c r="K77" s="60" t="s">
        <v>83</v>
      </c>
      <c r="L77" s="22">
        <v>4.6785714285714306</v>
      </c>
      <c r="M77" s="22">
        <v>4.5952380952380958</v>
      </c>
      <c r="N77" s="60" t="s">
        <v>83</v>
      </c>
    </row>
    <row r="78" spans="1:16" ht="24" customHeight="1">
      <c r="A78" s="8" t="s">
        <v>12</v>
      </c>
      <c r="B78" s="22">
        <v>4.3666666666666671</v>
      </c>
      <c r="C78" s="22">
        <v>4.5714285714285712</v>
      </c>
      <c r="D78" s="22">
        <v>4.5365853658536581</v>
      </c>
      <c r="E78" s="22">
        <v>4.4705882352941169</v>
      </c>
      <c r="F78" s="22">
        <v>4.3684210526315779</v>
      </c>
      <c r="G78" s="22">
        <v>4.5681818181818192</v>
      </c>
      <c r="H78" s="22">
        <v>4.7500000000000018</v>
      </c>
      <c r="I78" s="22">
        <v>4.466666666666665</v>
      </c>
      <c r="J78" s="22">
        <v>4.6341463414634152</v>
      </c>
      <c r="K78" s="60" t="s">
        <v>83</v>
      </c>
      <c r="L78" s="22">
        <v>4.696428571428573</v>
      </c>
      <c r="M78" s="22">
        <v>4.6190476190476195</v>
      </c>
      <c r="N78" s="60" t="s">
        <v>83</v>
      </c>
    </row>
    <row r="79" spans="1:16" ht="24" customHeight="1">
      <c r="A79" s="8" t="s">
        <v>13</v>
      </c>
      <c r="B79" s="22">
        <v>4.5000000000000009</v>
      </c>
      <c r="C79" s="22">
        <v>4.5714285714285712</v>
      </c>
      <c r="D79" s="22">
        <v>4.6585365853658534</v>
      </c>
      <c r="E79" s="22">
        <v>4.5588235294117645</v>
      </c>
      <c r="F79" s="22">
        <v>4.3815789473684177</v>
      </c>
      <c r="G79" s="22">
        <v>4.6136363636363642</v>
      </c>
      <c r="H79" s="22">
        <v>4.9000000000000004</v>
      </c>
      <c r="I79" s="22">
        <v>4.5999999999999988</v>
      </c>
      <c r="J79" s="22">
        <v>4.7195121951219505</v>
      </c>
      <c r="K79" s="60" t="s">
        <v>83</v>
      </c>
      <c r="L79" s="22">
        <v>4.7142857142857153</v>
      </c>
      <c r="M79" s="22">
        <v>4.6428571428571432</v>
      </c>
      <c r="N79" s="60" t="s">
        <v>83</v>
      </c>
    </row>
    <row r="80" spans="1:16" ht="24" customHeight="1">
      <c r="A80" s="8" t="s">
        <v>14</v>
      </c>
      <c r="B80" s="22">
        <v>4.3333333333333339</v>
      </c>
      <c r="C80" s="22">
        <v>4.5714285714285712</v>
      </c>
      <c r="D80" s="22">
        <v>4.5365853658536581</v>
      </c>
      <c r="E80" s="22">
        <v>4.4411764705882346</v>
      </c>
      <c r="F80" s="22">
        <v>4.3552631578947336</v>
      </c>
      <c r="G80" s="22">
        <v>4.5681818181818175</v>
      </c>
      <c r="H80" s="22">
        <v>4.7750000000000004</v>
      </c>
      <c r="I80" s="22">
        <v>4.5555555555555571</v>
      </c>
      <c r="J80" s="22">
        <v>4.5975609756097544</v>
      </c>
      <c r="K80" s="60" t="s">
        <v>83</v>
      </c>
      <c r="L80" s="22">
        <v>4.6071428571428585</v>
      </c>
      <c r="M80" s="22">
        <v>4.4761904761904763</v>
      </c>
      <c r="N80" s="60" t="s">
        <v>83</v>
      </c>
    </row>
    <row r="81" spans="1:16" ht="24" customHeight="1">
      <c r="A81" s="8" t="s">
        <v>15</v>
      </c>
      <c r="B81" s="22">
        <v>4.4000000000000004</v>
      </c>
      <c r="C81" s="22">
        <v>4.5714285714285712</v>
      </c>
      <c r="D81" s="22">
        <v>4.5609756097560981</v>
      </c>
      <c r="E81" s="22">
        <v>4.5294117647058831</v>
      </c>
      <c r="F81" s="22">
        <v>4.3684210526315779</v>
      </c>
      <c r="G81" s="22">
        <v>4.6363636363636367</v>
      </c>
      <c r="H81" s="22">
        <v>4.8749999999999991</v>
      </c>
      <c r="I81" s="22">
        <v>4.5777777777777775</v>
      </c>
      <c r="J81" s="22">
        <v>4.6707317073170724</v>
      </c>
      <c r="K81" s="60" t="s">
        <v>83</v>
      </c>
      <c r="L81" s="22">
        <v>4.7857142857142856</v>
      </c>
      <c r="M81" s="22">
        <v>4.6190476190476195</v>
      </c>
      <c r="N81" s="60" t="s">
        <v>83</v>
      </c>
    </row>
    <row r="82" spans="1:16" ht="24" customHeight="1">
      <c r="A82" s="8" t="s">
        <v>16</v>
      </c>
      <c r="B82" s="22">
        <v>4.4333333333333345</v>
      </c>
      <c r="C82" s="22">
        <v>4.5714285714285712</v>
      </c>
      <c r="D82" s="22">
        <v>4.7073170731707314</v>
      </c>
      <c r="E82" s="22">
        <v>4.4411764705882355</v>
      </c>
      <c r="F82" s="22">
        <v>4.3421052631578947</v>
      </c>
      <c r="G82" s="22">
        <v>4.6363636363636358</v>
      </c>
      <c r="H82" s="22">
        <v>4.8500000000000005</v>
      </c>
      <c r="I82" s="22">
        <v>4.5333333333333332</v>
      </c>
      <c r="J82" s="22">
        <v>4.6707317073170724</v>
      </c>
      <c r="K82" s="60" t="s">
        <v>83</v>
      </c>
      <c r="L82" s="22">
        <v>4.7142857142857144</v>
      </c>
      <c r="M82" s="22">
        <v>4.5238095238095255</v>
      </c>
      <c r="N82" s="60" t="s">
        <v>83</v>
      </c>
    </row>
    <row r="83" spans="1:16" ht="24" customHeight="1">
      <c r="A83" s="8" t="s">
        <v>17</v>
      </c>
      <c r="B83" s="22">
        <v>4.4666666666666677</v>
      </c>
      <c r="C83" s="22">
        <v>4.7142857142857135</v>
      </c>
      <c r="D83" s="22">
        <v>4.6341463414634143</v>
      </c>
      <c r="E83" s="22">
        <v>4.5294117647058822</v>
      </c>
      <c r="F83" s="22">
        <v>4.4210526315789487</v>
      </c>
      <c r="G83" s="22">
        <v>4.5681818181818192</v>
      </c>
      <c r="H83" s="22">
        <v>4.9000000000000004</v>
      </c>
      <c r="I83" s="22">
        <v>4.5555555555555562</v>
      </c>
      <c r="J83" s="22">
        <v>4.6951219512195124</v>
      </c>
      <c r="K83" s="60" t="s">
        <v>83</v>
      </c>
      <c r="L83" s="22">
        <v>4.7142857142857153</v>
      </c>
      <c r="M83" s="22">
        <v>4.5476190476190483</v>
      </c>
      <c r="N83" s="60" t="s">
        <v>83</v>
      </c>
    </row>
    <row r="84" spans="1:16" ht="24" customHeight="1">
      <c r="A84" s="8" t="s">
        <v>18</v>
      </c>
      <c r="B84" s="22">
        <v>4.5666666666666673</v>
      </c>
      <c r="C84" s="22">
        <v>4.5714285714285712</v>
      </c>
      <c r="D84" s="22">
        <v>4.6341463414634152</v>
      </c>
      <c r="E84" s="22">
        <v>4.4411764705882346</v>
      </c>
      <c r="F84" s="22">
        <v>4.3421052631578947</v>
      </c>
      <c r="G84" s="22">
        <v>4.5000000000000009</v>
      </c>
      <c r="H84" s="22">
        <v>4.875</v>
      </c>
      <c r="I84" s="22">
        <v>4.6000000000000005</v>
      </c>
      <c r="J84" s="22">
        <v>4.7073170731707332</v>
      </c>
      <c r="K84" s="60" t="s">
        <v>83</v>
      </c>
      <c r="L84" s="22">
        <v>4.6607142857142847</v>
      </c>
      <c r="M84" s="22">
        <v>4.4523809523809534</v>
      </c>
      <c r="N84" s="60" t="s">
        <v>83</v>
      </c>
    </row>
    <row r="85" spans="1:16" ht="24" customHeight="1">
      <c r="A85" s="8" t="s">
        <v>19</v>
      </c>
      <c r="B85" s="22">
        <v>4.4666666666666668</v>
      </c>
      <c r="C85" s="22">
        <v>4.7142857142857135</v>
      </c>
      <c r="D85" s="22">
        <v>4.5365853658536581</v>
      </c>
      <c r="E85" s="22">
        <v>4.4411764705882346</v>
      </c>
      <c r="F85" s="22">
        <v>4.3815789473684212</v>
      </c>
      <c r="G85" s="22">
        <v>4.5227272727272725</v>
      </c>
      <c r="H85" s="22">
        <v>4.9000000000000004</v>
      </c>
      <c r="I85" s="22">
        <v>4.6222222222222227</v>
      </c>
      <c r="J85" s="22">
        <v>4.6097560975609753</v>
      </c>
      <c r="K85" s="60" t="s">
        <v>83</v>
      </c>
      <c r="L85" s="22">
        <v>4.625</v>
      </c>
      <c r="M85" s="22">
        <v>4.4523809523809508</v>
      </c>
      <c r="N85" s="60" t="s">
        <v>83</v>
      </c>
    </row>
    <row r="86" spans="1:16" ht="24" customHeight="1">
      <c r="A86" s="8" t="s">
        <v>20</v>
      </c>
      <c r="B86" s="22">
        <v>4.5000000000000009</v>
      </c>
      <c r="C86" s="22">
        <v>4.5714285714285712</v>
      </c>
      <c r="D86" s="22">
        <v>4.6829268292682933</v>
      </c>
      <c r="E86" s="22">
        <v>4.382352941176471</v>
      </c>
      <c r="F86" s="22">
        <v>4.3552631578947381</v>
      </c>
      <c r="G86" s="22">
        <v>4.5454545454545459</v>
      </c>
      <c r="H86" s="22">
        <v>4.875</v>
      </c>
      <c r="I86" s="22">
        <v>4.5777777777777784</v>
      </c>
      <c r="J86" s="22">
        <v>4.6097560975609762</v>
      </c>
      <c r="K86" s="60" t="s">
        <v>83</v>
      </c>
      <c r="L86" s="22">
        <v>4.6250000000000009</v>
      </c>
      <c r="M86" s="22">
        <v>4.5</v>
      </c>
      <c r="N86" s="60" t="s">
        <v>83</v>
      </c>
    </row>
    <row r="87" spans="1:16" ht="24" customHeight="1">
      <c r="A87" s="8" t="s">
        <v>21</v>
      </c>
      <c r="B87" s="22">
        <v>4.4666666666666668</v>
      </c>
      <c r="C87" s="22">
        <v>4.5714285714285712</v>
      </c>
      <c r="D87" s="22">
        <v>4.5853658536585371</v>
      </c>
      <c r="E87" s="22">
        <v>4.4411764705882346</v>
      </c>
      <c r="F87" s="22">
        <v>4.4473684210526301</v>
      </c>
      <c r="G87" s="22">
        <v>4.6590909090909092</v>
      </c>
      <c r="H87" s="22">
        <v>4.8499999999999988</v>
      </c>
      <c r="I87" s="22">
        <v>4.6222222222222227</v>
      </c>
      <c r="J87" s="22">
        <v>4.6707317073170715</v>
      </c>
      <c r="K87" s="60" t="s">
        <v>83</v>
      </c>
      <c r="L87" s="22">
        <v>4.7142857142857144</v>
      </c>
      <c r="M87" s="22">
        <v>4.5238095238095255</v>
      </c>
      <c r="N87" s="60" t="s">
        <v>83</v>
      </c>
    </row>
    <row r="88" spans="1:16" ht="24" customHeight="1">
      <c r="A88" s="8" t="s">
        <v>22</v>
      </c>
      <c r="B88" s="22">
        <v>4.4000000000000004</v>
      </c>
      <c r="C88" s="22">
        <v>4.5714285714285712</v>
      </c>
      <c r="D88" s="22">
        <v>4.6341463414634143</v>
      </c>
      <c r="E88" s="22">
        <v>4.5</v>
      </c>
      <c r="F88" s="22">
        <v>4.4736842105263168</v>
      </c>
      <c r="G88" s="22">
        <v>4.6818181818181825</v>
      </c>
      <c r="H88" s="22">
        <v>4.9500000000000011</v>
      </c>
      <c r="I88" s="22">
        <v>4.5999999999999988</v>
      </c>
      <c r="J88" s="22">
        <v>4.6707317073170715</v>
      </c>
      <c r="K88" s="60" t="s">
        <v>83</v>
      </c>
      <c r="L88" s="22">
        <v>4.6785714285714315</v>
      </c>
      <c r="M88" s="22">
        <v>4.4761904761904772</v>
      </c>
      <c r="N88" s="60" t="s">
        <v>83</v>
      </c>
    </row>
    <row r="89" spans="1:16" ht="24" customHeight="1">
      <c r="A89" s="9" t="s">
        <v>23</v>
      </c>
      <c r="B89" s="22">
        <v>4.4562499999999998</v>
      </c>
      <c r="C89" s="22">
        <v>4.5803571428571423</v>
      </c>
      <c r="D89" s="22">
        <v>4.6021341463414638</v>
      </c>
      <c r="E89" s="22">
        <v>4.4338235294117636</v>
      </c>
      <c r="F89" s="22">
        <v>4.3865131578947381</v>
      </c>
      <c r="G89" s="22">
        <v>4.5681818181818175</v>
      </c>
      <c r="H89" s="22">
        <v>4.8656249999999996</v>
      </c>
      <c r="I89" s="22">
        <v>4.5972222222222214</v>
      </c>
      <c r="J89" s="22">
        <v>4.6532012195121979</v>
      </c>
      <c r="K89" s="60" t="s">
        <v>83</v>
      </c>
      <c r="L89" s="22">
        <v>4.6819196428571423</v>
      </c>
      <c r="M89" s="22">
        <v>4.5089285714285712</v>
      </c>
      <c r="N89" s="60" t="s">
        <v>83</v>
      </c>
    </row>
    <row r="90" spans="1:16" s="65" customFormat="1">
      <c r="A90" s="64" t="s">
        <v>24</v>
      </c>
      <c r="B90" s="67">
        <f>B89*20</f>
        <v>89.125</v>
      </c>
      <c r="C90" s="62">
        <f>C89*20</f>
        <v>91.607142857142847</v>
      </c>
      <c r="D90" s="62">
        <f>D89*20</f>
        <v>92.042682926829272</v>
      </c>
      <c r="E90" s="62">
        <f t="shared" ref="E90:M90" si="5">E89*20</f>
        <v>88.676470588235276</v>
      </c>
      <c r="F90" s="62">
        <f t="shared" si="5"/>
        <v>87.730263157894768</v>
      </c>
      <c r="G90" s="62">
        <f t="shared" si="5"/>
        <v>91.363636363636346</v>
      </c>
      <c r="H90" s="62">
        <f t="shared" si="5"/>
        <v>97.3125</v>
      </c>
      <c r="I90" s="62">
        <f t="shared" si="5"/>
        <v>91.944444444444429</v>
      </c>
      <c r="J90" s="62">
        <f t="shared" si="5"/>
        <v>93.064024390243958</v>
      </c>
      <c r="K90" s="60" t="s">
        <v>83</v>
      </c>
      <c r="L90" s="62">
        <f t="shared" ref="L90" si="6">L89*20</f>
        <v>93.638392857142847</v>
      </c>
      <c r="M90" s="62">
        <f t="shared" si="5"/>
        <v>90.178571428571416</v>
      </c>
      <c r="N90" s="60" t="s">
        <v>83</v>
      </c>
      <c r="P90" s="3"/>
    </row>
    <row r="91" spans="1:16">
      <c r="A91" s="17" t="s">
        <v>61</v>
      </c>
      <c r="B91" s="61">
        <v>100</v>
      </c>
      <c r="C91" s="61">
        <v>100</v>
      </c>
      <c r="D91" s="61">
        <v>100</v>
      </c>
      <c r="E91" s="61">
        <v>100</v>
      </c>
      <c r="F91" s="61">
        <v>97.368421052631575</v>
      </c>
      <c r="G91" s="61">
        <v>100</v>
      </c>
      <c r="H91" s="61">
        <v>100</v>
      </c>
      <c r="I91" s="61">
        <v>97.777777777777771</v>
      </c>
      <c r="J91" s="61">
        <v>98.780487804878049</v>
      </c>
      <c r="K91" s="23" t="s">
        <v>84</v>
      </c>
      <c r="L91" s="24">
        <v>98.21</v>
      </c>
      <c r="M91" s="61">
        <v>100</v>
      </c>
      <c r="N91" s="23" t="s">
        <v>84</v>
      </c>
    </row>
    <row r="92" spans="1:16" ht="24" customHeight="1"/>
    <row r="93" spans="1:16" ht="24" customHeight="1"/>
    <row r="94" spans="1:16">
      <c r="B94" s="3"/>
      <c r="E94" s="11"/>
      <c r="F94" s="11"/>
    </row>
    <row r="95" spans="1:16">
      <c r="B95" s="3"/>
      <c r="E95" s="12"/>
      <c r="F95" s="12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 ht="24" customHeight="1">
      <c r="B102" s="3"/>
      <c r="E102" s="12"/>
      <c r="F102" s="12"/>
    </row>
    <row r="103" spans="2:6" ht="24" customHeight="1">
      <c r="B103" s="3"/>
      <c r="E103" s="12"/>
      <c r="F103" s="12"/>
    </row>
    <row r="104" spans="2:6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 ht="24" customHeight="1">
      <c r="B110" s="3"/>
      <c r="E110" s="12"/>
      <c r="F110" s="12"/>
    </row>
    <row r="111" spans="2:6" ht="24" customHeight="1">
      <c r="B111" s="3"/>
      <c r="E111" s="12"/>
      <c r="F111" s="12"/>
    </row>
    <row r="112" spans="2:6">
      <c r="B112" s="3"/>
      <c r="E112" s="13"/>
      <c r="F112" s="13"/>
    </row>
    <row r="113" spans="2:6">
      <c r="B113" s="3"/>
      <c r="E113" s="13"/>
      <c r="F113" s="13"/>
    </row>
    <row r="114" spans="2:6">
      <c r="B114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3" max="16383" man="1"/>
    <brk id="46" max="16383" man="1"/>
    <brk id="69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"/>
  <sheetViews>
    <sheetView view="pageBreakPreview" topLeftCell="A7" zoomScale="85" zoomScaleNormal="100" zoomScaleSheetLayoutView="85" workbookViewId="0">
      <selection activeCell="G16" sqref="G16"/>
    </sheetView>
  </sheetViews>
  <sheetFormatPr defaultColWidth="9" defaultRowHeight="21"/>
  <cols>
    <col min="1" max="1" width="4.75" style="36" customWidth="1"/>
    <col min="2" max="2" width="27.625" style="36" customWidth="1"/>
    <col min="3" max="7" width="12" style="36" customWidth="1"/>
    <col min="8" max="8" width="30.125" style="36" customWidth="1"/>
    <col min="9" max="9" width="14.75" style="36" customWidth="1"/>
    <col min="10" max="10" width="7.25" style="36" customWidth="1"/>
    <col min="11" max="16384" width="9" style="36"/>
  </cols>
  <sheetData>
    <row r="1" spans="1:9" s="48" customFormat="1" ht="43.5" customHeight="1">
      <c r="A1" s="99" t="s">
        <v>90</v>
      </c>
      <c r="B1" s="100"/>
      <c r="C1" s="100"/>
      <c r="D1" s="100"/>
      <c r="E1" s="100"/>
      <c r="F1" s="100"/>
      <c r="G1" s="100"/>
      <c r="H1" s="100"/>
      <c r="I1" s="100"/>
    </row>
    <row r="2" spans="1:9" s="48" customFormat="1">
      <c r="A2" s="98" t="s">
        <v>94</v>
      </c>
      <c r="B2" s="98"/>
      <c r="C2" s="98"/>
      <c r="D2" s="98"/>
      <c r="E2" s="98"/>
      <c r="F2" s="98"/>
      <c r="G2" s="98"/>
      <c r="H2" s="98"/>
    </row>
    <row r="3" spans="1:9" s="37" customFormat="1">
      <c r="A3" s="98" t="s">
        <v>95</v>
      </c>
      <c r="B3" s="98"/>
      <c r="C3" s="98"/>
      <c r="D3" s="98"/>
      <c r="E3" s="98"/>
      <c r="F3" s="98"/>
      <c r="G3" s="98"/>
      <c r="H3" s="98"/>
      <c r="I3" s="48"/>
    </row>
    <row r="4" spans="1:9" s="48" customFormat="1">
      <c r="A4" s="50" t="s">
        <v>70</v>
      </c>
      <c r="B4" s="50"/>
      <c r="C4" s="50"/>
      <c r="D4" s="50"/>
      <c r="E4" s="50"/>
      <c r="F4" s="51"/>
      <c r="G4" s="51"/>
      <c r="H4" s="51"/>
      <c r="I4" s="37"/>
    </row>
    <row r="5" spans="1:9" s="48" customFormat="1">
      <c r="B5" s="102" t="s">
        <v>200</v>
      </c>
      <c r="C5" s="102"/>
      <c r="D5" s="102"/>
      <c r="E5" s="102"/>
      <c r="F5" s="102"/>
      <c r="G5" s="102"/>
      <c r="H5" s="102"/>
    </row>
    <row r="6" spans="1:9" s="85" customFormat="1">
      <c r="A6" s="48"/>
      <c r="B6" s="102" t="s">
        <v>197</v>
      </c>
      <c r="C6" s="102"/>
      <c r="D6" s="102"/>
      <c r="E6" s="102"/>
      <c r="F6" s="102"/>
      <c r="G6" s="102"/>
      <c r="H6" s="102"/>
      <c r="I6" s="48"/>
    </row>
    <row r="7" spans="1:9" s="37" customFormat="1" ht="21.75" customHeight="1">
      <c r="A7" s="85"/>
      <c r="B7" s="103" t="s">
        <v>198</v>
      </c>
      <c r="C7" s="103"/>
      <c r="D7" s="103"/>
      <c r="E7" s="103"/>
      <c r="F7" s="103"/>
      <c r="G7" s="103"/>
      <c r="H7" s="103"/>
      <c r="I7" s="85"/>
    </row>
    <row r="8" spans="1:9" s="37" customFormat="1" ht="21.75" customHeight="1">
      <c r="A8" s="85"/>
      <c r="B8" s="94"/>
      <c r="C8" s="94"/>
      <c r="D8" s="94"/>
      <c r="E8" s="94"/>
      <c r="F8" s="94"/>
      <c r="G8" s="94"/>
      <c r="H8" s="94"/>
      <c r="I8" s="85"/>
    </row>
    <row r="9" spans="1:9" s="37" customFormat="1" ht="21.75" customHeight="1">
      <c r="B9" s="52" t="s">
        <v>0</v>
      </c>
      <c r="C9" s="53" t="s">
        <v>48</v>
      </c>
      <c r="D9" s="53" t="s">
        <v>49</v>
      </c>
      <c r="E9" s="53" t="s">
        <v>50</v>
      </c>
      <c r="F9" s="53" t="s">
        <v>51</v>
      </c>
      <c r="G9" s="53" t="s">
        <v>52</v>
      </c>
    </row>
    <row r="10" spans="1:9" s="37" customFormat="1" ht="21.75" customHeight="1">
      <c r="B10" s="54" t="s">
        <v>9</v>
      </c>
      <c r="C10" s="55" t="s">
        <v>92</v>
      </c>
      <c r="D10" s="55" t="s">
        <v>93</v>
      </c>
      <c r="E10" s="66">
        <v>53</v>
      </c>
      <c r="F10" s="56" t="s">
        <v>201</v>
      </c>
      <c r="G10" s="56" t="s">
        <v>96</v>
      </c>
    </row>
    <row r="11" spans="1:9" s="37" customFormat="1" ht="21.75" customHeight="1">
      <c r="B11" s="54" t="s">
        <v>23</v>
      </c>
      <c r="C11" s="31">
        <v>4.2682025028441393</v>
      </c>
      <c r="D11" s="31">
        <v>4.541508538899433</v>
      </c>
      <c r="E11" s="19">
        <v>4.41</v>
      </c>
      <c r="F11" s="83">
        <v>4.84</v>
      </c>
      <c r="G11" s="83">
        <v>4.67741935483871</v>
      </c>
    </row>
    <row r="12" spans="1:9" s="37" customFormat="1" ht="21.75" customHeight="1">
      <c r="B12" s="54" t="s">
        <v>24</v>
      </c>
      <c r="C12" s="31">
        <v>85.364050056882803</v>
      </c>
      <c r="D12" s="31">
        <v>90.830170777988656</v>
      </c>
      <c r="E12" s="31">
        <v>88.21</v>
      </c>
      <c r="F12" s="84">
        <v>96.8</v>
      </c>
      <c r="G12" s="84">
        <v>93.548387096774206</v>
      </c>
    </row>
    <row r="13" spans="1:9" s="37" customFormat="1" ht="24" customHeight="1">
      <c r="B13" s="58"/>
      <c r="C13" s="59"/>
      <c r="D13" s="59"/>
      <c r="E13" s="59"/>
      <c r="F13" s="71"/>
      <c r="G13" s="71"/>
    </row>
    <row r="14" spans="1:9" s="37" customFormat="1" ht="24" customHeight="1">
      <c r="A14" s="101" t="s">
        <v>53</v>
      </c>
      <c r="B14" s="101"/>
      <c r="H14" s="37" t="s">
        <v>68</v>
      </c>
    </row>
    <row r="15" spans="1:9" s="37" customFormat="1" ht="24" customHeight="1">
      <c r="B15" s="40" t="s">
        <v>54</v>
      </c>
    </row>
    <row r="16" spans="1:9" s="37" customFormat="1" ht="24" customHeight="1">
      <c r="B16" s="88" t="s">
        <v>127</v>
      </c>
    </row>
    <row r="17" spans="2:9" s="37" customFormat="1" ht="24" customHeight="1">
      <c r="B17" s="37" t="s">
        <v>137</v>
      </c>
    </row>
    <row r="18" spans="2:9" s="37" customFormat="1" ht="24" customHeight="1">
      <c r="B18" s="37" t="s">
        <v>186</v>
      </c>
    </row>
    <row r="19" spans="2:9" s="37" customFormat="1" ht="24" customHeight="1">
      <c r="B19" s="88" t="s">
        <v>199</v>
      </c>
    </row>
    <row r="20" spans="2:9" s="37" customFormat="1" ht="24" customHeight="1">
      <c r="B20" s="104" t="s">
        <v>178</v>
      </c>
      <c r="C20" s="104"/>
      <c r="D20" s="104"/>
      <c r="E20" s="104"/>
      <c r="F20" s="104"/>
      <c r="G20" s="104"/>
      <c r="H20" s="104"/>
      <c r="I20" s="104"/>
    </row>
    <row r="21" spans="2:9" s="37" customFormat="1" ht="24" customHeight="1">
      <c r="B21" s="87" t="s">
        <v>129</v>
      </c>
      <c r="C21" s="87"/>
      <c r="D21" s="87"/>
      <c r="E21" s="87"/>
      <c r="F21" s="87"/>
      <c r="G21" s="87"/>
      <c r="H21" s="87"/>
      <c r="I21" s="87"/>
    </row>
    <row r="22" spans="2:9" s="37" customFormat="1" ht="24" customHeight="1">
      <c r="B22" s="87" t="s">
        <v>134</v>
      </c>
      <c r="C22" s="87"/>
      <c r="D22" s="87"/>
      <c r="E22" s="87"/>
      <c r="F22" s="87"/>
      <c r="G22" s="87"/>
      <c r="H22" s="87"/>
      <c r="I22" s="87"/>
    </row>
    <row r="23" spans="2:9" s="37" customFormat="1" ht="24" customHeight="1">
      <c r="B23" s="36" t="s">
        <v>138</v>
      </c>
      <c r="C23" s="87"/>
      <c r="D23" s="87"/>
      <c r="E23" s="87"/>
      <c r="F23" s="87"/>
      <c r="G23" s="87"/>
      <c r="H23" s="87"/>
      <c r="I23" s="87"/>
    </row>
    <row r="24" spans="2:9" s="37" customFormat="1" ht="24" customHeight="1">
      <c r="B24" s="88" t="s">
        <v>196</v>
      </c>
      <c r="C24" s="87"/>
      <c r="D24" s="87"/>
      <c r="E24" s="87"/>
      <c r="F24" s="87"/>
      <c r="G24" s="87"/>
      <c r="H24" s="87"/>
      <c r="I24" s="87"/>
    </row>
    <row r="25" spans="2:9" s="37" customFormat="1" ht="24" customHeight="1">
      <c r="B25" s="87" t="s">
        <v>111</v>
      </c>
      <c r="C25" s="87"/>
      <c r="D25" s="87"/>
      <c r="E25" s="87"/>
      <c r="F25" s="87"/>
      <c r="G25" s="87"/>
      <c r="H25" s="87"/>
      <c r="I25" s="87"/>
    </row>
    <row r="26" spans="2:9" s="37" customFormat="1" ht="24" customHeight="1">
      <c r="B26" s="88" t="s">
        <v>128</v>
      </c>
      <c r="C26" s="87"/>
      <c r="D26" s="87"/>
      <c r="E26" s="87"/>
      <c r="F26" s="87"/>
      <c r="G26" s="87"/>
      <c r="H26" s="87"/>
      <c r="I26" s="87"/>
    </row>
    <row r="27" spans="2:9" s="37" customFormat="1" ht="24" customHeight="1">
      <c r="B27" s="37" t="s">
        <v>105</v>
      </c>
      <c r="C27" s="87"/>
      <c r="D27" s="87"/>
      <c r="E27" s="87"/>
      <c r="F27" s="87"/>
      <c r="G27" s="87"/>
      <c r="H27" s="87"/>
      <c r="I27" s="87"/>
    </row>
    <row r="28" spans="2:9" s="37" customFormat="1" ht="24" customHeight="1">
      <c r="B28" s="37" t="s">
        <v>103</v>
      </c>
      <c r="C28" s="87"/>
      <c r="D28" s="87"/>
      <c r="E28" s="87"/>
      <c r="F28" s="87"/>
      <c r="G28" s="87"/>
      <c r="H28" s="87"/>
      <c r="I28" s="87"/>
    </row>
    <row r="29" spans="2:9" s="37" customFormat="1" ht="24" customHeight="1">
      <c r="B29" s="37" t="s">
        <v>107</v>
      </c>
      <c r="C29" s="87"/>
      <c r="D29" s="87"/>
      <c r="E29" s="87"/>
      <c r="F29" s="87"/>
      <c r="G29" s="87"/>
      <c r="H29" s="87"/>
      <c r="I29" s="87"/>
    </row>
    <row r="30" spans="2:9" s="37" customFormat="1" ht="24" customHeight="1">
      <c r="B30" s="37" t="s">
        <v>141</v>
      </c>
      <c r="C30" s="87"/>
      <c r="D30" s="87"/>
      <c r="E30" s="87"/>
      <c r="F30" s="87"/>
      <c r="G30" s="87"/>
      <c r="H30" s="87"/>
      <c r="I30" s="87"/>
    </row>
    <row r="31" spans="2:9" s="37" customFormat="1" ht="24" customHeight="1">
      <c r="B31" s="104" t="s">
        <v>177</v>
      </c>
      <c r="C31" s="104"/>
      <c r="D31" s="104"/>
      <c r="E31" s="104"/>
      <c r="F31" s="104"/>
      <c r="G31" s="104"/>
      <c r="H31" s="104"/>
      <c r="I31" s="104"/>
    </row>
    <row r="32" spans="2:9" s="37" customFormat="1" ht="24" customHeight="1">
      <c r="B32" s="105" t="s">
        <v>142</v>
      </c>
      <c r="C32" s="105"/>
      <c r="D32" s="105"/>
      <c r="E32" s="105"/>
    </row>
    <row r="33" spans="1:11" s="37" customFormat="1" ht="24" customHeight="1">
      <c r="B33" s="105" t="s">
        <v>122</v>
      </c>
      <c r="C33" s="105"/>
      <c r="D33" s="105"/>
      <c r="E33" s="105"/>
      <c r="F33" s="105"/>
      <c r="G33" s="105"/>
      <c r="H33" s="105"/>
      <c r="I33" s="49"/>
      <c r="J33" s="49"/>
      <c r="K33" s="49"/>
    </row>
    <row r="34" spans="1:11" s="37" customFormat="1" ht="24" customHeight="1">
      <c r="B34" s="105" t="s">
        <v>112</v>
      </c>
      <c r="C34" s="106"/>
      <c r="D34" s="106"/>
    </row>
    <row r="35" spans="1:11" s="37" customFormat="1" ht="24" customHeight="1">
      <c r="B35" s="105" t="s">
        <v>203</v>
      </c>
      <c r="C35" s="105"/>
      <c r="D35" s="105"/>
      <c r="E35" s="105"/>
      <c r="F35" s="105"/>
      <c r="G35" s="105"/>
      <c r="H35" s="105"/>
      <c r="I35" s="105"/>
      <c r="J35" s="105"/>
      <c r="K35" s="105"/>
    </row>
    <row r="36" spans="1:11" s="37" customFormat="1" ht="24" customHeight="1">
      <c r="B36" s="58" t="s">
        <v>204</v>
      </c>
      <c r="C36" s="58"/>
      <c r="D36" s="58"/>
      <c r="E36" s="58"/>
      <c r="F36" s="58"/>
      <c r="G36" s="58"/>
      <c r="H36" s="58"/>
      <c r="I36" s="58"/>
      <c r="J36" s="58"/>
      <c r="K36" s="58"/>
    </row>
    <row r="37" spans="1:11" s="37" customFormat="1" ht="24" customHeight="1">
      <c r="B37" s="37" t="s">
        <v>135</v>
      </c>
    </row>
    <row r="38" spans="1:11" s="37" customFormat="1" ht="24" customHeight="1">
      <c r="B38" s="105" t="s">
        <v>136</v>
      </c>
      <c r="C38" s="105"/>
      <c r="D38" s="105"/>
      <c r="E38" s="105"/>
    </row>
    <row r="39" spans="1:11" s="37" customFormat="1" ht="24" customHeight="1">
      <c r="B39" s="88" t="s">
        <v>139</v>
      </c>
    </row>
    <row r="40" spans="1:11" s="37" customFormat="1" ht="24" customHeight="1">
      <c r="B40" s="105" t="s">
        <v>205</v>
      </c>
      <c r="C40" s="105"/>
      <c r="D40" s="105"/>
      <c r="E40" s="105"/>
      <c r="F40" s="105"/>
      <c r="G40" s="105"/>
      <c r="H40" s="105"/>
      <c r="I40" s="105"/>
      <c r="J40" s="105"/>
      <c r="K40" s="105"/>
    </row>
    <row r="41" spans="1:11" s="37" customFormat="1" ht="24" customHeight="1">
      <c r="B41" s="58" t="s">
        <v>206</v>
      </c>
      <c r="C41" s="58"/>
      <c r="D41" s="58"/>
      <c r="E41" s="58"/>
      <c r="F41" s="58"/>
      <c r="G41" s="58"/>
      <c r="H41" s="58"/>
      <c r="I41" s="58"/>
      <c r="J41" s="58"/>
      <c r="K41" s="58"/>
    </row>
    <row r="42" spans="1:11" s="37" customFormat="1" ht="24" customHeight="1">
      <c r="B42" s="88" t="s">
        <v>189</v>
      </c>
    </row>
    <row r="43" spans="1:11" s="37" customFormat="1" ht="24" customHeight="1">
      <c r="B43" s="105" t="s">
        <v>190</v>
      </c>
      <c r="C43" s="105"/>
      <c r="D43" s="105"/>
      <c r="E43" s="105"/>
      <c r="F43" s="105"/>
      <c r="G43" s="105"/>
      <c r="H43" s="105"/>
      <c r="I43" s="105"/>
    </row>
    <row r="44" spans="1:11" s="37" customFormat="1" ht="24" customHeight="1">
      <c r="B44" s="40" t="s">
        <v>194</v>
      </c>
    </row>
    <row r="45" spans="1:11" s="37" customFormat="1" ht="24" customHeight="1">
      <c r="B45" s="105" t="s">
        <v>195</v>
      </c>
      <c r="C45" s="105"/>
      <c r="D45" s="105"/>
      <c r="E45" s="105"/>
      <c r="F45" s="105"/>
    </row>
    <row r="46" spans="1:11" s="37" customFormat="1" ht="24" customHeight="1">
      <c r="B46" s="58"/>
      <c r="C46" s="58"/>
      <c r="D46" s="58"/>
      <c r="E46" s="58"/>
      <c r="F46" s="58"/>
    </row>
    <row r="47" spans="1:11" s="70" customFormat="1" ht="24" customHeight="1">
      <c r="A47" s="72"/>
      <c r="B47" s="40" t="s">
        <v>55</v>
      </c>
      <c r="C47" s="39"/>
      <c r="D47" s="39"/>
      <c r="E47" s="39"/>
      <c r="F47" s="39"/>
      <c r="G47" s="39"/>
      <c r="H47" s="39"/>
    </row>
    <row r="48" spans="1:11" s="70" customFormat="1" ht="24" customHeight="1">
      <c r="A48" s="72"/>
      <c r="B48" s="109" t="s">
        <v>188</v>
      </c>
      <c r="C48" s="109"/>
      <c r="D48" s="109"/>
      <c r="E48" s="109"/>
      <c r="F48" s="109"/>
      <c r="G48" s="109"/>
      <c r="H48" s="39"/>
    </row>
    <row r="49" spans="1:11" s="70" customFormat="1" ht="24" customHeight="1">
      <c r="A49" s="72"/>
      <c r="B49" s="43" t="s">
        <v>133</v>
      </c>
      <c r="C49" s="39"/>
      <c r="D49" s="39"/>
      <c r="E49" s="39"/>
      <c r="F49" s="39"/>
      <c r="G49" s="39"/>
      <c r="H49" s="39"/>
    </row>
    <row r="50" spans="1:11" s="70" customFormat="1" ht="24" customHeight="1">
      <c r="A50" s="72"/>
      <c r="B50" s="43" t="s">
        <v>192</v>
      </c>
      <c r="C50" s="39"/>
      <c r="D50" s="39"/>
      <c r="E50" s="39"/>
      <c r="F50" s="39"/>
      <c r="G50" s="39"/>
      <c r="H50" s="39"/>
    </row>
    <row r="51" spans="1:11" s="43" customFormat="1" ht="24" customHeight="1">
      <c r="A51" s="36"/>
      <c r="B51" s="104" t="s">
        <v>207</v>
      </c>
      <c r="C51" s="104"/>
      <c r="D51" s="104"/>
      <c r="E51" s="104"/>
      <c r="F51" s="104"/>
      <c r="G51" s="104"/>
      <c r="H51" s="104"/>
      <c r="I51" s="104"/>
      <c r="J51" s="104"/>
    </row>
    <row r="52" spans="1:11" s="43" customFormat="1" ht="24" customHeight="1">
      <c r="A52" s="36"/>
      <c r="B52" s="104" t="s">
        <v>202</v>
      </c>
      <c r="C52" s="104"/>
      <c r="D52" s="104"/>
      <c r="E52" s="104"/>
      <c r="F52" s="104"/>
      <c r="G52" s="104"/>
      <c r="H52" s="104"/>
      <c r="I52" s="104"/>
    </row>
    <row r="53" spans="1:11" s="43" customFormat="1" ht="24" customHeight="1">
      <c r="A53" s="36"/>
      <c r="B53" s="36" t="s">
        <v>100</v>
      </c>
      <c r="C53" s="38"/>
      <c r="D53" s="38"/>
      <c r="E53" s="38"/>
      <c r="F53" s="38"/>
      <c r="G53" s="38"/>
      <c r="H53" s="38"/>
      <c r="I53" s="36"/>
    </row>
    <row r="54" spans="1:11" s="43" customFormat="1" ht="24" customHeight="1">
      <c r="A54" s="36"/>
      <c r="B54" s="36" t="s">
        <v>101</v>
      </c>
      <c r="C54" s="38"/>
      <c r="D54" s="38"/>
      <c r="E54" s="38"/>
      <c r="F54" s="38"/>
      <c r="G54" s="38"/>
      <c r="H54" s="38"/>
      <c r="I54" s="36"/>
    </row>
    <row r="55" spans="1:11" s="43" customFormat="1" ht="24" customHeight="1">
      <c r="A55" s="36"/>
      <c r="B55" s="36" t="s">
        <v>102</v>
      </c>
      <c r="C55" s="38"/>
      <c r="D55" s="38"/>
      <c r="E55" s="38"/>
      <c r="F55" s="38"/>
      <c r="G55" s="38"/>
      <c r="H55" s="38"/>
      <c r="I55" s="36"/>
    </row>
    <row r="56" spans="1:11" s="43" customFormat="1" ht="24" customHeight="1">
      <c r="A56" s="36"/>
      <c r="B56" s="36" t="s">
        <v>104</v>
      </c>
      <c r="C56" s="38"/>
      <c r="D56" s="38"/>
      <c r="E56" s="38"/>
      <c r="F56" s="38"/>
      <c r="G56" s="38"/>
      <c r="H56" s="38"/>
      <c r="I56" s="36"/>
    </row>
    <row r="57" spans="1:11" s="43" customFormat="1" ht="24" customHeight="1">
      <c r="A57" s="36"/>
      <c r="B57" s="36" t="s">
        <v>119</v>
      </c>
      <c r="C57" s="38"/>
      <c r="D57" s="38"/>
      <c r="E57" s="38"/>
      <c r="F57" s="38"/>
      <c r="G57" s="38"/>
      <c r="H57" s="38"/>
      <c r="I57" s="36"/>
    </row>
    <row r="58" spans="1:11" s="43" customFormat="1" ht="24" customHeight="1">
      <c r="A58" s="36"/>
      <c r="B58" s="36" t="s">
        <v>106</v>
      </c>
      <c r="C58" s="38"/>
      <c r="D58" s="38"/>
      <c r="E58" s="38"/>
      <c r="F58" s="38"/>
      <c r="G58" s="38"/>
      <c r="H58" s="38"/>
      <c r="I58" s="36"/>
    </row>
    <row r="59" spans="1:11" s="43" customFormat="1" ht="24" customHeight="1">
      <c r="A59" s="36"/>
      <c r="B59" s="36" t="s">
        <v>109</v>
      </c>
      <c r="C59" s="38"/>
      <c r="D59" s="38"/>
      <c r="E59" s="38"/>
      <c r="F59" s="38"/>
      <c r="G59" s="38"/>
      <c r="H59" s="38"/>
      <c r="I59" s="36"/>
    </row>
    <row r="60" spans="1:11" s="43" customFormat="1" ht="24" customHeight="1">
      <c r="A60" s="36"/>
      <c r="B60" s="36" t="s">
        <v>113</v>
      </c>
      <c r="C60" s="38"/>
      <c r="D60" s="38"/>
      <c r="E60" s="38"/>
      <c r="F60" s="38"/>
      <c r="G60" s="38"/>
      <c r="H60" s="38"/>
      <c r="I60" s="36"/>
    </row>
    <row r="61" spans="1:11" s="43" customFormat="1" ht="24" customHeight="1">
      <c r="A61" s="36"/>
      <c r="B61" s="43" t="s">
        <v>118</v>
      </c>
      <c r="C61" s="38"/>
      <c r="D61" s="38"/>
      <c r="E61" s="38"/>
      <c r="F61" s="38"/>
      <c r="G61" s="38"/>
      <c r="H61" s="38"/>
      <c r="I61" s="36"/>
    </row>
    <row r="62" spans="1:11" s="43" customFormat="1" ht="24" customHeight="1">
      <c r="A62" s="36"/>
      <c r="B62" s="108" t="s">
        <v>179</v>
      </c>
      <c r="C62" s="108"/>
      <c r="D62" s="108"/>
      <c r="E62" s="108"/>
      <c r="F62" s="108"/>
      <c r="G62" s="108"/>
      <c r="H62" s="108"/>
      <c r="I62" s="108"/>
      <c r="J62" s="108"/>
    </row>
    <row r="63" spans="1:11" s="43" customFormat="1" ht="24" customHeight="1">
      <c r="A63" s="36"/>
      <c r="B63" s="36" t="s">
        <v>126</v>
      </c>
      <c r="C63" s="38"/>
      <c r="D63" s="38"/>
      <c r="E63" s="38"/>
      <c r="F63" s="38"/>
      <c r="G63" s="38"/>
      <c r="H63" s="38"/>
      <c r="I63" s="36"/>
    </row>
    <row r="64" spans="1:11" s="43" customFormat="1" ht="24" customHeight="1">
      <c r="A64" s="36"/>
      <c r="B64" s="106" t="s">
        <v>208</v>
      </c>
      <c r="C64" s="106"/>
      <c r="D64" s="106"/>
      <c r="E64" s="106"/>
      <c r="F64" s="106"/>
      <c r="G64" s="106"/>
      <c r="H64" s="106"/>
      <c r="I64" s="106"/>
      <c r="J64" s="106"/>
      <c r="K64" s="106"/>
    </row>
    <row r="65" spans="1:11" s="43" customFormat="1" ht="24" customHeight="1">
      <c r="A65" s="36"/>
      <c r="B65" s="36" t="s">
        <v>209</v>
      </c>
      <c r="C65" s="38"/>
      <c r="D65" s="38"/>
      <c r="E65" s="38"/>
      <c r="F65" s="38"/>
      <c r="G65" s="38"/>
      <c r="H65" s="38"/>
      <c r="I65" s="36"/>
    </row>
    <row r="66" spans="1:11" s="43" customFormat="1" ht="24" customHeight="1">
      <c r="A66" s="36"/>
      <c r="B66" s="36" t="s">
        <v>147</v>
      </c>
      <c r="C66" s="38"/>
      <c r="D66" s="38"/>
      <c r="E66" s="38"/>
      <c r="F66" s="38"/>
      <c r="G66" s="38"/>
      <c r="H66" s="38"/>
      <c r="I66" s="36"/>
    </row>
    <row r="67" spans="1:11" s="43" customFormat="1" ht="24" customHeight="1">
      <c r="A67" s="36"/>
      <c r="B67" s="109" t="s">
        <v>210</v>
      </c>
      <c r="C67" s="109"/>
      <c r="D67" s="109"/>
      <c r="E67" s="109"/>
      <c r="F67" s="109"/>
      <c r="G67" s="109"/>
      <c r="H67" s="38"/>
      <c r="I67" s="36"/>
    </row>
    <row r="68" spans="1:11" s="43" customFormat="1" ht="24" customHeight="1">
      <c r="A68" s="36"/>
      <c r="B68" s="95" t="s">
        <v>181</v>
      </c>
      <c r="C68" s="95"/>
      <c r="D68" s="95"/>
      <c r="E68" s="95"/>
      <c r="F68" s="95"/>
      <c r="G68" s="95"/>
      <c r="H68" s="38"/>
      <c r="I68" s="36"/>
    </row>
    <row r="69" spans="1:11" s="43" customFormat="1" ht="24" customHeight="1">
      <c r="A69" s="36"/>
      <c r="B69" s="109" t="s">
        <v>182</v>
      </c>
      <c r="C69" s="109"/>
      <c r="D69" s="109"/>
      <c r="E69" s="109"/>
      <c r="F69" s="109"/>
      <c r="G69" s="109"/>
      <c r="H69" s="109"/>
      <c r="I69" s="109"/>
      <c r="J69" s="109"/>
      <c r="K69" s="109"/>
    </row>
    <row r="70" spans="1:11" s="43" customFormat="1" ht="24" customHeight="1">
      <c r="A70" s="36"/>
      <c r="B70" s="95" t="s">
        <v>183</v>
      </c>
      <c r="C70" s="95"/>
      <c r="D70" s="95"/>
      <c r="E70" s="95"/>
      <c r="F70" s="95"/>
      <c r="G70" s="95"/>
      <c r="H70" s="38"/>
      <c r="I70" s="36"/>
    </row>
    <row r="71" spans="1:11" s="43" customFormat="1" ht="24" customHeight="1">
      <c r="A71" s="36"/>
      <c r="B71" s="109" t="s">
        <v>184</v>
      </c>
      <c r="C71" s="109"/>
      <c r="D71" s="109"/>
      <c r="E71" s="109"/>
      <c r="F71" s="109"/>
      <c r="G71" s="109"/>
      <c r="H71" s="109"/>
      <c r="I71" s="109"/>
      <c r="J71" s="109"/>
      <c r="K71" s="109"/>
    </row>
    <row r="72" spans="1:11" s="43" customFormat="1" ht="24" customHeight="1">
      <c r="A72" s="36"/>
      <c r="B72" s="95" t="s">
        <v>185</v>
      </c>
      <c r="C72" s="95"/>
      <c r="D72" s="95"/>
      <c r="E72" s="95"/>
      <c r="F72" s="95"/>
      <c r="G72" s="95"/>
      <c r="H72" s="38"/>
      <c r="I72" s="36"/>
    </row>
    <row r="73" spans="1:11" s="43" customFormat="1" ht="24" customHeight="1">
      <c r="A73" s="36"/>
      <c r="B73" s="95" t="s">
        <v>193</v>
      </c>
      <c r="C73" s="95"/>
      <c r="D73" s="95"/>
      <c r="E73" s="95"/>
      <c r="F73" s="95"/>
      <c r="G73" s="95"/>
      <c r="H73" s="38"/>
      <c r="I73" s="36"/>
    </row>
    <row r="74" spans="1:11" s="43" customFormat="1" ht="24" customHeight="1">
      <c r="A74" s="36"/>
      <c r="B74" s="95"/>
      <c r="C74" s="95"/>
      <c r="D74" s="95"/>
      <c r="E74" s="95"/>
      <c r="F74" s="95"/>
      <c r="G74" s="95"/>
      <c r="H74" s="38"/>
      <c r="I74" s="36"/>
    </row>
    <row r="75" spans="1:11" ht="24" customHeight="1">
      <c r="A75" s="57"/>
      <c r="B75" s="49" t="s">
        <v>56</v>
      </c>
      <c r="C75" s="49"/>
      <c r="D75" s="49"/>
      <c r="E75" s="49"/>
      <c r="F75" s="37"/>
      <c r="G75" s="37"/>
      <c r="H75" s="37"/>
      <c r="I75" s="43"/>
    </row>
    <row r="76" spans="1:11" ht="24" customHeight="1">
      <c r="A76" s="57"/>
      <c r="B76" s="105" t="s">
        <v>131</v>
      </c>
      <c r="C76" s="105"/>
      <c r="D76" s="105"/>
      <c r="E76" s="105"/>
      <c r="F76" s="37"/>
      <c r="G76" s="37"/>
      <c r="H76" s="37"/>
      <c r="I76" s="43"/>
    </row>
    <row r="77" spans="1:11" ht="24" customHeight="1">
      <c r="A77" s="57"/>
      <c r="B77" s="36" t="s">
        <v>120</v>
      </c>
      <c r="C77" s="49"/>
      <c r="D77" s="49"/>
      <c r="E77" s="49"/>
      <c r="F77" s="37"/>
      <c r="G77" s="37"/>
      <c r="H77" s="37"/>
      <c r="I77" s="43"/>
    </row>
    <row r="78" spans="1:11" ht="24" customHeight="1">
      <c r="A78" s="57"/>
      <c r="B78" s="36" t="s">
        <v>123</v>
      </c>
      <c r="C78" s="49"/>
      <c r="D78" s="49"/>
      <c r="E78" s="49"/>
      <c r="F78" s="37"/>
      <c r="G78" s="37"/>
      <c r="H78" s="37"/>
      <c r="I78" s="43"/>
    </row>
    <row r="79" spans="1:11" ht="24" customHeight="1">
      <c r="A79" s="57"/>
      <c r="B79" s="105" t="s">
        <v>132</v>
      </c>
      <c r="C79" s="105"/>
      <c r="D79" s="105"/>
      <c r="E79" s="105"/>
      <c r="F79" s="105"/>
      <c r="G79" s="105"/>
      <c r="H79" s="105"/>
      <c r="I79" s="43"/>
    </row>
    <row r="80" spans="1:11" ht="24" customHeight="1">
      <c r="A80" s="57"/>
      <c r="B80" s="105" t="s">
        <v>191</v>
      </c>
      <c r="C80" s="105"/>
      <c r="D80" s="105"/>
      <c r="E80" s="105"/>
      <c r="F80" s="105"/>
      <c r="G80" s="105"/>
      <c r="H80" s="105"/>
      <c r="I80" s="43"/>
    </row>
    <row r="81" spans="1:11" ht="24" customHeight="1">
      <c r="A81" s="57"/>
      <c r="B81" s="37" t="s">
        <v>124</v>
      </c>
      <c r="C81" s="58"/>
      <c r="D81" s="58"/>
      <c r="E81" s="58"/>
      <c r="F81" s="58"/>
      <c r="G81" s="58"/>
      <c r="H81" s="58"/>
      <c r="I81" s="43"/>
    </row>
    <row r="82" spans="1:11" ht="24" customHeight="1">
      <c r="A82" s="70"/>
      <c r="B82" s="105" t="s">
        <v>99</v>
      </c>
      <c r="C82" s="105"/>
      <c r="D82" s="105"/>
      <c r="E82" s="105"/>
      <c r="F82" s="41"/>
      <c r="G82" s="41"/>
      <c r="H82" s="41"/>
      <c r="I82" s="70"/>
    </row>
    <row r="83" spans="1:11" ht="24" customHeight="1">
      <c r="A83" s="70"/>
      <c r="B83" s="105" t="s">
        <v>110</v>
      </c>
      <c r="C83" s="105"/>
      <c r="D83" s="105"/>
      <c r="E83" s="58"/>
      <c r="F83" s="41"/>
      <c r="G83" s="41"/>
      <c r="H83" s="41"/>
      <c r="I83" s="70"/>
    </row>
    <row r="84" spans="1:11" ht="24" customHeight="1">
      <c r="A84" s="70"/>
      <c r="B84" s="88" t="s">
        <v>98</v>
      </c>
      <c r="C84" s="58"/>
      <c r="D84" s="58"/>
      <c r="E84" s="58"/>
      <c r="F84" s="41"/>
      <c r="G84" s="41"/>
      <c r="H84" s="41"/>
      <c r="I84" s="70"/>
    </row>
    <row r="85" spans="1:11" ht="24" customHeight="1">
      <c r="A85" s="70"/>
      <c r="B85" s="58" t="s">
        <v>108</v>
      </c>
      <c r="C85" s="58"/>
      <c r="D85" s="58"/>
      <c r="E85" s="58"/>
      <c r="F85" s="41"/>
      <c r="G85" s="41"/>
      <c r="H85" s="41"/>
      <c r="I85" s="70"/>
    </row>
    <row r="86" spans="1:11" ht="24" customHeight="1">
      <c r="A86" s="70"/>
      <c r="B86" s="105" t="s">
        <v>140</v>
      </c>
      <c r="C86" s="105"/>
      <c r="D86" s="105"/>
      <c r="E86" s="105"/>
      <c r="F86" s="105"/>
      <c r="G86" s="105"/>
      <c r="H86" s="105"/>
      <c r="I86" s="105"/>
      <c r="J86" s="105"/>
    </row>
    <row r="87" spans="1:11" ht="24" customHeight="1">
      <c r="A87" s="70"/>
      <c r="B87" s="105" t="s">
        <v>116</v>
      </c>
      <c r="C87" s="105"/>
      <c r="D87" s="105"/>
      <c r="E87" s="105"/>
      <c r="F87" s="105"/>
      <c r="G87" s="105"/>
      <c r="H87" s="105"/>
      <c r="I87" s="105"/>
      <c r="J87" s="105"/>
      <c r="K87" s="105"/>
    </row>
    <row r="88" spans="1:11" ht="24" customHeight="1">
      <c r="A88" s="70"/>
      <c r="B88" s="105" t="s">
        <v>114</v>
      </c>
      <c r="C88" s="105"/>
      <c r="D88" s="105"/>
      <c r="E88" s="58"/>
      <c r="F88" s="41"/>
      <c r="G88" s="41"/>
      <c r="H88" s="41"/>
      <c r="I88" s="70"/>
    </row>
    <row r="89" spans="1:11" ht="24" customHeight="1">
      <c r="A89" s="70"/>
      <c r="B89" s="58" t="s">
        <v>115</v>
      </c>
      <c r="C89" s="58"/>
      <c r="D89" s="58"/>
      <c r="E89" s="58"/>
      <c r="F89" s="41"/>
      <c r="G89" s="41"/>
      <c r="H89" s="41"/>
      <c r="I89" s="70"/>
    </row>
    <row r="90" spans="1:11" ht="24" customHeight="1">
      <c r="A90" s="70"/>
      <c r="B90" s="105" t="s">
        <v>117</v>
      </c>
      <c r="C90" s="105"/>
      <c r="D90" s="105"/>
      <c r="E90" s="105"/>
      <c r="F90" s="105"/>
      <c r="G90" s="105"/>
      <c r="H90" s="41"/>
      <c r="I90" s="70"/>
    </row>
    <row r="91" spans="1:11" ht="24" customHeight="1">
      <c r="A91" s="70"/>
      <c r="B91" s="105" t="s">
        <v>121</v>
      </c>
      <c r="C91" s="105"/>
      <c r="D91" s="105"/>
      <c r="E91" s="105"/>
      <c r="F91" s="105"/>
      <c r="G91" s="41"/>
      <c r="H91" s="41"/>
      <c r="I91" s="70"/>
    </row>
    <row r="92" spans="1:11" ht="24" customHeight="1">
      <c r="A92" s="70"/>
      <c r="B92" s="58" t="s">
        <v>125</v>
      </c>
      <c r="C92" s="58"/>
      <c r="D92" s="58"/>
      <c r="E92" s="58"/>
      <c r="F92" s="41"/>
      <c r="G92" s="41"/>
      <c r="H92" s="41"/>
      <c r="I92" s="70"/>
    </row>
    <row r="93" spans="1:11" ht="24" customHeight="1">
      <c r="A93" s="70"/>
      <c r="B93" s="105" t="s">
        <v>130</v>
      </c>
      <c r="C93" s="105"/>
      <c r="D93" s="105"/>
      <c r="E93" s="105"/>
      <c r="F93" s="105"/>
      <c r="G93" s="105"/>
      <c r="H93" s="41"/>
      <c r="I93" s="70"/>
    </row>
    <row r="94" spans="1:11" ht="24" customHeight="1">
      <c r="A94" s="70"/>
      <c r="B94" s="36" t="s">
        <v>180</v>
      </c>
    </row>
    <row r="95" spans="1:11" ht="24" customHeight="1">
      <c r="A95" s="70"/>
      <c r="B95" s="36" t="s">
        <v>187</v>
      </c>
    </row>
    <row r="96" spans="1:11" ht="24" customHeight="1">
      <c r="A96" s="70"/>
    </row>
    <row r="97" spans="1:11" ht="24" customHeight="1">
      <c r="A97" s="70"/>
    </row>
    <row r="98" spans="1:11" ht="24" customHeight="1">
      <c r="A98" s="68" t="s">
        <v>57</v>
      </c>
      <c r="C98" s="37"/>
      <c r="D98" s="37"/>
      <c r="E98" s="37"/>
      <c r="F98" s="37"/>
      <c r="G98" s="37"/>
      <c r="H98" s="37"/>
    </row>
    <row r="99" spans="1:11" ht="24" customHeight="1">
      <c r="B99" s="40" t="s">
        <v>54</v>
      </c>
      <c r="C99" s="42"/>
      <c r="D99" s="42"/>
      <c r="E99" s="42"/>
      <c r="F99" s="42"/>
      <c r="G99" s="42"/>
      <c r="H99" s="42"/>
    </row>
    <row r="100" spans="1:11" ht="24" customHeight="1">
      <c r="B100" s="70" t="s">
        <v>211</v>
      </c>
      <c r="C100" s="42"/>
      <c r="D100" s="42"/>
      <c r="E100" s="42"/>
      <c r="F100" s="42"/>
      <c r="G100" s="42"/>
      <c r="H100" s="42"/>
    </row>
    <row r="101" spans="1:11" ht="24" customHeight="1">
      <c r="B101" s="70" t="s">
        <v>166</v>
      </c>
      <c r="C101" s="42"/>
      <c r="D101" s="42"/>
      <c r="E101" s="42"/>
      <c r="F101" s="42"/>
      <c r="G101" s="42"/>
      <c r="H101" s="42"/>
    </row>
    <row r="102" spans="1:11" ht="24" customHeight="1">
      <c r="B102" s="70" t="s">
        <v>171</v>
      </c>
      <c r="C102" s="42"/>
      <c r="D102" s="42"/>
      <c r="E102" s="42"/>
      <c r="F102" s="42"/>
      <c r="G102" s="42"/>
      <c r="H102" s="42"/>
    </row>
    <row r="103" spans="1:11" s="70" customFormat="1" ht="24" customHeight="1">
      <c r="B103" s="70" t="s">
        <v>153</v>
      </c>
    </row>
    <row r="104" spans="1:11" s="70" customFormat="1" ht="24" customHeight="1">
      <c r="B104" s="70" t="s">
        <v>151</v>
      </c>
    </row>
    <row r="105" spans="1:11" s="70" customFormat="1" ht="24" customHeight="1">
      <c r="B105" s="70" t="s">
        <v>143</v>
      </c>
    </row>
    <row r="106" spans="1:11" s="70" customFormat="1" ht="24" customHeight="1">
      <c r="B106" s="70" t="s">
        <v>172</v>
      </c>
    </row>
    <row r="107" spans="1:11" s="70" customFormat="1" ht="24" customHeight="1">
      <c r="B107" s="70" t="s">
        <v>146</v>
      </c>
    </row>
    <row r="108" spans="1:11" s="70" customFormat="1" ht="24" customHeight="1">
      <c r="B108" s="107" t="s">
        <v>148</v>
      </c>
      <c r="C108" s="107"/>
      <c r="D108" s="107"/>
      <c r="E108" s="107"/>
      <c r="F108" s="107"/>
      <c r="G108" s="107"/>
      <c r="H108" s="107"/>
      <c r="I108" s="107"/>
      <c r="J108" s="107"/>
    </row>
    <row r="109" spans="1:11" s="70" customFormat="1" ht="24" customHeight="1">
      <c r="B109" s="89" t="s">
        <v>212</v>
      </c>
      <c r="C109" s="89"/>
      <c r="D109" s="89"/>
      <c r="E109" s="89"/>
      <c r="F109" s="89"/>
      <c r="G109" s="89"/>
      <c r="H109" s="89"/>
      <c r="I109" s="89"/>
      <c r="J109" s="89"/>
      <c r="K109" s="89"/>
    </row>
    <row r="110" spans="1:11" s="70" customFormat="1" ht="24" customHeight="1">
      <c r="B110" s="89" t="s">
        <v>213</v>
      </c>
      <c r="C110" s="89"/>
      <c r="D110" s="89"/>
      <c r="E110" s="89"/>
      <c r="F110" s="89"/>
      <c r="G110" s="89"/>
      <c r="H110" s="89"/>
      <c r="I110" s="89"/>
      <c r="J110" s="89"/>
      <c r="K110" s="89"/>
    </row>
    <row r="111" spans="1:11" s="70" customFormat="1" ht="24" customHeight="1">
      <c r="B111" s="70" t="s">
        <v>149</v>
      </c>
    </row>
    <row r="112" spans="1:11" s="70" customFormat="1" ht="24" customHeight="1">
      <c r="B112" s="35" t="s">
        <v>152</v>
      </c>
    </row>
    <row r="113" spans="1:11" s="70" customFormat="1" ht="24" customHeight="1">
      <c r="B113" s="35" t="s">
        <v>154</v>
      </c>
    </row>
    <row r="114" spans="1:11" s="70" customFormat="1" ht="24" customHeight="1">
      <c r="B114" s="35" t="s">
        <v>156</v>
      </c>
    </row>
    <row r="115" spans="1:11" s="70" customFormat="1" ht="24" customHeight="1">
      <c r="B115" s="35" t="s">
        <v>159</v>
      </c>
    </row>
    <row r="116" spans="1:11" s="70" customFormat="1" ht="24" customHeight="1">
      <c r="B116" s="110" t="s">
        <v>216</v>
      </c>
      <c r="C116" s="110"/>
      <c r="D116" s="110"/>
      <c r="E116" s="110"/>
      <c r="F116" s="110"/>
      <c r="G116" s="110"/>
      <c r="H116" s="110"/>
      <c r="I116" s="110"/>
      <c r="J116" s="110"/>
      <c r="K116" s="110"/>
    </row>
    <row r="117" spans="1:11" s="70" customFormat="1" ht="24" customHeight="1">
      <c r="B117" s="110" t="s">
        <v>214</v>
      </c>
      <c r="C117" s="110"/>
      <c r="D117" s="110"/>
      <c r="E117" s="110"/>
      <c r="F117" s="110"/>
      <c r="G117" s="110"/>
      <c r="H117" s="110"/>
      <c r="I117" s="110"/>
      <c r="J117" s="110"/>
    </row>
    <row r="118" spans="1:11" s="70" customFormat="1" ht="24" customHeight="1">
      <c r="B118" s="35"/>
    </row>
    <row r="119" spans="1:11" ht="24" customHeight="1">
      <c r="A119" s="70"/>
      <c r="B119" s="45" t="s">
        <v>55</v>
      </c>
      <c r="C119" s="41"/>
      <c r="D119" s="41"/>
      <c r="E119" s="41"/>
      <c r="F119" s="41"/>
      <c r="G119" s="41"/>
      <c r="H119" s="41"/>
      <c r="I119" s="70"/>
    </row>
    <row r="120" spans="1:11" s="72" customFormat="1" ht="24" customHeight="1">
      <c r="B120" s="105" t="s">
        <v>97</v>
      </c>
      <c r="C120" s="105"/>
      <c r="D120" s="105"/>
      <c r="E120" s="105"/>
      <c r="F120" s="41"/>
      <c r="G120" s="41"/>
      <c r="H120" s="41"/>
      <c r="I120" s="69"/>
    </row>
    <row r="121" spans="1:11" s="72" customFormat="1" ht="24" customHeight="1">
      <c r="B121" s="105" t="s">
        <v>144</v>
      </c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 spans="1:11" s="72" customFormat="1" ht="24" customHeight="1">
      <c r="B122" s="105" t="s">
        <v>162</v>
      </c>
      <c r="C122" s="105"/>
      <c r="D122" s="105"/>
      <c r="E122" s="105"/>
      <c r="F122" s="105"/>
      <c r="G122" s="105"/>
      <c r="H122" s="105"/>
      <c r="I122" s="105"/>
      <c r="J122" s="105"/>
    </row>
    <row r="123" spans="1:11" s="72" customFormat="1" ht="24" customHeight="1">
      <c r="B123" s="90" t="s">
        <v>167</v>
      </c>
      <c r="C123" s="58"/>
      <c r="D123" s="58"/>
      <c r="E123" s="58"/>
      <c r="F123" s="41"/>
      <c r="G123" s="41"/>
      <c r="H123" s="41"/>
      <c r="I123" s="69"/>
    </row>
    <row r="124" spans="1:11" s="72" customFormat="1" ht="24" customHeight="1">
      <c r="B124" s="91" t="s">
        <v>168</v>
      </c>
      <c r="C124" s="58"/>
      <c r="D124" s="58"/>
      <c r="E124" s="58"/>
      <c r="F124" s="41"/>
      <c r="G124" s="41"/>
      <c r="H124" s="41"/>
      <c r="I124" s="69"/>
    </row>
    <row r="125" spans="1:11" s="72" customFormat="1" ht="24" customHeight="1">
      <c r="B125" s="105" t="s">
        <v>170</v>
      </c>
      <c r="C125" s="105"/>
      <c r="D125" s="105"/>
      <c r="E125" s="105"/>
      <c r="F125" s="105"/>
      <c r="G125" s="105"/>
      <c r="H125" s="105"/>
      <c r="I125" s="69"/>
    </row>
    <row r="126" spans="1:11" s="72" customFormat="1" ht="24" customHeight="1">
      <c r="B126" s="58"/>
      <c r="C126" s="58"/>
      <c r="D126" s="58"/>
      <c r="E126" s="58"/>
      <c r="F126" s="41"/>
      <c r="G126" s="41"/>
      <c r="H126" s="41"/>
      <c r="I126" s="69"/>
    </row>
    <row r="127" spans="1:11" s="72" customFormat="1" ht="24" customHeight="1">
      <c r="B127" s="47" t="s">
        <v>56</v>
      </c>
      <c r="C127" s="39"/>
      <c r="D127" s="39"/>
      <c r="E127" s="39"/>
      <c r="F127" s="39"/>
      <c r="G127" s="39"/>
      <c r="H127" s="39"/>
    </row>
    <row r="128" spans="1:11" s="72" customFormat="1" ht="24" customHeight="1">
      <c r="B128" s="35" t="s">
        <v>173</v>
      </c>
    </row>
    <row r="129" spans="1:10" s="72" customFormat="1" ht="24" customHeight="1">
      <c r="B129" s="89" t="s">
        <v>169</v>
      </c>
      <c r="C129" s="89"/>
      <c r="D129" s="89"/>
      <c r="E129" s="89"/>
      <c r="F129" s="89"/>
      <c r="G129" s="89"/>
      <c r="H129" s="89"/>
      <c r="I129" s="89"/>
      <c r="J129" s="89"/>
    </row>
    <row r="130" spans="1:10" s="72" customFormat="1" ht="24" customHeight="1">
      <c r="B130" s="70" t="s">
        <v>174</v>
      </c>
      <c r="C130" s="69"/>
      <c r="D130" s="69"/>
      <c r="E130" s="69"/>
      <c r="F130" s="69"/>
      <c r="G130" s="69"/>
      <c r="H130" s="69"/>
      <c r="I130" s="70"/>
      <c r="J130" s="70"/>
    </row>
    <row r="131" spans="1:10" s="72" customFormat="1" ht="24" customHeight="1">
      <c r="B131" s="107" t="s">
        <v>145</v>
      </c>
      <c r="C131" s="107"/>
      <c r="D131" s="107"/>
      <c r="E131" s="107"/>
      <c r="F131" s="107"/>
      <c r="G131" s="107"/>
      <c r="H131" s="107"/>
      <c r="I131" s="107"/>
      <c r="J131" s="107"/>
    </row>
    <row r="132" spans="1:10" s="72" customFormat="1" ht="24" customHeight="1">
      <c r="B132" s="48" t="s">
        <v>150</v>
      </c>
      <c r="C132" s="69"/>
      <c r="D132" s="69"/>
      <c r="E132" s="69"/>
      <c r="F132" s="69"/>
      <c r="G132" s="69"/>
      <c r="H132" s="69"/>
      <c r="I132" s="70"/>
      <c r="J132" s="70"/>
    </row>
    <row r="133" spans="1:10" s="72" customFormat="1" ht="24" customHeight="1">
      <c r="B133" s="70" t="s">
        <v>155</v>
      </c>
      <c r="C133" s="69"/>
      <c r="D133" s="69"/>
      <c r="E133" s="69"/>
      <c r="F133" s="69"/>
      <c r="G133" s="69"/>
      <c r="H133" s="69"/>
      <c r="I133" s="70"/>
      <c r="J133" s="70"/>
    </row>
    <row r="134" spans="1:10" s="72" customFormat="1" ht="24" customHeight="1">
      <c r="B134" s="102" t="s">
        <v>157</v>
      </c>
      <c r="C134" s="102"/>
      <c r="D134" s="102"/>
      <c r="E134" s="102"/>
      <c r="F134" s="102"/>
      <c r="G134" s="69"/>
      <c r="H134" s="69"/>
      <c r="I134" s="70"/>
      <c r="J134" s="70"/>
    </row>
    <row r="135" spans="1:10" s="72" customFormat="1" ht="24" customHeight="1">
      <c r="B135" s="48" t="s">
        <v>158</v>
      </c>
      <c r="C135" s="69"/>
      <c r="D135" s="69"/>
      <c r="E135" s="69"/>
      <c r="F135" s="69"/>
      <c r="G135" s="69"/>
      <c r="H135" s="69"/>
      <c r="I135" s="70"/>
      <c r="J135" s="70"/>
    </row>
    <row r="136" spans="1:10" s="72" customFormat="1" ht="24" customHeight="1">
      <c r="B136" s="48" t="s">
        <v>160</v>
      </c>
      <c r="C136" s="41"/>
      <c r="D136" s="41"/>
      <c r="E136" s="41"/>
      <c r="F136" s="41"/>
      <c r="G136" s="41"/>
      <c r="H136" s="41"/>
      <c r="I136" s="70"/>
      <c r="J136" s="70"/>
    </row>
    <row r="137" spans="1:10" s="72" customFormat="1" ht="24" customHeight="1">
      <c r="B137" s="48" t="s">
        <v>163</v>
      </c>
      <c r="C137" s="41"/>
      <c r="D137" s="41"/>
      <c r="E137" s="41"/>
      <c r="F137" s="41"/>
      <c r="G137" s="41"/>
      <c r="H137" s="41"/>
      <c r="I137" s="70"/>
      <c r="J137" s="70"/>
    </row>
    <row r="138" spans="1:10" s="72" customFormat="1" ht="24" customHeight="1">
      <c r="B138" s="48" t="s">
        <v>161</v>
      </c>
      <c r="C138" s="41"/>
      <c r="D138" s="41"/>
      <c r="E138" s="41"/>
      <c r="F138" s="41"/>
      <c r="G138" s="41"/>
      <c r="H138" s="41"/>
      <c r="I138" s="70"/>
      <c r="J138" s="70"/>
    </row>
    <row r="139" spans="1:10" s="72" customFormat="1" ht="24" customHeight="1">
      <c r="A139" s="70"/>
      <c r="B139" s="48" t="s">
        <v>165</v>
      </c>
      <c r="C139" s="41"/>
      <c r="D139" s="41"/>
      <c r="E139" s="41"/>
      <c r="F139" s="41"/>
      <c r="G139" s="41"/>
      <c r="H139" s="41"/>
      <c r="I139" s="70"/>
      <c r="J139" s="70"/>
    </row>
    <row r="140" spans="1:10" s="72" customFormat="1" ht="24" customHeight="1">
      <c r="A140" s="70"/>
      <c r="B140" s="70" t="s">
        <v>164</v>
      </c>
      <c r="C140" s="41"/>
      <c r="D140" s="41"/>
      <c r="E140" s="41"/>
      <c r="F140" s="41"/>
      <c r="G140" s="41"/>
      <c r="H140" s="41"/>
      <c r="I140" s="70"/>
      <c r="J140" s="70"/>
    </row>
    <row r="141" spans="1:10" ht="24" customHeight="1">
      <c r="A141" s="70"/>
      <c r="B141" s="48" t="s">
        <v>215</v>
      </c>
      <c r="C141" s="41"/>
      <c r="D141" s="41"/>
      <c r="E141" s="41"/>
      <c r="F141" s="41"/>
      <c r="G141" s="41"/>
      <c r="H141" s="41"/>
      <c r="I141" s="70"/>
      <c r="J141" s="70"/>
    </row>
    <row r="142" spans="1:10" s="70" customFormat="1" ht="24" customHeight="1">
      <c r="B142" s="70" t="s">
        <v>176</v>
      </c>
      <c r="C142" s="92"/>
      <c r="D142" s="92"/>
      <c r="E142" s="93"/>
      <c r="F142" s="93"/>
      <c r="G142" s="93"/>
      <c r="H142" s="92"/>
    </row>
    <row r="143" spans="1:10" s="70" customFormat="1" ht="24" customHeight="1">
      <c r="A143" s="72"/>
      <c r="B143" s="70" t="s">
        <v>175</v>
      </c>
      <c r="C143" s="41"/>
      <c r="D143" s="41"/>
      <c r="E143" s="41"/>
      <c r="F143" s="41"/>
      <c r="G143" s="41"/>
      <c r="H143" s="41"/>
    </row>
    <row r="144" spans="1:10" s="72" customFormat="1" ht="24" customHeight="1">
      <c r="A144" s="70"/>
      <c r="B144" s="70"/>
      <c r="C144" s="41"/>
      <c r="D144" s="41"/>
      <c r="E144" s="41"/>
      <c r="F144" s="41"/>
      <c r="G144" s="41"/>
      <c r="H144" s="41"/>
      <c r="I144" s="70"/>
    </row>
    <row r="145" spans="1:9" s="72" customFormat="1" ht="24" customHeight="1">
      <c r="A145" s="70"/>
      <c r="C145" s="39"/>
      <c r="D145" s="39"/>
      <c r="E145" s="39"/>
      <c r="F145" s="39"/>
      <c r="G145" s="39"/>
      <c r="H145" s="39"/>
    </row>
    <row r="146" spans="1:9" s="70" customFormat="1" ht="24" customHeight="1">
      <c r="B146" s="46"/>
      <c r="C146" s="39"/>
      <c r="D146" s="39"/>
      <c r="E146" s="39"/>
      <c r="F146" s="39"/>
      <c r="G146" s="39"/>
      <c r="H146" s="39"/>
      <c r="I146" s="72"/>
    </row>
    <row r="147" spans="1:9" s="70" customFormat="1" ht="24" customHeight="1">
      <c r="B147" s="46"/>
      <c r="C147" s="41"/>
      <c r="D147" s="41"/>
      <c r="E147" s="41"/>
      <c r="F147" s="41"/>
      <c r="G147" s="41"/>
      <c r="H147" s="41"/>
    </row>
    <row r="148" spans="1:9" s="70" customFormat="1" ht="24" customHeight="1">
      <c r="A148" s="72"/>
      <c r="B148" s="46"/>
      <c r="C148" s="41"/>
      <c r="D148" s="41"/>
      <c r="E148" s="41"/>
      <c r="F148" s="41"/>
      <c r="G148" s="41"/>
      <c r="H148" s="41"/>
    </row>
    <row r="149" spans="1:9" s="70" customFormat="1" ht="24" customHeight="1">
      <c r="B149" s="46"/>
      <c r="C149" s="41"/>
      <c r="D149" s="41"/>
      <c r="E149" s="41"/>
      <c r="F149" s="41"/>
      <c r="G149" s="41"/>
      <c r="H149" s="41"/>
    </row>
    <row r="150" spans="1:9" s="72" customFormat="1" ht="24" customHeight="1">
      <c r="A150" s="70"/>
      <c r="B150" s="46"/>
      <c r="C150" s="41"/>
      <c r="D150" s="41"/>
      <c r="E150" s="41"/>
      <c r="F150" s="41"/>
      <c r="G150" s="41"/>
      <c r="H150" s="41"/>
      <c r="I150" s="70"/>
    </row>
    <row r="151" spans="1:9" s="70" customFormat="1" ht="24" customHeight="1">
      <c r="B151" s="44"/>
      <c r="C151" s="39"/>
      <c r="D151" s="39"/>
      <c r="E151" s="39"/>
      <c r="F151" s="39"/>
      <c r="G151" s="39"/>
      <c r="H151" s="39"/>
      <c r="I151" s="72"/>
    </row>
    <row r="152" spans="1:9" s="70" customFormat="1" ht="24" customHeight="1">
      <c r="B152" s="44"/>
      <c r="C152" s="41"/>
      <c r="D152" s="41"/>
      <c r="E152" s="41"/>
      <c r="F152" s="41"/>
      <c r="G152" s="41"/>
      <c r="H152" s="41"/>
    </row>
    <row r="153" spans="1:9" s="70" customFormat="1" ht="24" customHeight="1">
      <c r="B153" s="44"/>
      <c r="C153" s="41"/>
      <c r="D153" s="41"/>
      <c r="E153" s="41"/>
      <c r="F153" s="41"/>
      <c r="G153" s="41"/>
      <c r="H153" s="41"/>
    </row>
    <row r="154" spans="1:9" s="70" customFormat="1" ht="24" customHeight="1">
      <c r="B154" s="44"/>
      <c r="C154" s="41"/>
      <c r="D154" s="41"/>
      <c r="E154" s="41"/>
      <c r="F154" s="41"/>
      <c r="G154" s="41"/>
      <c r="H154" s="41"/>
    </row>
    <row r="155" spans="1:9" s="70" customFormat="1" ht="24" customHeight="1">
      <c r="B155" s="46"/>
      <c r="C155" s="41"/>
      <c r="D155" s="41"/>
      <c r="E155" s="41"/>
      <c r="F155" s="41"/>
      <c r="G155" s="41"/>
      <c r="H155" s="41"/>
    </row>
    <row r="156" spans="1:9" s="70" customFormat="1" ht="24" customHeight="1">
      <c r="B156" s="46"/>
      <c r="C156" s="41"/>
      <c r="D156" s="41"/>
      <c r="E156" s="41"/>
      <c r="F156" s="41"/>
      <c r="G156" s="41"/>
      <c r="H156" s="41"/>
    </row>
    <row r="157" spans="1:9" s="70" customFormat="1" ht="24" customHeight="1">
      <c r="B157" s="46"/>
      <c r="C157" s="41"/>
      <c r="D157" s="41"/>
      <c r="E157" s="41"/>
      <c r="F157" s="41"/>
      <c r="G157" s="41"/>
      <c r="H157" s="41"/>
    </row>
    <row r="158" spans="1:9" s="70" customFormat="1" ht="24" customHeight="1">
      <c r="B158" s="46"/>
      <c r="C158" s="41"/>
      <c r="D158" s="41"/>
      <c r="E158" s="41"/>
      <c r="F158" s="41"/>
      <c r="G158" s="41"/>
      <c r="H158" s="41"/>
    </row>
    <row r="159" spans="1:9" s="70" customFormat="1" ht="24" customHeight="1">
      <c r="B159" s="46"/>
      <c r="C159" s="41"/>
      <c r="D159" s="41"/>
      <c r="E159" s="41"/>
      <c r="F159" s="41"/>
      <c r="G159" s="41"/>
      <c r="H159" s="41"/>
    </row>
    <row r="160" spans="1:9" s="70" customFormat="1" ht="24" customHeight="1">
      <c r="B160" s="46"/>
      <c r="C160" s="41"/>
      <c r="D160" s="41"/>
      <c r="E160" s="41"/>
      <c r="F160" s="41"/>
      <c r="G160" s="41"/>
      <c r="H160" s="41"/>
    </row>
    <row r="161" spans="1:9" s="70" customFormat="1" ht="24" customHeight="1">
      <c r="B161" s="46"/>
      <c r="C161" s="41"/>
      <c r="D161" s="41"/>
      <c r="E161" s="41"/>
      <c r="F161" s="41"/>
      <c r="G161" s="41"/>
      <c r="H161" s="41"/>
    </row>
    <row r="162" spans="1:9" s="70" customFormat="1" ht="24" customHeight="1">
      <c r="B162" s="46"/>
      <c r="C162" s="41"/>
      <c r="D162" s="41"/>
      <c r="E162" s="41"/>
      <c r="F162" s="41"/>
      <c r="G162" s="41"/>
      <c r="H162" s="41"/>
    </row>
    <row r="163" spans="1:9" s="70" customFormat="1" ht="24" customHeight="1">
      <c r="B163" s="46"/>
      <c r="C163" s="41"/>
      <c r="D163" s="41"/>
      <c r="E163" s="41"/>
      <c r="F163" s="41"/>
      <c r="G163" s="41"/>
      <c r="H163" s="41"/>
    </row>
    <row r="164" spans="1:9" s="70" customFormat="1" ht="24" customHeight="1">
      <c r="B164" s="46"/>
      <c r="C164" s="41"/>
      <c r="D164" s="41"/>
      <c r="E164" s="41"/>
      <c r="F164" s="41"/>
      <c r="G164" s="41"/>
      <c r="H164" s="41"/>
    </row>
    <row r="165" spans="1:9" s="70" customFormat="1" ht="24" customHeight="1">
      <c r="B165" s="46"/>
      <c r="C165" s="41"/>
      <c r="D165" s="41"/>
      <c r="E165" s="41"/>
      <c r="F165" s="41"/>
      <c r="G165" s="41"/>
      <c r="H165" s="41"/>
    </row>
    <row r="166" spans="1:9" s="70" customFormat="1" ht="24" customHeight="1">
      <c r="B166" s="36"/>
      <c r="C166" s="41"/>
      <c r="D166" s="41"/>
      <c r="E166" s="41"/>
      <c r="F166" s="41"/>
      <c r="G166" s="41"/>
      <c r="H166" s="41"/>
    </row>
    <row r="167" spans="1:9" s="70" customFormat="1" ht="24" customHeight="1">
      <c r="B167" s="36"/>
      <c r="C167" s="41"/>
      <c r="D167" s="41"/>
      <c r="E167" s="41"/>
      <c r="F167" s="41"/>
      <c r="G167" s="41"/>
      <c r="H167" s="41"/>
    </row>
    <row r="168" spans="1:9" s="70" customFormat="1" ht="24" customHeight="1">
      <c r="B168" s="36"/>
      <c r="C168" s="41"/>
      <c r="D168" s="41"/>
      <c r="E168" s="41"/>
      <c r="F168" s="41"/>
      <c r="G168" s="41"/>
      <c r="H168" s="41"/>
    </row>
    <row r="169" spans="1:9" s="70" customFormat="1" ht="24" customHeight="1">
      <c r="B169" s="36"/>
      <c r="C169" s="41"/>
      <c r="D169" s="41"/>
      <c r="E169" s="41"/>
      <c r="F169" s="41"/>
      <c r="G169" s="41"/>
      <c r="H169" s="41"/>
    </row>
    <row r="170" spans="1:9" s="70" customFormat="1" ht="24" customHeight="1">
      <c r="A170" s="36"/>
      <c r="B170" s="36"/>
      <c r="C170" s="41"/>
      <c r="D170" s="41"/>
      <c r="E170" s="41"/>
      <c r="F170" s="41"/>
      <c r="G170" s="41"/>
      <c r="H170" s="41"/>
    </row>
    <row r="171" spans="1:9" s="70" customFormat="1" ht="24" customHeight="1">
      <c r="A171" s="36"/>
      <c r="B171" s="36"/>
      <c r="C171" s="41"/>
      <c r="D171" s="41"/>
      <c r="E171" s="41"/>
      <c r="F171" s="41"/>
      <c r="G171" s="41"/>
      <c r="H171" s="41"/>
    </row>
    <row r="172" spans="1:9">
      <c r="C172" s="41"/>
      <c r="D172" s="41"/>
      <c r="E172" s="41"/>
      <c r="F172" s="41"/>
      <c r="G172" s="41"/>
      <c r="H172" s="41"/>
      <c r="I172" s="70"/>
    </row>
  </sheetData>
  <mergeCells count="45">
    <mergeCell ref="B134:F134"/>
    <mergeCell ref="B125:H125"/>
    <mergeCell ref="B116:K116"/>
    <mergeCell ref="B117:J117"/>
    <mergeCell ref="B121:K121"/>
    <mergeCell ref="B122:J122"/>
    <mergeCell ref="B131:J131"/>
    <mergeCell ref="B108:J108"/>
    <mergeCell ref="B51:J51"/>
    <mergeCell ref="B52:I52"/>
    <mergeCell ref="B83:D83"/>
    <mergeCell ref="B34:D34"/>
    <mergeCell ref="B35:K35"/>
    <mergeCell ref="B62:J62"/>
    <mergeCell ref="B67:G67"/>
    <mergeCell ref="B69:K69"/>
    <mergeCell ref="B71:K71"/>
    <mergeCell ref="B48:G48"/>
    <mergeCell ref="B43:I43"/>
    <mergeCell ref="B80:H80"/>
    <mergeCell ref="B45:F45"/>
    <mergeCell ref="B40:K40"/>
    <mergeCell ref="B20:I20"/>
    <mergeCell ref="B32:E32"/>
    <mergeCell ref="B120:E120"/>
    <mergeCell ref="B82:E82"/>
    <mergeCell ref="B31:I31"/>
    <mergeCell ref="B76:E76"/>
    <mergeCell ref="B88:D88"/>
    <mergeCell ref="B87:K87"/>
    <mergeCell ref="B90:G90"/>
    <mergeCell ref="B91:F91"/>
    <mergeCell ref="B93:G93"/>
    <mergeCell ref="B79:H79"/>
    <mergeCell ref="B33:H33"/>
    <mergeCell ref="B64:K64"/>
    <mergeCell ref="B38:E38"/>
    <mergeCell ref="B86:J86"/>
    <mergeCell ref="A3:H3"/>
    <mergeCell ref="A1:I1"/>
    <mergeCell ref="A14:B14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2024-06-25T08:29:19Z</cp:lastPrinted>
  <dcterms:created xsi:type="dcterms:W3CDTF">2023-02-02T03:43:01Z</dcterms:created>
  <dcterms:modified xsi:type="dcterms:W3CDTF">2024-06-26T07:36:39Z</dcterms:modified>
</cp:coreProperties>
</file>