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8678" yWindow="-122" windowWidth="21953" windowHeight="12444" activeTab="1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Summary!$A$1:$K$137</definedName>
    <definedName name="_xlnm.Print_Area" localSheetId="0">'Total Table'!$A$1:$N$116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5" i="1"/>
  <c r="I45"/>
  <c r="C22"/>
  <c r="P22"/>
  <c r="F22" l="1"/>
  <c r="B22"/>
  <c r="L91" l="1"/>
  <c r="D45"/>
  <c r="F45"/>
  <c r="O22" l="1"/>
  <c r="E45"/>
  <c r="H45"/>
  <c r="J45"/>
  <c r="M45"/>
  <c r="N45"/>
  <c r="O45"/>
  <c r="J68"/>
  <c r="K68"/>
  <c r="L68"/>
  <c r="M68"/>
  <c r="N68"/>
  <c r="M91"/>
  <c r="B91"/>
  <c r="C91"/>
  <c r="D91"/>
  <c r="E91"/>
  <c r="F91"/>
  <c r="G91"/>
  <c r="H91"/>
  <c r="I91"/>
  <c r="J91"/>
  <c r="B68"/>
  <c r="C68"/>
  <c r="D68"/>
  <c r="E68"/>
  <c r="F68"/>
  <c r="G68"/>
  <c r="H68"/>
  <c r="E22"/>
  <c r="G22"/>
  <c r="I22"/>
  <c r="J22"/>
  <c r="K22"/>
  <c r="L22"/>
  <c r="M22"/>
  <c r="N22"/>
</calcChain>
</file>

<file path=xl/sharedStrings.xml><?xml version="1.0" encoding="utf-8"?>
<sst xmlns="http://schemas.openxmlformats.org/spreadsheetml/2006/main" count="503" uniqueCount="212">
  <si>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</si>
  <si>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</si>
  <si>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</si>
  <si>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</si>
  <si>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</si>
  <si>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</si>
  <si>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</si>
  <si>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</si>
  <si>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</si>
  <si>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</si>
  <si>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</si>
  <si>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</si>
  <si>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</si>
  <si>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</si>
  <si>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</si>
  <si>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</si>
  <si>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</si>
  <si>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</si>
  <si>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</si>
  <si>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</si>
  <si>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</si>
  <si>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</si>
  <si>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</si>
  <si>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</si>
  <si>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</si>
  <si>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</si>
  <si>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</si>
  <si>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</si>
  <si>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</si>
  <si>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</si>
  <si>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</si>
  <si>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</si>
  <si>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</si>
  <si>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</si>
  <si>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</si>
  <si>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</si>
  <si>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</si>
  <si>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</si>
  <si>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</si>
  <si>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</si>
  <si>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</si>
  <si>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</si>
  <si>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</si>
  <si>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</si>
  <si>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</si>
  <si>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</si>
  <si>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</si>
  <si>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</si>
  <si>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</si>
  <si>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</si>
  <si>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</si>
  <si>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</si>
  <si>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</si>
  <si>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</si>
  <si>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</si>
  <si>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</si>
  <si>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</si>
  <si>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</si>
  <si>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</si>
  <si>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</si>
  <si>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</si>
  <si>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</si>
  <si>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</si>
  <si>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</si>
  <si>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</si>
  <si>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</si>
  <si>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</si>
  <si>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</si>
  <si>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</si>
  <si>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</si>
  <si>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</si>
  <si>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</si>
  <si>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</si>
  <si>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</si>
  <si>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</si>
  <si>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</si>
  <si>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</si>
  <si>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</si>
  <si>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</si>
  <si>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</si>
  <si>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</si>
  <si>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</si>
  <si>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</si>
  <si>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</si>
  <si>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</si>
  <si>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</si>
  <si>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</si>
  <si>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</si>
  <si>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</si>
  <si>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</si>
  <si>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986</t>
  </si>
  <si>
    <t>734</t>
  </si>
  <si>
    <t>18</t>
  </si>
  <si>
    <t xml:space="preserve">ค่าเฉลี่ยการแนะนำญาติหรือคนรู้จักให้มาใช้บริการที่โรงพยาบาล  OPD = 95.91% IPD = 98.88%  </t>
  </si>
  <si>
    <t xml:space="preserve">ค่าเฉลี่ยความพึงพอใจการใช้บริการของโรงพยาบาล OPD =  84.95% IPD = 90.51%  </t>
  </si>
  <si>
    <t>ห้องบัตร ชั้น 1</t>
  </si>
  <si>
    <t>HBO</t>
  </si>
  <si>
    <t>545</t>
  </si>
  <si>
    <t>สรุปการประเมินผล OP-IP VOICE เดือนมิถุนายน 2567</t>
  </si>
  <si>
    <t xml:space="preserve"> - เป็นโรงพยาบาลขนาดใหญ่  พื้นที่ใหม่ แต่สถานที่ขึ้นโรงจอดรถ เส้นทางขับแคบ และ การออกแบบไม่ดี และยังมีการเก็บเงิน ทำไห้ไม่อยากมาใช้บริการ</t>
  </si>
  <si>
    <t xml:space="preserve"> - การรอลิฟต์นานมาก  และลิฟต์ขึ้น-ลง แปลก ทำงานเสียเวลา ซ้ำซ้อน ไม่มีการตีเส้นเข้าออกลิฟต์ที่ชัดเจน และไม่มีการต่อแถวที่เป็นระเบียบ</t>
  </si>
  <si>
    <t xml:space="preserve"> - ควรปรับปรุงนะคะ</t>
  </si>
  <si>
    <t xml:space="preserve"> - การจัดการ เช่น การรับบัตรคิว การรออาคารเปิด 8.00 น พื้นที่พักคอยนอกอาคาร การตอบคำถามและให้บริการของเจ้าหน้ารับบัตรคิว และพยาบาลคัดกรองด้านใน</t>
  </si>
  <si>
    <t xml:space="preserve"> - อยากให้มีห้องพักฟื้นที่ราคาประหยัดกว่านี้</t>
  </si>
  <si>
    <t xml:space="preserve"> - การผ่าตัดครั้งแรก นอนห้องพิเศษ แต่ไม่ได้ผ่า เพราะแพทย์น่าจะติดเคสด่วน ทำให้ไม่ได้ผ่า ต้องเสียค่าห้องพิเศษไปฟรีหนึ่งคืน มีแต่คำขอโทษ ไม่มีความรับผิดชอบอย่างอื่น</t>
  </si>
  <si>
    <t xml:space="preserve"> - ถ้าลดเรื่องระยะเวลาในการรอคอยจะดีมาก</t>
  </si>
  <si>
    <t xml:space="preserve"> - คิวนัดนาน</t>
  </si>
  <si>
    <t xml:space="preserve"> - การบริการทุกอย่าง</t>
  </si>
  <si>
    <t xml:space="preserve"> - ให้บริการช้ามากค่ะ ขั้นตอนการซัก ประวัติ ระบบคิว การรอเข้าพบคุณหมอ อยากให้ปรับปรุงให้เร็วขึ้น</t>
  </si>
  <si>
    <t xml:space="preserve"> - ที่จอดรถไม่พอ </t>
  </si>
  <si>
    <t xml:space="preserve"> - ที่จอดรถฟรีก็มีน้อย  </t>
  </si>
  <si>
    <t xml:space="preserve"> - ที่จอดรถเสียเงินทางแคบ (2)</t>
  </si>
  <si>
    <t xml:space="preserve"> - ที่จอดรถ ไม่ควรมีการเก็บเงิน</t>
  </si>
  <si>
    <t xml:space="preserve"> - จอดรถก็มีน้อย ที่จอดรถใกล้ ๆ ก็ต้องจ่ายเงิน ไม่เข้าใจทำไมต้องเสียเงินค่าที่จอดรถ ควรปรับปรุง </t>
  </si>
  <si>
    <t xml:space="preserve"> - อยากแนะนำให้แยกคิวของผู้ป่วยที่มารับฟังผล กับผู้ป่วยที่ต้องมารับการรักษา หรือผู้ที่มีนัด บางครั้งมารอฟังผลแค่นิดเดียวแต่ต้องรอพบแพทย์เป็นเวลานานมาก</t>
  </si>
  <si>
    <t xml:space="preserve"> - คำพูดของเจ้าหน้าที่ห้องจ่ายยา แลห้องการเงิน ไม่ดี</t>
  </si>
  <si>
    <t xml:space="preserve"> - รอหมอนาน (5)</t>
  </si>
  <si>
    <t xml:space="preserve"> - ขั้นตอนลำดับการลงทะเบียนดูงง และช้า</t>
  </si>
  <si>
    <t xml:space="preserve"> - ถ้ามีเครื่องให้กดบัตรคิวในขั้นตอนการตรวจสอบสิทธิ์ก็จะทำให้ไม่ต้องต่อแถว หรือกีดขวางการสัญจร</t>
  </si>
  <si>
    <t xml:space="preserve"> - พยาบาลจุดที่ 4 ควรปรับปรุงอารมณ์ตัวเองอย่างมากถึงมากที่สุด (คลินิกสูติ-นรีเวชกรรม)</t>
  </si>
  <si>
    <t xml:space="preserve"> - ไม่ควรให้คนท้องเดินไปเดินมาหลายที่</t>
  </si>
  <si>
    <t xml:space="preserve"> - อยากให้มีห้องเจาะเลือดอยู่ที่คลินิกฝากครรภ์</t>
  </si>
  <si>
    <t xml:space="preserve"> - การจัดการคิว (4)</t>
  </si>
  <si>
    <t xml:space="preserve"> - จุดลงทะเบียนควรปรับปรุง</t>
  </si>
  <si>
    <t xml:space="preserve"> - บริเวณชั้น 7 ควรมีเครื่องวัดความดันมากกว่า  1 เครื่อง</t>
  </si>
  <si>
    <t xml:space="preserve"> - การเข้าประตูใหญ่ของตึก 150 ปี มีความแออัด บุคลากรผู้ให้บริการพูดไม่ค่อยดี ไม่ไพเราะ</t>
  </si>
  <si>
    <t xml:space="preserve"> - แพทย์ไม่เพียงพอ (2)</t>
  </si>
  <si>
    <t xml:space="preserve"> - อยากให้มีเก้าอี้ที่นั่งเพิ่มเติม (คลินิกตา)</t>
  </si>
  <si>
    <t xml:space="preserve"> - รอรับยานาน (2)</t>
  </si>
  <si>
    <t xml:space="preserve"> - รอจ่ายเงินนาน</t>
  </si>
  <si>
    <t xml:space="preserve"> - ที่จอดรถลำบากมาก </t>
  </si>
  <si>
    <t xml:space="preserve"> - เจ้าหน้าที่ทุกคนที่ประจำ Dayduty ควรให้บริการหน้ากากอนามัยแก่ผู้เข้าเยี่ยมผู้ป่วย กรณีที่ผู้ป่วยร้องขอไม่ควรปฏิเสธการให้ความช่วยเหลือ (หน่วยไตเทียม) </t>
  </si>
  <si>
    <t xml:space="preserve"> - รอนาน (8)</t>
  </si>
  <si>
    <t xml:space="preserve"> - รอคิวนาน (4)</t>
  </si>
  <si>
    <t xml:space="preserve"> - ควรเพิ่มบุคลากรทางการแพทย์ เจ่าหน้าที่ให้เหมาะสมกับผู้ที่มารับบริการ (4)</t>
  </si>
  <si>
    <t xml:space="preserve"> - ควรปรับปรุงเรื่องการลงทะเบียนช่อง 12  ให้ต่อแถวเดียวทั้ง ๆ ที่มีเจ้าหน้าที่ 2 คน (คลินิกทันตกรรม)</t>
  </si>
  <si>
    <t xml:space="preserve"> - สถานที่ไม่สะดวกอยู่ไกลห่างจากตึกอื่น เวลาฝนตกหนักไม่สามารถเดินไปตึกอื่นได้เพื่อติดต่อแผนกการเงิน ลานจอดรถ หรือเข้าห้องน้ำได้  (3)</t>
  </si>
  <si>
    <t xml:space="preserve"> - อยากให้มี cover way เพื่อกันแดดกันฝนเวลาเดินจากตึกที่ลงทะเบียนมายังห้อง HBO</t>
  </si>
  <si>
    <t xml:space="preserve"> - ชุดของโรงพยาบาลมีขนาดใหญ่จนเกินไป สวมใส่ไม่สะดวก</t>
  </si>
  <si>
    <t xml:space="preserve"> - อยากให้แพทย์คอยอัพเดทอาการทุกวัน</t>
  </si>
  <si>
    <t xml:space="preserve"> - ในเรื่องของอาหาร อยากให้มีผลไม้มากกว่านี้ เพราะตั้งแต่มารักษา 1 อาทิตย์ ได้ทานผลไม้แค่ 1 ครั้ง</t>
  </si>
  <si>
    <t xml:space="preserve"> - อยากให้ห้องพักเพิ่มกาน้ำร้อน </t>
  </si>
  <si>
    <t xml:space="preserve"> - การมีเด็กไข้สูงควรได้รับการรักษาก่อน แล้วค่อยมาลงทะเบียน แต่ต้องมานั่งลงทะเบียนจนเด็กชัก</t>
  </si>
  <si>
    <t xml:space="preserve"> - ควรเพิ่มแพทย์</t>
  </si>
  <si>
    <t xml:space="preserve"> - อาหารจืดไป </t>
  </si>
  <si>
    <t xml:space="preserve"> - อาหาร </t>
  </si>
  <si>
    <t xml:space="preserve"> - บางขั้นตอนมีความล่าช้า</t>
  </si>
  <si>
    <t xml:space="preserve"> - เสียงรองเท้าและการเดินตอนกลางคืน (22A)</t>
  </si>
  <si>
    <t xml:space="preserve"> - รอใบรับรองแพทย์นานมาก</t>
  </si>
  <si>
    <t xml:space="preserve"> - คอลเซ็นเตอร์ควรปรับปรุงการพูด  ก่อนได้เข้ามาโรงพยาบาลได้โทรไปสอบถามข้อมูลกับคอลเซ็นเตอร์ พูดจาเหมือนไม่อยากทำงาน</t>
  </si>
  <si>
    <t xml:space="preserve"> - รอยานานมาก</t>
  </si>
  <si>
    <t xml:space="preserve"> - ข้าวต้มจืด และไม่ร้อน</t>
  </si>
  <si>
    <t xml:space="preserve"> - อยากให้มีการเติมสบู่ระหว่างวันที่เข้าพักเนื่องจากต้องพักฟื้นที่โรงพยาบาลเป็นเวลา 6 วัน พอไปพัก 3 วันแล้ว สบู่หมด จึงได้สอบถามจากพนักงานทำความสะอาด ได้รับการแจ้งว่า</t>
  </si>
  <si>
    <t xml:space="preserve"> - ขั้นตอนระยะเวลาในการดำเนินงานแต่ละขั้นตอนใช้เวลาค่อนข้างนาน  หากมีระบบการจัดการที่ดีกว่านี้อาจทำให้เกิดความรวดเร็ว (2)
</t>
  </si>
  <si>
    <t xml:space="preserve"> - ลิฟต์ขึ้นลงได้ช้ามาก ควรให้ลิฟต์ขึ้นลงได้ทุกตัว</t>
  </si>
  <si>
    <t xml:space="preserve"> - รายการอาหารควรเป็นไปตามที่แพทย์สั่งแต่โดยรวมก็คิดไปกับค่าห้องแล้วควรจัดส่งตามเวลา หากไม่ถูกต้องควรหักค่าอาหารมื้อนั้นออก</t>
  </si>
  <si>
    <t xml:space="preserve"> - ควรเพิ่มที่นั่งพักญาติ อยากได้เป็นเก้าอี้นั่งรอเข้าเยี่ยม (19C)</t>
  </si>
  <si>
    <t xml:space="preserve"> - ห้องพักควรแยกไฟที่ทางเดิน และไฟตรงที่นอน เวลาเปิดจะได้เลือกเปิดได้ (25A)</t>
  </si>
  <si>
    <t xml:space="preserve"> - เจ้าหน้าที่ของโรงพยาบาลควรเป็นตัวอย่างที่ดีในการใช้ลิฟต์</t>
  </si>
  <si>
    <t xml:space="preserve"> - การจัดวางอุปกรณ์ในห้อง เช่น ไมโครเวฟวางติดอยู่กับอ่างล้างจาน  ดูแล้วไม่ปลอดภัย (26B)</t>
  </si>
  <si>
    <t xml:space="preserve"> - ด้านนอกช่วยลดเสียงในช่วงกลางคืนหน่อยค่ะ (26B)</t>
  </si>
  <si>
    <t xml:space="preserve"> - ห้องเก่า ตึกเก่า มีต้นโพธิ์เกิดบนตึก น่ากลัวมาก (สว่างวัฒนา)</t>
  </si>
  <si>
    <t>อันดับ 2 อุปกรณ์ เครื่องมือ และสถานที่ไม่สมบูรณ์ (OPD : 23  IPD : 10 )</t>
  </si>
  <si>
    <t>อันดับ 1 การให้บริการโดยรวม (OPD : 29  IPD : 25 )</t>
  </si>
  <si>
    <t>อันดับ 3 การทำงานและพฤติกรรมของบุคลากร (OPD : 6  IPD : 4 )</t>
  </si>
  <si>
    <t xml:space="preserve"> - ที่ลงทะเบียนเช็คสิทธิ์อยู่ไกลจจากห้อง HBO</t>
  </si>
  <si>
    <t xml:space="preserve">                                                                                                                                                                                  </t>
  </si>
  <si>
    <t xml:space="preserve"> - ห้องน้ำไกลจากที่รักษามากลำบากสำหรับผู้ป่วยที่ต้องอยู่ในแคปซูลเป็นเวลานาน </t>
  </si>
  <si>
    <t xml:space="preserve"> - บริเวณหน้าห้องลงทะเบียนอากาศถ่ายเทไม่สะดวก  ผู้ป่วยจะเป็นลม แออัด ไม่เหมาะกับผู้สูงอายุ ที่นั่งไม่เพียงพอ  สถานที่คับแคบ ควรปรับปรุง (คลินิกเบาหวาน ไทรอยด์ ต่อมไร้ท่อ)</t>
  </si>
  <si>
    <t xml:space="preserve"> - แผนกคัดกรองมีความล่าช้าในการการทำงาน เคสฉุกเฉินแต่ทำงานล่าช้ามาก ผู้ป่วยอาการหนักควรรีบส่งตัวให้เร็วที่สุด</t>
  </si>
  <si>
    <t xml:space="preserve"> - อยากให้ปิดไฟตอนกลางคืน ผู้ป่วยนอนไม่หลับ (19B)</t>
  </si>
  <si>
    <t xml:space="preserve"> - ห้องผู้ป่วยไม่ควรปรับแอร์ให้เย็นเกินไปเพราะจะทำให้เป็นไข้ได้ (19C)</t>
  </si>
  <si>
    <t xml:space="preserve"> - ควรเพิ่มเจ้าหน้าที่แนะนำสำหรับผู้มาใหม่ หรือป้ายแนะนำแต่ชั้นแรก การรับบัตรคิว รอเรียกคิว ตรวจความดัน</t>
  </si>
  <si>
    <t xml:space="preserve"> - อาคาร 100 ปี  ร้อนมาก ๆ</t>
  </si>
  <si>
    <t xml:space="preserve"> - ร้านอาหารในโรงพยาบาลน่าจะมีสัก 2-3 ชั้น เพราะไม่พอกับประชาชนค่ะ</t>
  </si>
  <si>
    <t xml:space="preserve"> - ควรมีหน้าจอโทรทัศน์ที่คอยบอกคิวให้ทราบ เพื่อที่ผู้ป่วยจะได้ทราบคิวของตนเอง</t>
  </si>
  <si>
    <t xml:space="preserve"> - อยากให้มีห้องน้ำด้านในห้อง HBO เพราะผู้ป่วยต้องอยู่ในแคปซูลนานและระหว่างอยู่ในแคปซูลก็ต้องจิบน้ำ ทำให้กั้นปัสสาวะ และไปเข้าห้องน้ำที่อื่นไม่ทัน (3)</t>
  </si>
  <si>
    <t xml:space="preserve"> - รอเตียงผู้ป่วยนานเกินสมควร ประมาณ 7 ชั่วโมง เริ่มลงทะเบียน 12.00 น. ได้เตียง 19.00 น.</t>
  </si>
  <si>
    <t xml:space="preserve"> - ให้งดน้ำงดอาหารนานเกินไปเกือบ 38 ชั่วโมง  ปกติ 24 ชั่วโมง ก็เพียงพอแล้ว</t>
  </si>
  <si>
    <t xml:space="preserve"> - นั่งรอแพทย์นานมากพยาบาลแจ้งว่าวันนี้ (28 มิ.ย. 67 มาตั้งแต่เวลา 10.30 น. ณ เวลานี้1 5.20 น.) พยาบาลพึ่งแจ้งว่าไม่สามารถพบแพทย์เพื่อฉีดวัคซีนไข้เลือดออกได้ 
   </t>
  </si>
  <si>
    <t xml:space="preserve">   ทั้งที่ไม่น่าจะต้องใช้เวลามากมายนัก ผู้ป่วยต้องเสียเวลา เสียเงินจ่ายค่านอกเวลาอีก ควรปรับปรุงอย่างมากนะคะ</t>
  </si>
  <si>
    <t xml:space="preserve"> - เรื่องใบรับรองแพทย์ค่ะ เพราะบางบริษัทจะไม่รับใบรับรองแพทย์หากใบรับรองแพทย์ ไม่ระบุชัดเจนว่าเห็นสมควรให้หยุดพักรักษา มีกำหนด 1  วัน ระบุวันที่ ไปเลย 29 พ.ค 2567 
   </t>
  </si>
  <si>
    <t xml:space="preserve">   ในส่วนที่ไม่ระบุ พอสอบถามบุคลากรก็จะได้คำตอบกลับมาว่า เป็นฟอร์มที่อยู่ในคอมพิวเตอร์ไม่สามารถแก้ไขได้ซึ่งเป็นปัญหาที่เจอประจำแต่ก็ไม่ได้รับการแก้ไขแต่อย่างไร</t>
  </si>
  <si>
    <t xml:space="preserve"> - มารอตั้งแต่ 05.00 น. ได้กลับบ้าน 21.30 น. บริการล่าช้ามาก เลยได้ทำการย้ายสิทธิ์ตรวจไปที่อื่นแล้ว ไปโรงพยาบาลที่ไหนไม่เคยรอนานขนาดนี้เลย แถมยังไม่ได้พบแพทย์เฉพาะทางเลย </t>
  </si>
  <si>
    <t xml:space="preserve">   รู้สึกแย่มาก ๆ</t>
  </si>
  <si>
    <t xml:space="preserve"> - สิ่งที่ต้องปรับปรุง กรณีผู้ป่วยมาหาหมอในช่วงเวลา หลัง 17.00 น. พยาบาลและเจ้าหน้าที่คอยรับรองผู้ป่วยอยู่ด้านล่างจะไล่ให้ผู้ป่วยกลับไปหาหมอที่ศูนย์บริการประกันสังคม ทั้ง ๆ 
   </t>
  </si>
  <si>
    <t xml:space="preserve">   ที่โรงพยาบาลก็เปิดคลินิกนอกเวลาให้ผู้ป่วยเข้ามาหาหมอที่โรงพยาบาล และอีกอย่างต้องปรับปรุงคือกิริยาท่าทางคำพูดที่พูดกับผู้ป่วย พยาบาลที่คอยรับผู้ป่วยชั้น 1 ของคลินิกนอกเวลา</t>
  </si>
  <si>
    <t xml:space="preserve"> - ควรแก้ไขปรับปรุงระบบให้ดีกว่านี้นะคะ  เป็นผู้ป่วยคลินิกพิเศษเฉพาะทางนอกเวลาแต่กลับต้องไปตรวจแบบในเวลาซึ่งช้ามากแทนที่จะได้คิวผ่าตัด สมควรจะแยกผู้ป่วยคลินิกพิเศษ</t>
  </si>
  <si>
    <t xml:space="preserve">   และผู้ป่วยทั่วไปค่ะ</t>
  </si>
  <si>
    <t xml:space="preserve"> - ไม่เคยได้พบแพทย์ท่านเดิม มาทุกครั้งเหมือนเริ่มต้นการรักษาใหม่ทุกครั้ง ป่วยเป็นไทรอยด์เป็นพิษ แพทย์แต่ละท่านพูดจาไปคนละทิศทาง ต้องคอยถามแนวทางการรักษาเองอยู่ตลอด  
   </t>
  </si>
  <si>
    <t xml:space="preserve">   ไม่ได้รับคำแนะนำที่ดี อยากจะขอเปลี่ยนการรักษากับหมอเฉพาะทางก็ไม่ได้ ท้อแท้กับชีวิตตลอดเวลาที่ต้องมาหาหมอที่นี่</t>
  </si>
  <si>
    <t xml:space="preserve">   บาดเจ็บร่างกายเพียงพอแล้วอย่าต้องมาปวดใจ กับการบริการเเย่ ๆ อีกค่ะ ควรสนใจผู้ป่วยมากกว่านั่งคุยเรื่องอื่นนะคะ</t>
  </si>
  <si>
    <t xml:space="preserve"> - ชั้น 2 ห้อง CT SCAN ไม่น่ารัก ผู้ป่วยเข้าห้องผิดจริงค่ะ จะไปห้องเอกชเรย์แต่เดินเข้าห้องนี้ก่อน เจ้าหน้าที่ส่งเอกสารคืนแบบไม่พอใจ จนเอกสารตกลงมาจากโต๊ะโดยไม่แจ้งว่าไม่ใช่ห้องนี้ </t>
  </si>
  <si>
    <t xml:space="preserve">   เอาแต่คุยกัน สามรถดูกล้อง CCTV ห้อง CT scan เวลา 13.40 โดยประมาณค่ะ อยากให้ทางโรงพยาบาลได้ช่วยตักเตือน พฤติกกรรมของเจ้าหน้าที่ด้วยนะคะ ไม่น่ารักเลยค่ะ</t>
  </si>
  <si>
    <t xml:space="preserve"> - ทำไมถึงไม่มีเลือดให้บริการ  อยากสอบถามศูนย์บริจาคโลหิตว่ามีระบบการจัดการอย่างไร 2 เดือนที่ผ่านมาเห็นผู้ป่วยมารับเลือดไม่ได้เลือดเลย ตั้งแต่ใช้บริการมา 40 ปีไม่เคยเจอ</t>
  </si>
  <si>
    <t xml:space="preserve">   สภากาชาดขาดแคลนแบบนี้ ไม่ทราบว่าจะลงมือแก้ไขได้หรือยัง เดินทางมารับบริการมีความลำบากค่ะ คุณหมอและพยาบาลก็ทำงานโหลดมากนะคะ จัดการสวัสดิการและหาเลือด</t>
  </si>
  <si>
    <t xml:space="preserve">   ออกรับบริจาคซักอย่างไหมคะหวังว่าจะได้เห็น ความเปลี่ยนแปลง</t>
  </si>
  <si>
    <t xml:space="preserve"> - เรื่องการประสานงานของเจ้าหน้าที่ล่าช้าไม่มีการมอบหมายที่ชัดเจนผู้ช่วยหน้าเคาน์เตอร์หรือบุคลากรน้อยจนเกินไป  ควรมีบุคลากรเพิ่มเนื่องจากผู้ป่วยมีจำนวนมากกว่าบุคลากร </t>
  </si>
  <si>
    <t xml:space="preserve">   ต้องมานั่งรอนานจนเกินไป อยากให้ทางโรงพยาบาลเพิ่มจำนวนบุคลากรเพื่อให้ผู้ป่วยไม่ต้องรอนาน</t>
  </si>
  <si>
    <t xml:space="preserve"> - ห้อง HBO ควรปรับปรุงให้มีความเป็นสัดส่วนมากขึ้นกว้างขึ้นและแยกโซนอย่างชัดเจน ควรมีโซนที่ใช้รองรับแขกหรือญาติผู้ป่วยและโซนสำหรับผู้ป่วยเข้าใช้บริการแยกกัน และ</t>
  </si>
  <si>
    <t xml:space="preserve">   ควรมีห้องของหมอ เพื่อเป็นการส่วนตัวในการซักถามประวัติข้อมูลบางอย่างที่ผู้ป่วยไม่สะดวกที่จะให้ผู้อื่นรับฟัง (3)</t>
  </si>
  <si>
    <t xml:space="preserve"> - อยากให้มีห้องเปลี่ยนชุด ที่มีความมิดชิดมากกว่านี้ และสามารถล็อคห้องได้ระหว่างเปลี่ยนชุด (ห้อง HBO)</t>
  </si>
  <si>
    <t xml:space="preserve"> - อยากให้แพทย์บอกแนวทาง ระยะเวลาการรอคอยให้ชัดเจนกว่านี้ เช่น การให้อดอาหารทั้งวัน แล้วเริ่มทานได้ตอน 2 ทุ่ม แต่เลยระยะเวลาเยี่ยม ญาติกลับบ้านทำให้ไม่มีอาหารให้ผู้ป่วยจน</t>
  </si>
  <si>
    <t xml:space="preserve">   ปวดท้อง</t>
  </si>
  <si>
    <t xml:space="preserve"> - วันที่เข้ามารับห้องพิเศษที่จองไว้ เห็นคุณพ่อคุณแม่คู่หนึ่งได้เข้ารอด้านในตึกขณะที่โรงพยาบาลยังไม่เปิดให้รับบริการ มาทราบภายหลังว่าเป็นเจ้าหน้าที่ของทางโรงพยาบาล</t>
  </si>
  <si>
    <t xml:space="preserve">   ที่มาใช้บริการคลอดลูกเหมือนกันรู้สึกแปลกใจเล็กน้อยที่ท่านอื่นต้องรอด้านนอกอาคารตามกฎของโรงพยาบาลแต่เจ้าหน้าที่กลับได้นั่งรอด้านในเลย </t>
  </si>
  <si>
    <t xml:space="preserve">   ไม่ได้เข้ามาเทคแคร์ผู้ป่วยเท่าที่ควรเช่น เรื่องของผ้าอนามัย และเรื่องการทำความสะอาด</t>
  </si>
  <si>
    <t xml:space="preserve"> - เจ้าหน้าที่มีความใส่ใจน้อยเมื่อเทียบกับโรงพยาบาลเอกชน ไม่มีความคิดถึงใจเขาใจเรา เช่น มีการเปิดปิดประตูเสียงดัง  เข้ามาก็เปิดไฟในตอนดึก ในระหว่างรักษา </t>
  </si>
  <si>
    <t xml:space="preserve"> - เวลาอาหารเช้ามาส่ง ผู้ป่วยรับประทานได้ไม่ถึง 10 นาที แพทย์ก็มาตรวจ พยาบาลก็เข้ามาทำแผล ผู้ป่วยก็ต้องหยุดรับประทานอาหาร ทำให้ขาดช่วงรับประทานอาหาร และดื่มน้ำได้น้อย</t>
  </si>
  <si>
    <t xml:space="preserve"> - ที่ควรปรับปรุงคือ ความสะอาดในห้องน้ำค่ะ ห้องน้ำมีคราบ เหลือง เลอะเทอะ และมีรา ที่กระเบื้องผนัง แต่พอแจ้งพนักงานทำความสะอาด พนักงานรับทราบ และขัดทำความสะอาด </t>
  </si>
  <si>
    <t xml:space="preserve">   ให้ทันทีค่ะ ขอบคุณค่ะ (พนักงานควรจะทำตั้งแต่ ผู้ป่วยคนก่อนเช็คออกแล้ว ทิ้งนานขึ้นคราบจะยิ่งเกาะ ทำให้ยากต่อการทำความสะอาด) (25A)</t>
  </si>
  <si>
    <t xml:space="preserve">   ไม่มีการเติมระหว่างเข้าพัก ปกติจะมีการเปลี่ยน / เติม เฉพาะให้กับผู้ป่วยที่มาพักใหม่เท่านั้น (23A)</t>
  </si>
</sst>
</file>

<file path=xl/styles.xml><?xml version="1.0" encoding="utf-8"?>
<styleSheet xmlns="http://schemas.openxmlformats.org/spreadsheetml/2006/main">
  <numFmts count="1">
    <numFmt numFmtId="164" formatCode="###0.00"/>
  </numFmts>
  <fonts count="31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0" borderId="0"/>
    <xf numFmtId="0" fontId="22" fillId="0" borderId="0"/>
    <xf numFmtId="0" fontId="21" fillId="0" borderId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8" fillId="0" borderId="1" xfId="11" applyNumberFormat="1" applyFont="1" applyBorder="1" applyAlignment="1">
      <alignment horizontal="center" vertical="center"/>
    </xf>
    <xf numFmtId="164" fontId="18" fillId="0" borderId="1" xfId="13" applyNumberFormat="1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2" fontId="20" fillId="6" borderId="1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4" fillId="0" borderId="7" xfId="16" applyFont="1" applyBorder="1" applyAlignment="1">
      <alignment horizontal="center" vertical="center"/>
    </xf>
    <xf numFmtId="0" fontId="24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64" fontId="18" fillId="7" borderId="1" xfId="14" applyNumberFormat="1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 wrapText="1"/>
    </xf>
    <xf numFmtId="164" fontId="18" fillId="7" borderId="1" xfId="12" applyNumberFormat="1" applyFont="1" applyFill="1" applyBorder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2" fontId="18" fillId="6" borderId="1" xfId="14" applyNumberFormat="1" applyFont="1" applyFill="1" applyBorder="1" applyAlignment="1">
      <alignment horizontal="center" vertical="center" wrapText="1"/>
    </xf>
    <xf numFmtId="164" fontId="16" fillId="7" borderId="4" xfId="10" applyNumberFormat="1" applyFill="1" applyBorder="1" applyAlignment="1">
      <alignment horizontal="center" vertical="center"/>
    </xf>
    <xf numFmtId="2" fontId="18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64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6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64" fontId="18" fillId="0" borderId="1" xfId="12" applyNumberFormat="1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7" fillId="6" borderId="1" xfId="14" applyNumberFormat="1" applyFont="1" applyFill="1" applyBorder="1" applyAlignment="1">
      <alignment horizontal="center" vertical="center" wrapText="1"/>
    </xf>
    <xf numFmtId="2" fontId="28" fillId="6" borderId="1" xfId="0" applyNumberFormat="1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26" fillId="0" borderId="1" xfId="11" applyNumberFormat="1" applyFont="1" applyBorder="1" applyAlignment="1">
      <alignment horizontal="center" vertical="center"/>
    </xf>
    <xf numFmtId="164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top" wrapTex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 wrapText="1" shrinkToFit="1"/>
    </xf>
    <xf numFmtId="49" fontId="25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vertical="top"/>
    </xf>
    <xf numFmtId="49" fontId="25" fillId="0" borderId="0" xfId="0" applyNumberFormat="1" applyFont="1" applyAlignment="1">
      <alignment horizontal="left" vertical="top" wrapText="1"/>
    </xf>
    <xf numFmtId="49" fontId="2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13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49" fontId="5" fillId="0" borderId="0" xfId="0" quotePrefix="1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vertical="top"/>
    </xf>
    <xf numFmtId="49" fontId="25" fillId="0" borderId="0" xfId="0" applyNumberFormat="1" applyFont="1" applyAlignment="1">
      <alignment horizontal="left" vertical="top"/>
    </xf>
    <xf numFmtId="49" fontId="5" fillId="0" borderId="0" xfId="0" quotePrefix="1" applyNumberFormat="1" applyFont="1" applyAlignment="1">
      <alignment horizontal="left" vertical="top"/>
    </xf>
  </cellXfs>
  <cellStyles count="18">
    <cellStyle name="Normal" xfId="0" builtinId="0"/>
    <cellStyle name="Normal_IPD November" xfId="12"/>
    <cellStyle name="Normal_IPD_1" xfId="13"/>
    <cellStyle name="Normal_OPD August" xfId="11"/>
    <cellStyle name="Normal_OPD July" xfId="10"/>
    <cellStyle name="Normal_OPD_1" xfId="14"/>
    <cellStyle name="style1683707694983" xfId="1"/>
    <cellStyle name="style1683707695268" xfId="2"/>
    <cellStyle name="style1683707695497" xfId="3"/>
    <cellStyle name="style1683873781043" xfId="4"/>
    <cellStyle name="style1683873781293" xfId="5"/>
    <cellStyle name="style1683873781509" xfId="6"/>
    <cellStyle name="style1690951585398" xfId="8"/>
    <cellStyle name="style1690951585625" xfId="9"/>
    <cellStyle name="style1690951585802" xfId="7"/>
    <cellStyle name="ปกติ 2" xfId="16"/>
    <cellStyle name="ปกติ 3" xfId="17"/>
    <cellStyle name="ปกติ 4" xfId="1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5"/>
  <sheetViews>
    <sheetView topLeftCell="A73" zoomScale="85" zoomScaleNormal="85" zoomScaleSheetLayoutView="80" workbookViewId="0">
      <selection activeCell="L62" sqref="L62"/>
    </sheetView>
  </sheetViews>
  <sheetFormatPr defaultColWidth="9" defaultRowHeight="21.1"/>
  <cols>
    <col min="1" max="1" width="62.62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8" width="9" style="3"/>
    <col min="9" max="9" width="9" style="3" customWidth="1"/>
    <col min="10" max="10" width="9.625" style="3" customWidth="1"/>
    <col min="11" max="12" width="9" style="3"/>
    <col min="13" max="14" width="9" style="3" customWidth="1"/>
    <col min="15" max="16384" width="9" style="3"/>
  </cols>
  <sheetData>
    <row r="1" spans="1:17" s="14" customFormat="1" ht="42.8" customHeight="1">
      <c r="A1" s="89" t="s">
        <v>98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7" s="14" customFormat="1" ht="18.350000000000001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7" s="2" customFormat="1" ht="54.7" customHeight="1">
      <c r="A3" s="6" t="s">
        <v>0</v>
      </c>
      <c r="B3" s="86" t="s">
        <v>87</v>
      </c>
      <c r="C3" s="86" t="s">
        <v>95</v>
      </c>
      <c r="D3" s="86" t="s">
        <v>85</v>
      </c>
      <c r="E3" s="1" t="s">
        <v>2</v>
      </c>
      <c r="F3" s="1" t="s">
        <v>74</v>
      </c>
      <c r="G3" s="1" t="s">
        <v>80</v>
      </c>
      <c r="H3" s="1" t="s">
        <v>75</v>
      </c>
      <c r="I3" s="1" t="s">
        <v>3</v>
      </c>
      <c r="J3" s="1" t="s">
        <v>4</v>
      </c>
      <c r="K3" s="1" t="s">
        <v>77</v>
      </c>
      <c r="L3" s="1" t="s">
        <v>66</v>
      </c>
      <c r="M3" s="1" t="s">
        <v>58</v>
      </c>
      <c r="N3" s="1" t="s">
        <v>5</v>
      </c>
      <c r="O3" s="1" t="s">
        <v>82</v>
      </c>
      <c r="P3" s="1" t="s">
        <v>78</v>
      </c>
      <c r="Q3" s="1" t="s">
        <v>86</v>
      </c>
    </row>
    <row r="4" spans="1:17" s="82" customFormat="1" ht="24.8" customHeight="1">
      <c r="A4" s="79" t="s">
        <v>9</v>
      </c>
      <c r="B4" s="26">
        <v>4</v>
      </c>
      <c r="C4" s="26">
        <v>7</v>
      </c>
      <c r="D4" s="80" t="s">
        <v>83</v>
      </c>
      <c r="E4" s="81">
        <v>114</v>
      </c>
      <c r="F4" s="80">
        <v>7</v>
      </c>
      <c r="G4" s="80">
        <v>103</v>
      </c>
      <c r="H4" s="80" t="s">
        <v>83</v>
      </c>
      <c r="I4" s="80">
        <v>22</v>
      </c>
      <c r="J4" s="80">
        <v>29</v>
      </c>
      <c r="K4" s="80">
        <v>50</v>
      </c>
      <c r="L4" s="80">
        <v>9</v>
      </c>
      <c r="M4" s="80">
        <v>36</v>
      </c>
      <c r="N4" s="80">
        <v>103</v>
      </c>
      <c r="O4" s="80">
        <v>26</v>
      </c>
      <c r="P4" s="80">
        <v>3</v>
      </c>
      <c r="Q4" s="80" t="s">
        <v>83</v>
      </c>
    </row>
    <row r="5" spans="1:17" s="2" customFormat="1" ht="23.95" customHeight="1">
      <c r="A5" s="8" t="s">
        <v>26</v>
      </c>
      <c r="B5" s="25">
        <v>3.75</v>
      </c>
      <c r="C5" s="25">
        <v>3.2857142857142856</v>
      </c>
      <c r="D5" s="60" t="s">
        <v>83</v>
      </c>
      <c r="E5" s="31">
        <v>4.1929824561403501</v>
      </c>
      <c r="F5" s="74">
        <v>5</v>
      </c>
      <c r="G5" s="25">
        <v>3.9029126213592198</v>
      </c>
      <c r="H5" s="60" t="s">
        <v>83</v>
      </c>
      <c r="I5" s="21">
        <v>4.4999999999999991</v>
      </c>
      <c r="J5" s="21">
        <v>4.6896551724137927</v>
      </c>
      <c r="K5" s="21">
        <v>3.9</v>
      </c>
      <c r="L5" s="21">
        <v>4.2222222222222223</v>
      </c>
      <c r="M5" s="21">
        <v>4.3611111111111107</v>
      </c>
      <c r="N5" s="21">
        <v>4.2815533980582519</v>
      </c>
      <c r="O5" s="25">
        <v>4.5769230769230766</v>
      </c>
      <c r="P5" s="74">
        <v>4.333333333333333</v>
      </c>
      <c r="Q5" s="60" t="s">
        <v>83</v>
      </c>
    </row>
    <row r="6" spans="1:17" s="2" customFormat="1" ht="23.95" customHeight="1">
      <c r="A6" s="8" t="s">
        <v>59</v>
      </c>
      <c r="B6" s="25">
        <v>3.75</v>
      </c>
      <c r="C6" s="25">
        <v>3.4285714285714288</v>
      </c>
      <c r="D6" s="60" t="s">
        <v>83</v>
      </c>
      <c r="E6" s="31">
        <v>4.2017543859649118</v>
      </c>
      <c r="F6" s="74">
        <v>5</v>
      </c>
      <c r="G6" s="25">
        <v>3.8640776699029136</v>
      </c>
      <c r="H6" s="60" t="s">
        <v>83</v>
      </c>
      <c r="I6" s="21">
        <v>4.5</v>
      </c>
      <c r="J6" s="21">
        <v>4.7586206896551726</v>
      </c>
      <c r="K6" s="21">
        <v>4.0400000000000009</v>
      </c>
      <c r="L6" s="21">
        <v>4.333333333333333</v>
      </c>
      <c r="M6" s="21">
        <v>4.4444444444444438</v>
      </c>
      <c r="N6" s="21">
        <v>4.3786407766990276</v>
      </c>
      <c r="O6" s="25">
        <v>4.4615384615384617</v>
      </c>
      <c r="P6" s="74">
        <v>4.333333333333333</v>
      </c>
      <c r="Q6" s="60" t="s">
        <v>83</v>
      </c>
    </row>
    <row r="7" spans="1:17" s="2" customFormat="1" ht="23.95" customHeight="1">
      <c r="A7" s="8" t="s">
        <v>60</v>
      </c>
      <c r="B7" s="25">
        <v>3.5</v>
      </c>
      <c r="C7" s="25">
        <v>3.1428571428571428</v>
      </c>
      <c r="D7" s="60" t="s">
        <v>83</v>
      </c>
      <c r="E7" s="31">
        <v>4.1754385964912251</v>
      </c>
      <c r="F7" s="74">
        <v>4.8571428571428568</v>
      </c>
      <c r="G7" s="25">
        <v>3.8640776699029122</v>
      </c>
      <c r="H7" s="60" t="s">
        <v>83</v>
      </c>
      <c r="I7" s="21">
        <v>4.3181818181818183</v>
      </c>
      <c r="J7" s="21">
        <v>4.8275862068965516</v>
      </c>
      <c r="K7" s="21">
        <v>4.0599999999999996</v>
      </c>
      <c r="L7" s="21">
        <v>4.2222222222222223</v>
      </c>
      <c r="M7" s="21">
        <v>4.3888888888888893</v>
      </c>
      <c r="N7" s="21">
        <v>4.3592233009708732</v>
      </c>
      <c r="O7" s="25">
        <v>4.5384615384615392</v>
      </c>
      <c r="P7" s="74">
        <v>4.333333333333333</v>
      </c>
      <c r="Q7" s="60" t="s">
        <v>83</v>
      </c>
    </row>
    <row r="8" spans="1:17" s="2" customFormat="1" ht="23.95" customHeight="1">
      <c r="A8" s="8" t="s">
        <v>10</v>
      </c>
      <c r="B8" s="25">
        <v>3.75</v>
      </c>
      <c r="C8" s="25">
        <v>3.2857142857142856</v>
      </c>
      <c r="D8" s="60" t="s">
        <v>83</v>
      </c>
      <c r="E8" s="31">
        <v>4.1666666666666661</v>
      </c>
      <c r="F8" s="74">
        <v>5</v>
      </c>
      <c r="G8" s="25">
        <v>3.9417475728155331</v>
      </c>
      <c r="H8" s="60" t="s">
        <v>83</v>
      </c>
      <c r="I8" s="21">
        <v>4.4090909090909083</v>
      </c>
      <c r="J8" s="21">
        <v>4.7241379310344813</v>
      </c>
      <c r="K8" s="21">
        <v>4</v>
      </c>
      <c r="L8" s="21">
        <v>4.2222222222222223</v>
      </c>
      <c r="M8" s="21">
        <v>4.3611111111111107</v>
      </c>
      <c r="N8" s="21">
        <v>4.6893203883495147</v>
      </c>
      <c r="O8" s="25">
        <v>4.5</v>
      </c>
      <c r="P8" s="74">
        <v>4</v>
      </c>
      <c r="Q8" s="60" t="s">
        <v>83</v>
      </c>
    </row>
    <row r="9" spans="1:17" s="2" customFormat="1" ht="23.95" customHeight="1">
      <c r="A9" s="8" t="s">
        <v>11</v>
      </c>
      <c r="B9" s="25">
        <v>2.75</v>
      </c>
      <c r="C9" s="25">
        <v>2.8571428571428572</v>
      </c>
      <c r="D9" s="60" t="s">
        <v>83</v>
      </c>
      <c r="E9" s="31">
        <v>4.1228070175438596</v>
      </c>
      <c r="F9" s="74">
        <v>4.1428571428571432</v>
      </c>
      <c r="G9" s="25">
        <v>3.8349514563106801</v>
      </c>
      <c r="H9" s="60" t="s">
        <v>83</v>
      </c>
      <c r="I9" s="21">
        <v>4.1363636363636358</v>
      </c>
      <c r="J9" s="21">
        <v>4.6206896551724119</v>
      </c>
      <c r="K9" s="21">
        <v>3.6200000000000006</v>
      </c>
      <c r="L9" s="21">
        <v>4.1111111111111107</v>
      </c>
      <c r="M9" s="21">
        <v>4.0277777777777786</v>
      </c>
      <c r="N9" s="21">
        <v>4.2815533980582519</v>
      </c>
      <c r="O9" s="25">
        <v>4.3461538461538467</v>
      </c>
      <c r="P9" s="74">
        <v>4</v>
      </c>
      <c r="Q9" s="60" t="s">
        <v>83</v>
      </c>
    </row>
    <row r="10" spans="1:17" s="2" customFormat="1" ht="23.95" customHeight="1">
      <c r="A10" s="8" t="s">
        <v>12</v>
      </c>
      <c r="B10" s="25">
        <v>2.75</v>
      </c>
      <c r="C10" s="25">
        <v>2.5714285714285712</v>
      </c>
      <c r="D10" s="60" t="s">
        <v>83</v>
      </c>
      <c r="E10" s="31">
        <v>4.1315789473684204</v>
      </c>
      <c r="F10" s="74">
        <v>4.1428571428571432</v>
      </c>
      <c r="G10" s="25">
        <v>3.8737864077669912</v>
      </c>
      <c r="H10" s="60" t="s">
        <v>83</v>
      </c>
      <c r="I10" s="21">
        <v>4.2272727272727275</v>
      </c>
      <c r="J10" s="21">
        <v>4.6551724137931032</v>
      </c>
      <c r="K10" s="21">
        <v>3.6800000000000006</v>
      </c>
      <c r="L10" s="21">
        <v>4.2222222222222223</v>
      </c>
      <c r="M10" s="21">
        <v>4.1944444444444438</v>
      </c>
      <c r="N10" s="21">
        <v>4.3592233009708741</v>
      </c>
      <c r="O10" s="25">
        <v>4.5</v>
      </c>
      <c r="P10" s="74">
        <v>4.333333333333333</v>
      </c>
      <c r="Q10" s="60" t="s">
        <v>83</v>
      </c>
    </row>
    <row r="11" spans="1:17" s="2" customFormat="1" ht="23.95" customHeight="1">
      <c r="A11" s="8" t="s">
        <v>13</v>
      </c>
      <c r="B11" s="25">
        <v>2.75</v>
      </c>
      <c r="C11" s="25">
        <v>3</v>
      </c>
      <c r="D11" s="60" t="s">
        <v>83</v>
      </c>
      <c r="E11" s="31">
        <v>4.2017543859649127</v>
      </c>
      <c r="F11" s="74">
        <v>4.2857142857142865</v>
      </c>
      <c r="G11" s="25">
        <v>3.805825242718448</v>
      </c>
      <c r="H11" s="60" t="s">
        <v>83</v>
      </c>
      <c r="I11" s="21">
        <v>4.2727272727272716</v>
      </c>
      <c r="J11" s="21">
        <v>4.6896551724137936</v>
      </c>
      <c r="K11" s="21">
        <v>3.6799999999999993</v>
      </c>
      <c r="L11" s="21">
        <v>4.2222222222222223</v>
      </c>
      <c r="M11" s="21">
        <v>4.333333333333333</v>
      </c>
      <c r="N11" s="21">
        <v>4.2621359223300974</v>
      </c>
      <c r="O11" s="25">
        <v>4.5384615384615392</v>
      </c>
      <c r="P11" s="74">
        <v>4</v>
      </c>
      <c r="Q11" s="60" t="s">
        <v>83</v>
      </c>
    </row>
    <row r="12" spans="1:17" s="2" customFormat="1" ht="23.95" customHeight="1">
      <c r="A12" s="8" t="s">
        <v>14</v>
      </c>
      <c r="B12" s="25">
        <v>3</v>
      </c>
      <c r="C12" s="25">
        <v>3</v>
      </c>
      <c r="D12" s="60" t="s">
        <v>83</v>
      </c>
      <c r="E12" s="31">
        <v>4.2456140350877183</v>
      </c>
      <c r="F12" s="74">
        <v>4.7142857142857135</v>
      </c>
      <c r="G12" s="25">
        <v>3.7864077669902918</v>
      </c>
      <c r="H12" s="60" t="s">
        <v>83</v>
      </c>
      <c r="I12" s="21">
        <v>4.3181818181818183</v>
      </c>
      <c r="J12" s="21">
        <v>4.724137931034484</v>
      </c>
      <c r="K12" s="21">
        <v>3.9399999999999995</v>
      </c>
      <c r="L12" s="21">
        <v>4</v>
      </c>
      <c r="M12" s="21">
        <v>4.4444444444444429</v>
      </c>
      <c r="N12" s="21">
        <v>4.3203883495145625</v>
      </c>
      <c r="O12" s="25">
        <v>4.3846153846153868</v>
      </c>
      <c r="P12" s="74">
        <v>4.333333333333333</v>
      </c>
      <c r="Q12" s="60" t="s">
        <v>83</v>
      </c>
    </row>
    <row r="13" spans="1:17" s="2" customFormat="1" ht="23.95" customHeight="1">
      <c r="A13" s="8" t="s">
        <v>15</v>
      </c>
      <c r="B13" s="25">
        <v>2.75</v>
      </c>
      <c r="C13" s="25">
        <v>3</v>
      </c>
      <c r="D13" s="60" t="s">
        <v>83</v>
      </c>
      <c r="E13" s="31">
        <v>4.2543859649122782</v>
      </c>
      <c r="F13" s="74">
        <v>4.7142857142857135</v>
      </c>
      <c r="G13" s="25">
        <v>3.9805825242718447</v>
      </c>
      <c r="H13" s="60" t="s">
        <v>83</v>
      </c>
      <c r="I13" s="21">
        <v>4.4545454545454559</v>
      </c>
      <c r="J13" s="21">
        <v>4.7586206896551735</v>
      </c>
      <c r="K13" s="21">
        <v>3.9200000000000004</v>
      </c>
      <c r="L13" s="21">
        <v>4.2222222222222223</v>
      </c>
      <c r="M13" s="21">
        <v>4.2222222222222223</v>
      </c>
      <c r="N13" s="21">
        <v>4.368932038834954</v>
      </c>
      <c r="O13" s="25">
        <v>4.5384615384615383</v>
      </c>
      <c r="P13" s="74">
        <v>4.333333333333333</v>
      </c>
      <c r="Q13" s="60" t="s">
        <v>83</v>
      </c>
    </row>
    <row r="14" spans="1:17" s="2" customFormat="1" ht="23.95" customHeight="1">
      <c r="A14" s="8" t="s">
        <v>16</v>
      </c>
      <c r="B14" s="25">
        <v>2.75</v>
      </c>
      <c r="C14" s="25">
        <v>3</v>
      </c>
      <c r="D14" s="60" t="s">
        <v>83</v>
      </c>
      <c r="E14" s="31">
        <v>4.1929824561403501</v>
      </c>
      <c r="F14" s="74">
        <v>4.4285714285714288</v>
      </c>
      <c r="G14" s="25">
        <v>3.883495145631068</v>
      </c>
      <c r="H14" s="60" t="s">
        <v>83</v>
      </c>
      <c r="I14" s="21">
        <v>4.4090909090909083</v>
      </c>
      <c r="J14" s="21">
        <v>4.5172413793103443</v>
      </c>
      <c r="K14" s="21">
        <v>3.9400000000000004</v>
      </c>
      <c r="L14" s="21">
        <v>4.1111111111111107</v>
      </c>
      <c r="M14" s="21">
        <v>4.2222222222222214</v>
      </c>
      <c r="N14" s="21">
        <v>4.3203883495145625</v>
      </c>
      <c r="O14" s="25">
        <v>4.5769230769230775</v>
      </c>
      <c r="P14" s="74">
        <v>4.333333333333333</v>
      </c>
      <c r="Q14" s="60" t="s">
        <v>83</v>
      </c>
    </row>
    <row r="15" spans="1:17" s="2" customFormat="1" ht="23.95" customHeight="1">
      <c r="A15" s="8" t="s">
        <v>17</v>
      </c>
      <c r="B15" s="25">
        <v>2.75</v>
      </c>
      <c r="C15" s="25">
        <v>3</v>
      </c>
      <c r="D15" s="60" t="s">
        <v>83</v>
      </c>
      <c r="E15" s="31">
        <v>4.1929824561403501</v>
      </c>
      <c r="F15" s="74">
        <v>4.7142857142857135</v>
      </c>
      <c r="G15" s="25">
        <v>3.8155339805825244</v>
      </c>
      <c r="H15" s="60" t="s">
        <v>83</v>
      </c>
      <c r="I15" s="21">
        <v>4.4090909090909083</v>
      </c>
      <c r="J15" s="21">
        <v>4.6551724137931032</v>
      </c>
      <c r="K15" s="21">
        <v>3.9799999999999995</v>
      </c>
      <c r="L15" s="21">
        <v>4.333333333333333</v>
      </c>
      <c r="M15" s="21">
        <v>4.3333333333333339</v>
      </c>
      <c r="N15" s="21">
        <v>4.3106796116504844</v>
      </c>
      <c r="O15" s="25">
        <v>4.615384615384615</v>
      </c>
      <c r="P15" s="74">
        <v>4.333333333333333</v>
      </c>
      <c r="Q15" s="60" t="s">
        <v>83</v>
      </c>
    </row>
    <row r="16" spans="1:17" s="2" customFormat="1" ht="23.95" customHeight="1">
      <c r="A16" s="8" t="s">
        <v>18</v>
      </c>
      <c r="B16" s="25">
        <v>3.75</v>
      </c>
      <c r="C16" s="25">
        <v>2.8571428571428572</v>
      </c>
      <c r="D16" s="60" t="s">
        <v>83</v>
      </c>
      <c r="E16" s="31">
        <v>4.2192982456140351</v>
      </c>
      <c r="F16" s="74">
        <v>5</v>
      </c>
      <c r="G16" s="25">
        <v>3.9320388349514577</v>
      </c>
      <c r="H16" s="60" t="s">
        <v>83</v>
      </c>
      <c r="I16" s="21">
        <v>4.454545454545455</v>
      </c>
      <c r="J16" s="21">
        <v>4.7241379310344813</v>
      </c>
      <c r="K16" s="21">
        <v>4.18</v>
      </c>
      <c r="L16" s="21">
        <v>4.333333333333333</v>
      </c>
      <c r="M16" s="21">
        <v>4.4166666666666652</v>
      </c>
      <c r="N16" s="21">
        <v>4.2815533980582527</v>
      </c>
      <c r="O16" s="25">
        <v>4.6538461538461542</v>
      </c>
      <c r="P16" s="74">
        <v>4</v>
      </c>
      <c r="Q16" s="60" t="s">
        <v>83</v>
      </c>
    </row>
    <row r="17" spans="1:22" s="2" customFormat="1" ht="23.95" customHeight="1">
      <c r="A17" s="8" t="s">
        <v>19</v>
      </c>
      <c r="B17" s="25">
        <v>2.75</v>
      </c>
      <c r="C17" s="25">
        <v>2.7142857142857144</v>
      </c>
      <c r="D17" s="60" t="s">
        <v>83</v>
      </c>
      <c r="E17" s="31">
        <v>4.2192982456140333</v>
      </c>
      <c r="F17" s="74">
        <v>4.7142857142857135</v>
      </c>
      <c r="G17" s="25">
        <v>3.8155339805825239</v>
      </c>
      <c r="H17" s="60" t="s">
        <v>83</v>
      </c>
      <c r="I17" s="21">
        <v>4.4545454545454541</v>
      </c>
      <c r="J17" s="21">
        <v>4.6551724137931032</v>
      </c>
      <c r="K17" s="21">
        <v>3.9800000000000009</v>
      </c>
      <c r="L17" s="21">
        <v>4.333333333333333</v>
      </c>
      <c r="M17" s="21">
        <v>4.3888888888888893</v>
      </c>
      <c r="N17" s="21">
        <v>4.3300970873786433</v>
      </c>
      <c r="O17" s="25">
        <v>4.5384615384615392</v>
      </c>
      <c r="P17" s="74">
        <v>4</v>
      </c>
      <c r="Q17" s="60" t="s">
        <v>83</v>
      </c>
    </row>
    <row r="18" spans="1:22" s="2" customFormat="1" ht="23.95" customHeight="1">
      <c r="A18" s="8" t="s">
        <v>20</v>
      </c>
      <c r="B18" s="25">
        <v>3.25</v>
      </c>
      <c r="C18" s="25">
        <v>2.7142857142857144</v>
      </c>
      <c r="D18" s="60" t="s">
        <v>83</v>
      </c>
      <c r="E18" s="31">
        <v>4.2456140350877192</v>
      </c>
      <c r="F18" s="74">
        <v>4.7142857142857135</v>
      </c>
      <c r="G18" s="25">
        <v>3.8058252427184458</v>
      </c>
      <c r="H18" s="60" t="s">
        <v>83</v>
      </c>
      <c r="I18" s="21">
        <v>4.3181818181818183</v>
      </c>
      <c r="J18" s="21">
        <v>4.5862068965517233</v>
      </c>
      <c r="K18" s="21">
        <v>3.9999999999999996</v>
      </c>
      <c r="L18" s="21">
        <v>4.1111111111111107</v>
      </c>
      <c r="M18" s="21">
        <v>4.3888888888888893</v>
      </c>
      <c r="N18" s="21">
        <v>4.2912621359223273</v>
      </c>
      <c r="O18" s="25">
        <v>4.6153846153846159</v>
      </c>
      <c r="P18" s="74">
        <v>4.333333333333333</v>
      </c>
      <c r="Q18" s="60" t="s">
        <v>83</v>
      </c>
    </row>
    <row r="19" spans="1:22" s="2" customFormat="1" ht="23.95" customHeight="1">
      <c r="A19" s="8" t="s">
        <v>21</v>
      </c>
      <c r="B19" s="25">
        <v>2.75</v>
      </c>
      <c r="C19" s="25">
        <v>2.7142857142857144</v>
      </c>
      <c r="D19" s="60" t="s">
        <v>83</v>
      </c>
      <c r="E19" s="31">
        <v>4.2017543859649136</v>
      </c>
      <c r="F19" s="74">
        <v>5</v>
      </c>
      <c r="G19" s="25">
        <v>3.8446601941747569</v>
      </c>
      <c r="H19" s="60" t="s">
        <v>83</v>
      </c>
      <c r="I19" s="21">
        <v>4.4090909090909092</v>
      </c>
      <c r="J19" s="21">
        <v>4.7241379310344831</v>
      </c>
      <c r="K19" s="21">
        <v>4.0599999999999987</v>
      </c>
      <c r="L19" s="21">
        <v>4.1111111111111107</v>
      </c>
      <c r="M19" s="21">
        <v>4.4722222222222214</v>
      </c>
      <c r="N19" s="21">
        <v>4.3300970873786424</v>
      </c>
      <c r="O19" s="25">
        <v>4.5384615384615383</v>
      </c>
      <c r="P19" s="74">
        <v>4.333333333333333</v>
      </c>
      <c r="Q19" s="60" t="s">
        <v>83</v>
      </c>
    </row>
    <row r="20" spans="1:22" s="2" customFormat="1" ht="23.95" customHeight="1">
      <c r="A20" s="8" t="s">
        <v>22</v>
      </c>
      <c r="B20" s="25">
        <v>2.75</v>
      </c>
      <c r="C20" s="25">
        <v>2.5714285714285712</v>
      </c>
      <c r="D20" s="60" t="s">
        <v>83</v>
      </c>
      <c r="E20" s="31">
        <v>4.2719298245614024</v>
      </c>
      <c r="F20" s="74">
        <v>4.4285714285714288</v>
      </c>
      <c r="G20" s="25">
        <v>3.854368932038835</v>
      </c>
      <c r="H20" s="60" t="s">
        <v>83</v>
      </c>
      <c r="I20" s="21">
        <v>4.5</v>
      </c>
      <c r="J20" s="21">
        <v>4.7586206896551726</v>
      </c>
      <c r="K20" s="21">
        <v>4.0599999999999996</v>
      </c>
      <c r="L20" s="21">
        <v>4</v>
      </c>
      <c r="M20" s="21">
        <v>4.3888888888888884</v>
      </c>
      <c r="N20" s="21">
        <v>4.368932038834954</v>
      </c>
      <c r="O20" s="25">
        <v>4.6153846153846141</v>
      </c>
      <c r="P20" s="74">
        <v>4.333333333333333</v>
      </c>
      <c r="Q20" s="60" t="s">
        <v>83</v>
      </c>
    </row>
    <row r="21" spans="1:22" s="2" customFormat="1" ht="23.95" customHeight="1">
      <c r="A21" s="16" t="s">
        <v>23</v>
      </c>
      <c r="B21" s="25">
        <v>3.09375</v>
      </c>
      <c r="C21" s="25">
        <v>2.9464285714285712</v>
      </c>
      <c r="D21" s="60" t="s">
        <v>83</v>
      </c>
      <c r="E21" s="31">
        <v>4.2023026315789478</v>
      </c>
      <c r="F21" s="74">
        <v>4.6785714285714288</v>
      </c>
      <c r="G21" s="25">
        <v>3.862864077669903</v>
      </c>
      <c r="H21" s="60" t="s">
        <v>83</v>
      </c>
      <c r="I21" s="21">
        <v>4.1051136363636367</v>
      </c>
      <c r="J21" s="21">
        <v>4.6918103448275863</v>
      </c>
      <c r="K21" s="21">
        <v>3.9400000000000008</v>
      </c>
      <c r="L21" s="21">
        <v>4.1944444444444446</v>
      </c>
      <c r="M21" s="21">
        <v>4.3368055555555545</v>
      </c>
      <c r="N21" s="21">
        <v>4.3458737864077674</v>
      </c>
      <c r="O21" s="25">
        <v>4.5336538461538458</v>
      </c>
      <c r="P21" s="74">
        <v>4.229166666666667</v>
      </c>
      <c r="Q21" s="60" t="s">
        <v>83</v>
      </c>
      <c r="V21" s="87"/>
    </row>
    <row r="22" spans="1:22" s="2" customFormat="1" ht="24.8" customHeight="1">
      <c r="A22" s="9" t="s">
        <v>24</v>
      </c>
      <c r="B22" s="62">
        <f>B21*20</f>
        <v>61.875</v>
      </c>
      <c r="C22" s="62">
        <f>C21*20</f>
        <v>58.928571428571423</v>
      </c>
      <c r="D22" s="60" t="s">
        <v>83</v>
      </c>
      <c r="E22" s="62">
        <f>E21*20</f>
        <v>84.046052631578959</v>
      </c>
      <c r="F22" s="62">
        <f>F21*20</f>
        <v>93.571428571428584</v>
      </c>
      <c r="G22" s="62">
        <f>G21*20</f>
        <v>77.257281553398059</v>
      </c>
      <c r="H22" s="60" t="s">
        <v>83</v>
      </c>
      <c r="I22" s="62">
        <f t="shared" ref="I22:N22" si="0">I21*20</f>
        <v>82.102272727272734</v>
      </c>
      <c r="J22" s="62">
        <f>J21*20</f>
        <v>93.83620689655173</v>
      </c>
      <c r="K22" s="62">
        <f t="shared" si="0"/>
        <v>78.800000000000011</v>
      </c>
      <c r="L22" s="62">
        <f t="shared" si="0"/>
        <v>83.888888888888886</v>
      </c>
      <c r="M22" s="62">
        <f t="shared" si="0"/>
        <v>86.736111111111086</v>
      </c>
      <c r="N22" s="62">
        <f t="shared" si="0"/>
        <v>86.917475728155352</v>
      </c>
      <c r="O22" s="62">
        <f>O21*20</f>
        <v>90.67307692307692</v>
      </c>
      <c r="P22" s="62">
        <f>P21*20</f>
        <v>84.583333333333343</v>
      </c>
      <c r="Q22" s="60" t="s">
        <v>83</v>
      </c>
    </row>
    <row r="23" spans="1:22">
      <c r="A23" s="17" t="s">
        <v>61</v>
      </c>
      <c r="B23" s="61">
        <v>50</v>
      </c>
      <c r="C23" s="61">
        <v>57.14</v>
      </c>
      <c r="D23" s="23" t="s">
        <v>84</v>
      </c>
      <c r="E23" s="61">
        <v>94.73684210526315</v>
      </c>
      <c r="F23" s="24">
        <v>85.714285714285708</v>
      </c>
      <c r="G23" s="61">
        <v>96.116504854368941</v>
      </c>
      <c r="H23" s="23" t="s">
        <v>84</v>
      </c>
      <c r="I23" s="61">
        <v>100</v>
      </c>
      <c r="J23" s="61">
        <v>96.551724137931032</v>
      </c>
      <c r="K23" s="61">
        <v>94</v>
      </c>
      <c r="L23" s="61">
        <v>88.89</v>
      </c>
      <c r="M23" s="61">
        <v>100</v>
      </c>
      <c r="N23" s="61">
        <v>99.03</v>
      </c>
      <c r="O23" s="76">
        <v>100</v>
      </c>
      <c r="P23" s="76">
        <v>100</v>
      </c>
      <c r="Q23" s="23" t="s">
        <v>84</v>
      </c>
    </row>
    <row r="25" spans="1:22" ht="23.95" customHeight="1"/>
    <row r="26" spans="1:22" ht="59.3" customHeight="1">
      <c r="A26" s="6" t="s">
        <v>0</v>
      </c>
      <c r="B26" s="1" t="s">
        <v>71</v>
      </c>
      <c r="C26" s="1" t="s">
        <v>7</v>
      </c>
      <c r="D26" s="1" t="s">
        <v>6</v>
      </c>
      <c r="E26" s="1" t="s">
        <v>8</v>
      </c>
      <c r="F26" s="1" t="s">
        <v>73</v>
      </c>
      <c r="G26" s="1" t="s">
        <v>79</v>
      </c>
      <c r="H26" s="1" t="s">
        <v>76</v>
      </c>
      <c r="I26" s="1" t="s">
        <v>25</v>
      </c>
      <c r="J26" s="1" t="s">
        <v>62</v>
      </c>
      <c r="K26" s="1" t="s">
        <v>88</v>
      </c>
      <c r="L26" s="1" t="s">
        <v>89</v>
      </c>
      <c r="M26" s="1" t="s">
        <v>67</v>
      </c>
      <c r="N26" s="1" t="s">
        <v>72</v>
      </c>
      <c r="O26" s="1" t="s">
        <v>1</v>
      </c>
      <c r="P26" s="1" t="s">
        <v>50</v>
      </c>
      <c r="Q26" s="1" t="s">
        <v>96</v>
      </c>
    </row>
    <row r="27" spans="1:22" s="27" customFormat="1" ht="23.95" customHeight="1">
      <c r="A27" s="9" t="s">
        <v>9</v>
      </c>
      <c r="B27" s="60" t="s">
        <v>83</v>
      </c>
      <c r="C27" s="60" t="s">
        <v>83</v>
      </c>
      <c r="D27" s="60">
        <v>22</v>
      </c>
      <c r="E27" s="26">
        <v>7</v>
      </c>
      <c r="F27" s="26">
        <v>1</v>
      </c>
      <c r="G27" s="60" t="s">
        <v>83</v>
      </c>
      <c r="H27" s="26">
        <v>18</v>
      </c>
      <c r="I27" s="60">
        <v>87</v>
      </c>
      <c r="J27" s="26">
        <v>30</v>
      </c>
      <c r="K27" s="60" t="s">
        <v>83</v>
      </c>
      <c r="L27" s="60" t="s">
        <v>83</v>
      </c>
      <c r="M27" s="26">
        <v>14</v>
      </c>
      <c r="N27" s="26">
        <v>10</v>
      </c>
      <c r="O27" s="26">
        <v>2</v>
      </c>
      <c r="P27" s="26">
        <v>15</v>
      </c>
      <c r="Q27" s="26">
        <v>15</v>
      </c>
    </row>
    <row r="28" spans="1:22" ht="23.95" customHeight="1">
      <c r="A28" s="8" t="s">
        <v>26</v>
      </c>
      <c r="B28" s="60" t="s">
        <v>83</v>
      </c>
      <c r="C28" s="60" t="s">
        <v>83</v>
      </c>
      <c r="D28" s="74">
        <v>4.2272727272727284</v>
      </c>
      <c r="E28" s="21">
        <v>5</v>
      </c>
      <c r="F28" s="25">
        <v>5</v>
      </c>
      <c r="G28" s="60" t="s">
        <v>83</v>
      </c>
      <c r="H28" s="21">
        <v>4.8888888888888893</v>
      </c>
      <c r="I28" s="74">
        <v>4.3793103448275863</v>
      </c>
      <c r="J28" s="21">
        <v>4.5000000000000009</v>
      </c>
      <c r="K28" s="60" t="s">
        <v>83</v>
      </c>
      <c r="L28" s="60" t="s">
        <v>83</v>
      </c>
      <c r="M28" s="25">
        <v>4.6428571428571423</v>
      </c>
      <c r="N28" s="21">
        <v>4</v>
      </c>
      <c r="O28" s="25">
        <v>5</v>
      </c>
      <c r="P28" s="25">
        <v>4.1999999999999993</v>
      </c>
      <c r="Q28" s="25">
        <v>4.7333333333333325</v>
      </c>
    </row>
    <row r="29" spans="1:22" ht="23.95" customHeight="1">
      <c r="A29" s="8" t="s">
        <v>59</v>
      </c>
      <c r="B29" s="60" t="s">
        <v>83</v>
      </c>
      <c r="C29" s="60" t="s">
        <v>83</v>
      </c>
      <c r="D29" s="74">
        <v>4.1363636363636358</v>
      </c>
      <c r="E29" s="21">
        <v>4.5714285714285712</v>
      </c>
      <c r="F29" s="25">
        <v>5</v>
      </c>
      <c r="G29" s="60" t="s">
        <v>83</v>
      </c>
      <c r="H29" s="21">
        <v>4.7777777777777777</v>
      </c>
      <c r="I29" s="74">
        <v>4.3218390804597693</v>
      </c>
      <c r="J29" s="21">
        <v>4.4666666666666677</v>
      </c>
      <c r="K29" s="60" t="s">
        <v>83</v>
      </c>
      <c r="L29" s="60" t="s">
        <v>83</v>
      </c>
      <c r="M29" s="25">
        <v>4.7142857142857144</v>
      </c>
      <c r="N29" s="21">
        <v>4</v>
      </c>
      <c r="O29" s="25">
        <v>4.5</v>
      </c>
      <c r="P29" s="25">
        <v>4.1333333333333329</v>
      </c>
      <c r="Q29" s="25">
        <v>4.7333333333333325</v>
      </c>
    </row>
    <row r="30" spans="1:22" ht="23.95" customHeight="1">
      <c r="A30" s="8" t="s">
        <v>60</v>
      </c>
      <c r="B30" s="60" t="s">
        <v>83</v>
      </c>
      <c r="C30" s="60" t="s">
        <v>83</v>
      </c>
      <c r="D30" s="74">
        <v>4.2727272727272725</v>
      </c>
      <c r="E30" s="21">
        <v>4.2857142857142865</v>
      </c>
      <c r="F30" s="25">
        <v>5</v>
      </c>
      <c r="G30" s="60" t="s">
        <v>83</v>
      </c>
      <c r="H30" s="21">
        <v>4.833333333333333</v>
      </c>
      <c r="I30" s="74">
        <v>4.3333333333333313</v>
      </c>
      <c r="J30" s="21">
        <v>4.5333333333333341</v>
      </c>
      <c r="K30" s="60" t="s">
        <v>83</v>
      </c>
      <c r="L30" s="60" t="s">
        <v>83</v>
      </c>
      <c r="M30" s="25">
        <v>4.5714285714285721</v>
      </c>
      <c r="N30" s="21">
        <v>4</v>
      </c>
      <c r="O30" s="25">
        <v>4.5</v>
      </c>
      <c r="P30" s="25">
        <v>4.1333333333333329</v>
      </c>
      <c r="Q30" s="25">
        <v>4.8</v>
      </c>
    </row>
    <row r="31" spans="1:22" ht="23.95" customHeight="1">
      <c r="A31" s="8" t="s">
        <v>10</v>
      </c>
      <c r="B31" s="60" t="s">
        <v>83</v>
      </c>
      <c r="C31" s="60" t="s">
        <v>83</v>
      </c>
      <c r="D31" s="74">
        <v>4.0454545454545459</v>
      </c>
      <c r="E31" s="21">
        <v>4.2857142857142865</v>
      </c>
      <c r="F31" s="25">
        <v>5</v>
      </c>
      <c r="G31" s="60" t="s">
        <v>83</v>
      </c>
      <c r="H31" s="21">
        <v>4.8888888888888893</v>
      </c>
      <c r="I31" s="74">
        <v>4.2528735632183912</v>
      </c>
      <c r="J31" s="21">
        <v>4.5999999999999996</v>
      </c>
      <c r="K31" s="60" t="s">
        <v>83</v>
      </c>
      <c r="L31" s="60" t="s">
        <v>83</v>
      </c>
      <c r="M31" s="25">
        <v>4.6428571428571423</v>
      </c>
      <c r="N31" s="21">
        <v>4.0999999999999996</v>
      </c>
      <c r="O31" s="25">
        <v>4.5</v>
      </c>
      <c r="P31" s="25">
        <v>4.1333333333333329</v>
      </c>
      <c r="Q31" s="25">
        <v>4.8666666666666663</v>
      </c>
    </row>
    <row r="32" spans="1:22" ht="23.95" customHeight="1">
      <c r="A32" s="8" t="s">
        <v>11</v>
      </c>
      <c r="B32" s="60" t="s">
        <v>83</v>
      </c>
      <c r="C32" s="60" t="s">
        <v>83</v>
      </c>
      <c r="D32" s="74">
        <v>3.9545454545454546</v>
      </c>
      <c r="E32" s="21">
        <v>4.7142857142857135</v>
      </c>
      <c r="F32" s="25">
        <v>5</v>
      </c>
      <c r="G32" s="60" t="s">
        <v>83</v>
      </c>
      <c r="H32" s="21">
        <v>4.7777777777777786</v>
      </c>
      <c r="I32" s="74">
        <v>4.2413793103448292</v>
      </c>
      <c r="J32" s="21">
        <v>4.6666666666666652</v>
      </c>
      <c r="K32" s="60" t="s">
        <v>83</v>
      </c>
      <c r="L32" s="60" t="s">
        <v>83</v>
      </c>
      <c r="M32" s="25">
        <v>4.7142857142857135</v>
      </c>
      <c r="N32" s="21">
        <v>3.6</v>
      </c>
      <c r="O32" s="25">
        <v>4</v>
      </c>
      <c r="P32" s="25">
        <v>3.8</v>
      </c>
      <c r="Q32" s="25">
        <v>4.8</v>
      </c>
    </row>
    <row r="33" spans="1:17" ht="23.95" customHeight="1">
      <c r="A33" s="8" t="s">
        <v>12</v>
      </c>
      <c r="B33" s="60" t="s">
        <v>83</v>
      </c>
      <c r="C33" s="60" t="s">
        <v>83</v>
      </c>
      <c r="D33" s="74">
        <v>4.1818181818181825</v>
      </c>
      <c r="E33" s="21">
        <v>4.4285714285714288</v>
      </c>
      <c r="F33" s="25">
        <v>5</v>
      </c>
      <c r="G33" s="60" t="s">
        <v>83</v>
      </c>
      <c r="H33" s="21">
        <v>4.7222222222222232</v>
      </c>
      <c r="I33" s="74">
        <v>4.264367816091954</v>
      </c>
      <c r="J33" s="21">
        <v>4.6999999999999993</v>
      </c>
      <c r="K33" s="60" t="s">
        <v>83</v>
      </c>
      <c r="L33" s="60" t="s">
        <v>83</v>
      </c>
      <c r="M33" s="25">
        <v>4.5714285714285721</v>
      </c>
      <c r="N33" s="21">
        <v>3.4000000000000004</v>
      </c>
      <c r="O33" s="25">
        <v>4.5</v>
      </c>
      <c r="P33" s="25">
        <v>3.8666666666666667</v>
      </c>
      <c r="Q33" s="25">
        <v>4.8666666666666663</v>
      </c>
    </row>
    <row r="34" spans="1:17" ht="23.95" customHeight="1">
      <c r="A34" s="8" t="s">
        <v>13</v>
      </c>
      <c r="B34" s="60" t="s">
        <v>83</v>
      </c>
      <c r="C34" s="60" t="s">
        <v>83</v>
      </c>
      <c r="D34" s="74">
        <v>4.2272727272727275</v>
      </c>
      <c r="E34" s="21">
        <v>4.8571428571428568</v>
      </c>
      <c r="F34" s="25">
        <v>5</v>
      </c>
      <c r="G34" s="60" t="s">
        <v>83</v>
      </c>
      <c r="H34" s="21">
        <v>4.7222222222222223</v>
      </c>
      <c r="I34" s="74">
        <v>4.3333333333333321</v>
      </c>
      <c r="J34" s="21">
        <v>4.7666666666666666</v>
      </c>
      <c r="K34" s="60" t="s">
        <v>83</v>
      </c>
      <c r="L34" s="60" t="s">
        <v>83</v>
      </c>
      <c r="M34" s="25">
        <v>4.5714285714285712</v>
      </c>
      <c r="N34" s="21">
        <v>3.4000000000000004</v>
      </c>
      <c r="O34" s="25">
        <v>4.5</v>
      </c>
      <c r="P34" s="25">
        <v>3.8000000000000003</v>
      </c>
      <c r="Q34" s="25">
        <v>4.8</v>
      </c>
    </row>
    <row r="35" spans="1:17" ht="23.95" customHeight="1">
      <c r="A35" s="8" t="s">
        <v>14</v>
      </c>
      <c r="B35" s="60" t="s">
        <v>83</v>
      </c>
      <c r="C35" s="60" t="s">
        <v>83</v>
      </c>
      <c r="D35" s="74">
        <v>4.3181818181818183</v>
      </c>
      <c r="E35" s="21">
        <v>4.7142857142857135</v>
      </c>
      <c r="F35" s="25">
        <v>5</v>
      </c>
      <c r="G35" s="60" t="s">
        <v>83</v>
      </c>
      <c r="H35" s="21">
        <v>4.7777777777777777</v>
      </c>
      <c r="I35" s="74">
        <v>4.2298850574712636</v>
      </c>
      <c r="J35" s="21">
        <v>4.7000000000000011</v>
      </c>
      <c r="K35" s="60" t="s">
        <v>83</v>
      </c>
      <c r="L35" s="60" t="s">
        <v>83</v>
      </c>
      <c r="M35" s="25">
        <v>4.6428571428571432</v>
      </c>
      <c r="N35" s="21">
        <v>3.6999999999999997</v>
      </c>
      <c r="O35" s="25">
        <v>4.5</v>
      </c>
      <c r="P35" s="25">
        <v>3.9333333333333336</v>
      </c>
      <c r="Q35" s="25">
        <v>4.8666666666666663</v>
      </c>
    </row>
    <row r="36" spans="1:17" ht="23.95" customHeight="1">
      <c r="A36" s="8" t="s">
        <v>15</v>
      </c>
      <c r="B36" s="60" t="s">
        <v>83</v>
      </c>
      <c r="C36" s="60" t="s">
        <v>83</v>
      </c>
      <c r="D36" s="74">
        <v>4.3636363636363633</v>
      </c>
      <c r="E36" s="21">
        <v>4.8571428571428568</v>
      </c>
      <c r="F36" s="25">
        <v>5</v>
      </c>
      <c r="G36" s="60" t="s">
        <v>83</v>
      </c>
      <c r="H36" s="21">
        <v>4.833333333333333</v>
      </c>
      <c r="I36" s="74">
        <v>4.3103448275862064</v>
      </c>
      <c r="J36" s="21">
        <v>4.833333333333333</v>
      </c>
      <c r="K36" s="60" t="s">
        <v>83</v>
      </c>
      <c r="L36" s="60" t="s">
        <v>83</v>
      </c>
      <c r="M36" s="25">
        <v>4.6428571428571423</v>
      </c>
      <c r="N36" s="21">
        <v>3.6999999999999993</v>
      </c>
      <c r="O36" s="25">
        <v>5</v>
      </c>
      <c r="P36" s="25">
        <v>3.666666666666667</v>
      </c>
      <c r="Q36" s="25">
        <v>4.8666666666666663</v>
      </c>
    </row>
    <row r="37" spans="1:17" ht="23.95" customHeight="1">
      <c r="A37" s="8" t="s">
        <v>16</v>
      </c>
      <c r="B37" s="60" t="s">
        <v>83</v>
      </c>
      <c r="C37" s="60" t="s">
        <v>83</v>
      </c>
      <c r="D37" s="74">
        <v>4.2727272727272725</v>
      </c>
      <c r="E37" s="21">
        <v>4.8571428571428568</v>
      </c>
      <c r="F37" s="25">
        <v>5</v>
      </c>
      <c r="G37" s="60" t="s">
        <v>83</v>
      </c>
      <c r="H37" s="21">
        <v>4.833333333333333</v>
      </c>
      <c r="I37" s="74">
        <v>4.2873563218390824</v>
      </c>
      <c r="J37" s="21">
        <v>4.7666666666666666</v>
      </c>
      <c r="K37" s="60" t="s">
        <v>83</v>
      </c>
      <c r="L37" s="60" t="s">
        <v>83</v>
      </c>
      <c r="M37" s="25">
        <v>4.5714285714285721</v>
      </c>
      <c r="N37" s="21">
        <v>3.4000000000000004</v>
      </c>
      <c r="O37" s="25">
        <v>5</v>
      </c>
      <c r="P37" s="25">
        <v>3.8000000000000003</v>
      </c>
      <c r="Q37" s="25">
        <v>4.8666666666666663</v>
      </c>
    </row>
    <row r="38" spans="1:17" ht="23.95" customHeight="1">
      <c r="A38" s="8" t="s">
        <v>17</v>
      </c>
      <c r="B38" s="60" t="s">
        <v>83</v>
      </c>
      <c r="C38" s="60" t="s">
        <v>83</v>
      </c>
      <c r="D38" s="74">
        <v>4.1363636363636358</v>
      </c>
      <c r="E38" s="21">
        <v>4.7142857142857144</v>
      </c>
      <c r="F38" s="25">
        <v>4</v>
      </c>
      <c r="G38" s="60" t="s">
        <v>83</v>
      </c>
      <c r="H38" s="21">
        <v>4.7222222222222232</v>
      </c>
      <c r="I38" s="74">
        <v>4.3678160919540243</v>
      </c>
      <c r="J38" s="21">
        <v>4.7666666666666666</v>
      </c>
      <c r="K38" s="60" t="s">
        <v>83</v>
      </c>
      <c r="L38" s="60" t="s">
        <v>83</v>
      </c>
      <c r="M38" s="25">
        <v>4.5</v>
      </c>
      <c r="N38" s="21">
        <v>3.8</v>
      </c>
      <c r="O38" s="25">
        <v>5</v>
      </c>
      <c r="P38" s="25">
        <v>3.666666666666667</v>
      </c>
      <c r="Q38" s="25">
        <v>4.8</v>
      </c>
    </row>
    <row r="39" spans="1:17" ht="23.95" customHeight="1">
      <c r="A39" s="8" t="s">
        <v>18</v>
      </c>
      <c r="B39" s="60" t="s">
        <v>83</v>
      </c>
      <c r="C39" s="60" t="s">
        <v>83</v>
      </c>
      <c r="D39" s="74">
        <v>4.1363636363636358</v>
      </c>
      <c r="E39" s="21">
        <v>4.4285714285714288</v>
      </c>
      <c r="F39" s="25">
        <v>5</v>
      </c>
      <c r="G39" s="60" t="s">
        <v>83</v>
      </c>
      <c r="H39" s="21">
        <v>4.7777777777777777</v>
      </c>
      <c r="I39" s="74">
        <v>4.2413793103448274</v>
      </c>
      <c r="J39" s="21">
        <v>4.7333333333333325</v>
      </c>
      <c r="K39" s="60" t="s">
        <v>83</v>
      </c>
      <c r="L39" s="60" t="s">
        <v>83</v>
      </c>
      <c r="M39" s="25">
        <v>4.4285714285714288</v>
      </c>
      <c r="N39" s="21">
        <v>3.6999999999999997</v>
      </c>
      <c r="O39" s="25">
        <v>4.5</v>
      </c>
      <c r="P39" s="25">
        <v>4.0666666666666664</v>
      </c>
      <c r="Q39" s="25">
        <v>4.8666666666666663</v>
      </c>
    </row>
    <row r="40" spans="1:17" ht="23.95" customHeight="1">
      <c r="A40" s="8" t="s">
        <v>19</v>
      </c>
      <c r="B40" s="60" t="s">
        <v>83</v>
      </c>
      <c r="C40" s="60" t="s">
        <v>83</v>
      </c>
      <c r="D40" s="74">
        <v>4.2272727272727275</v>
      </c>
      <c r="E40" s="21">
        <v>4.4285714285714288</v>
      </c>
      <c r="F40" s="25">
        <v>5</v>
      </c>
      <c r="G40" s="60" t="s">
        <v>83</v>
      </c>
      <c r="H40" s="21">
        <v>4.7777777777777777</v>
      </c>
      <c r="I40" s="74">
        <v>4.3103448275862029</v>
      </c>
      <c r="J40" s="21">
        <v>4.8333333333333339</v>
      </c>
      <c r="K40" s="60" t="s">
        <v>83</v>
      </c>
      <c r="L40" s="60" t="s">
        <v>83</v>
      </c>
      <c r="M40" s="25">
        <v>4.3571428571428568</v>
      </c>
      <c r="N40" s="21">
        <v>3.4000000000000004</v>
      </c>
      <c r="O40" s="25">
        <v>4</v>
      </c>
      <c r="P40" s="25">
        <v>3.9333333333333336</v>
      </c>
      <c r="Q40" s="25">
        <v>4.8666666666666663</v>
      </c>
    </row>
    <row r="41" spans="1:17" ht="23.95" customHeight="1">
      <c r="A41" s="8" t="s">
        <v>20</v>
      </c>
      <c r="B41" s="60" t="s">
        <v>83</v>
      </c>
      <c r="C41" s="60" t="s">
        <v>83</v>
      </c>
      <c r="D41" s="74">
        <v>4.3181818181818175</v>
      </c>
      <c r="E41" s="21">
        <v>4.7142857142857144</v>
      </c>
      <c r="F41" s="25">
        <v>5</v>
      </c>
      <c r="G41" s="60" t="s">
        <v>83</v>
      </c>
      <c r="H41" s="21">
        <v>4.7777777777777777</v>
      </c>
      <c r="I41" s="74">
        <v>4.333333333333333</v>
      </c>
      <c r="J41" s="21">
        <v>4.7</v>
      </c>
      <c r="K41" s="60" t="s">
        <v>83</v>
      </c>
      <c r="L41" s="60" t="s">
        <v>83</v>
      </c>
      <c r="M41" s="25">
        <v>4.5714285714285721</v>
      </c>
      <c r="N41" s="21">
        <v>3.6999999999999997</v>
      </c>
      <c r="O41" s="25">
        <v>4</v>
      </c>
      <c r="P41" s="25">
        <v>3.9333333333333336</v>
      </c>
      <c r="Q41" s="25">
        <v>4.8</v>
      </c>
    </row>
    <row r="42" spans="1:17" ht="23.95" customHeight="1">
      <c r="A42" s="8" t="s">
        <v>21</v>
      </c>
      <c r="B42" s="60" t="s">
        <v>83</v>
      </c>
      <c r="C42" s="60" t="s">
        <v>83</v>
      </c>
      <c r="D42" s="74">
        <v>4.2727272727272734</v>
      </c>
      <c r="E42" s="21">
        <v>4.5714285714285712</v>
      </c>
      <c r="F42" s="25">
        <v>5</v>
      </c>
      <c r="G42" s="60" t="s">
        <v>83</v>
      </c>
      <c r="H42" s="21">
        <v>4.7222222222222223</v>
      </c>
      <c r="I42" s="74">
        <v>4.3563218390804597</v>
      </c>
      <c r="J42" s="21">
        <v>4.7666666666666666</v>
      </c>
      <c r="K42" s="60" t="s">
        <v>83</v>
      </c>
      <c r="L42" s="60" t="s">
        <v>83</v>
      </c>
      <c r="M42" s="25">
        <v>4.5714285714285712</v>
      </c>
      <c r="N42" s="21">
        <v>3.6999999999999993</v>
      </c>
      <c r="O42" s="25">
        <v>4.5</v>
      </c>
      <c r="P42" s="25">
        <v>4</v>
      </c>
      <c r="Q42" s="25">
        <v>4.8</v>
      </c>
    </row>
    <row r="43" spans="1:17" ht="23.95" customHeight="1">
      <c r="A43" s="8" t="s">
        <v>22</v>
      </c>
      <c r="B43" s="60" t="s">
        <v>83</v>
      </c>
      <c r="C43" s="60" t="s">
        <v>83</v>
      </c>
      <c r="D43" s="74">
        <v>4.3181818181818183</v>
      </c>
      <c r="E43" s="21">
        <v>4.7142857142857144</v>
      </c>
      <c r="F43" s="25">
        <v>5</v>
      </c>
      <c r="G43" s="60" t="s">
        <v>83</v>
      </c>
      <c r="H43" s="21">
        <v>4.833333333333333</v>
      </c>
      <c r="I43" s="74">
        <v>4.3678160919540243</v>
      </c>
      <c r="J43" s="21">
        <v>4.7666666666666675</v>
      </c>
      <c r="K43" s="60" t="s">
        <v>83</v>
      </c>
      <c r="L43" s="60" t="s">
        <v>83</v>
      </c>
      <c r="M43" s="25">
        <v>4.7857142857142847</v>
      </c>
      <c r="N43" s="21">
        <v>3.6999999999999993</v>
      </c>
      <c r="O43" s="25">
        <v>4.5</v>
      </c>
      <c r="P43" s="25">
        <v>3.7333333333333338</v>
      </c>
      <c r="Q43" s="25">
        <v>4.7333333333333325</v>
      </c>
    </row>
    <row r="44" spans="1:17" ht="23.95" customHeight="1">
      <c r="A44" s="9" t="s">
        <v>23</v>
      </c>
      <c r="B44" s="60" t="s">
        <v>83</v>
      </c>
      <c r="C44" s="60" t="s">
        <v>83</v>
      </c>
      <c r="D44" s="74">
        <v>4.2130681818181817</v>
      </c>
      <c r="E44" s="21">
        <v>4.6339285714285712</v>
      </c>
      <c r="F44" s="25">
        <v>4.9375</v>
      </c>
      <c r="G44" s="60" t="s">
        <v>83</v>
      </c>
      <c r="H44" s="21">
        <v>4.7916666666666661</v>
      </c>
      <c r="I44" s="74">
        <v>4.3081896551724128</v>
      </c>
      <c r="J44" s="21">
        <v>4.6937499999999988</v>
      </c>
      <c r="K44" s="60" t="s">
        <v>83</v>
      </c>
      <c r="L44" s="60" t="s">
        <v>83</v>
      </c>
      <c r="M44" s="25">
        <v>4.59375</v>
      </c>
      <c r="N44" s="21">
        <v>3.7062500000000003</v>
      </c>
      <c r="O44" s="25">
        <v>4.53125</v>
      </c>
      <c r="P44" s="25">
        <v>3.9249999999999994</v>
      </c>
      <c r="Q44" s="25">
        <v>4.81666666666667</v>
      </c>
    </row>
    <row r="45" spans="1:17">
      <c r="A45" s="9" t="s">
        <v>24</v>
      </c>
      <c r="B45" s="60" t="s">
        <v>83</v>
      </c>
      <c r="C45" s="60" t="s">
        <v>83</v>
      </c>
      <c r="D45" s="62">
        <f t="shared" ref="D45:O45" si="1">D44*20</f>
        <v>84.261363636363626</v>
      </c>
      <c r="E45" s="62">
        <f t="shared" si="1"/>
        <v>92.678571428571416</v>
      </c>
      <c r="F45" s="62">
        <f t="shared" si="1"/>
        <v>98.75</v>
      </c>
      <c r="G45" s="60" t="s">
        <v>83</v>
      </c>
      <c r="H45" s="62">
        <f t="shared" si="1"/>
        <v>95.833333333333314</v>
      </c>
      <c r="I45" s="62">
        <f t="shared" si="1"/>
        <v>86.163793103448256</v>
      </c>
      <c r="J45" s="62">
        <f t="shared" si="1"/>
        <v>93.874999999999972</v>
      </c>
      <c r="K45" s="60" t="s">
        <v>83</v>
      </c>
      <c r="L45" s="60" t="s">
        <v>83</v>
      </c>
      <c r="M45" s="62">
        <f t="shared" si="1"/>
        <v>91.875</v>
      </c>
      <c r="N45" s="62">
        <f t="shared" si="1"/>
        <v>74.125</v>
      </c>
      <c r="O45" s="62">
        <f t="shared" si="1"/>
        <v>90.625</v>
      </c>
      <c r="P45" s="62">
        <f>P44*20</f>
        <v>78.499999999999986</v>
      </c>
      <c r="Q45" s="62">
        <v>96.3333333333334</v>
      </c>
    </row>
    <row r="46" spans="1:17">
      <c r="A46" s="75" t="s">
        <v>61</v>
      </c>
      <c r="B46" s="78" t="s">
        <v>84</v>
      </c>
      <c r="C46" s="78" t="s">
        <v>84</v>
      </c>
      <c r="D46" s="77">
        <v>90.91</v>
      </c>
      <c r="E46" s="76">
        <v>100</v>
      </c>
      <c r="F46" s="76">
        <v>100</v>
      </c>
      <c r="G46" s="78" t="s">
        <v>84</v>
      </c>
      <c r="H46" s="76">
        <v>100</v>
      </c>
      <c r="I46" s="77">
        <v>98.850574712643677</v>
      </c>
      <c r="J46" s="76">
        <v>100</v>
      </c>
      <c r="K46" s="78" t="s">
        <v>84</v>
      </c>
      <c r="L46" s="78" t="s">
        <v>84</v>
      </c>
      <c r="M46" s="76">
        <v>100</v>
      </c>
      <c r="N46" s="76">
        <v>90</v>
      </c>
      <c r="O46" s="77">
        <v>100</v>
      </c>
      <c r="P46" s="77">
        <v>80</v>
      </c>
      <c r="Q46" s="77">
        <v>93.33</v>
      </c>
    </row>
    <row r="48" spans="1:17" ht="23.95" customHeight="1"/>
    <row r="49" spans="1:14" s="15" customFormat="1" ht="23.95" customHeight="1">
      <c r="A49" s="6" t="s">
        <v>0</v>
      </c>
      <c r="B49" s="5" t="s">
        <v>63</v>
      </c>
      <c r="C49" s="5" t="s">
        <v>27</v>
      </c>
      <c r="D49" s="5" t="s">
        <v>65</v>
      </c>
      <c r="E49" s="5" t="s">
        <v>29</v>
      </c>
      <c r="F49" s="18" t="s">
        <v>69</v>
      </c>
      <c r="G49" s="5" t="s">
        <v>30</v>
      </c>
      <c r="H49" s="5" t="s">
        <v>31</v>
      </c>
      <c r="I49" s="5" t="s">
        <v>32</v>
      </c>
      <c r="J49" s="5" t="s">
        <v>33</v>
      </c>
      <c r="K49" s="5" t="s">
        <v>34</v>
      </c>
      <c r="L49" s="5" t="s">
        <v>64</v>
      </c>
      <c r="M49" s="5" t="s">
        <v>35</v>
      </c>
      <c r="N49" s="5" t="s">
        <v>36</v>
      </c>
    </row>
    <row r="50" spans="1:14" s="27" customFormat="1" ht="23.95" customHeight="1">
      <c r="A50" s="9" t="s">
        <v>9</v>
      </c>
      <c r="B50" s="26">
        <v>25</v>
      </c>
      <c r="C50" s="32">
        <v>53</v>
      </c>
      <c r="D50" s="26">
        <v>15</v>
      </c>
      <c r="E50" s="26">
        <v>23</v>
      </c>
      <c r="F50" s="26">
        <v>2</v>
      </c>
      <c r="G50" s="26">
        <v>74</v>
      </c>
      <c r="H50" s="26">
        <v>65</v>
      </c>
      <c r="I50" s="60" t="s">
        <v>83</v>
      </c>
      <c r="J50" s="28">
        <v>31</v>
      </c>
      <c r="K50" s="29">
        <v>52</v>
      </c>
      <c r="L50" s="26">
        <v>73</v>
      </c>
      <c r="M50" s="26">
        <v>53</v>
      </c>
      <c r="N50" s="26">
        <v>72</v>
      </c>
    </row>
    <row r="51" spans="1:14" ht="23.95" customHeight="1">
      <c r="A51" s="8" t="s">
        <v>26</v>
      </c>
      <c r="B51" s="22">
        <v>4.4799999999999995</v>
      </c>
      <c r="C51" s="33">
        <v>4.3584905660377347</v>
      </c>
      <c r="D51" s="22">
        <v>4.8666666666666671</v>
      </c>
      <c r="E51" s="22">
        <v>4.6086956521739131</v>
      </c>
      <c r="F51" s="22">
        <v>4</v>
      </c>
      <c r="G51" s="22">
        <v>4.3243243243243228</v>
      </c>
      <c r="H51" s="22">
        <v>4.4461538461538446</v>
      </c>
      <c r="I51" s="60" t="s">
        <v>83</v>
      </c>
      <c r="J51" s="22">
        <v>4.5161290322580649</v>
      </c>
      <c r="K51" s="22">
        <v>4.5192307692307701</v>
      </c>
      <c r="L51" s="22">
        <v>4.4109589041095889</v>
      </c>
      <c r="M51" s="22">
        <v>4.433962264150944</v>
      </c>
      <c r="N51" s="73">
        <v>4.5</v>
      </c>
    </row>
    <row r="52" spans="1:14" ht="23.95" customHeight="1">
      <c r="A52" s="8" t="s">
        <v>59</v>
      </c>
      <c r="B52" s="22">
        <v>4.3199999999999994</v>
      </c>
      <c r="C52" s="33">
        <v>4.3018867924528292</v>
      </c>
      <c r="D52" s="22">
        <v>4.6666666666666661</v>
      </c>
      <c r="E52" s="22">
        <v>4.6086956521739131</v>
      </c>
      <c r="F52" s="22">
        <v>4</v>
      </c>
      <c r="G52" s="22">
        <v>4.3648648648648649</v>
      </c>
      <c r="H52" s="22">
        <v>4.4615384615384608</v>
      </c>
      <c r="I52" s="60" t="s">
        <v>83</v>
      </c>
      <c r="J52" s="22">
        <v>4.5483870967741939</v>
      </c>
      <c r="K52" s="22">
        <v>4.5000000000000009</v>
      </c>
      <c r="L52" s="22">
        <v>4.3698630136986267</v>
      </c>
      <c r="M52" s="22">
        <v>4.4528301886792461</v>
      </c>
      <c r="N52" s="73">
        <v>4.5694444444444455</v>
      </c>
    </row>
    <row r="53" spans="1:14" ht="23.95" customHeight="1">
      <c r="A53" s="8" t="s">
        <v>60</v>
      </c>
      <c r="B53" s="22">
        <v>4.4000000000000012</v>
      </c>
      <c r="C53" s="33">
        <v>4.3018867924528292</v>
      </c>
      <c r="D53" s="22">
        <v>4.7333333333333334</v>
      </c>
      <c r="E53" s="22">
        <v>4.6086956521739131</v>
      </c>
      <c r="F53" s="22">
        <v>3.5</v>
      </c>
      <c r="G53" s="22">
        <v>4.3648648648648649</v>
      </c>
      <c r="H53" s="22">
        <v>4.4307692307692275</v>
      </c>
      <c r="I53" s="60" t="s">
        <v>83</v>
      </c>
      <c r="J53" s="22">
        <v>4.4838709677419351</v>
      </c>
      <c r="K53" s="22">
        <v>4.5192307692307701</v>
      </c>
      <c r="L53" s="22">
        <v>4.4109589041095898</v>
      </c>
      <c r="M53" s="22">
        <v>4.3962264150943398</v>
      </c>
      <c r="N53" s="73">
        <v>4.4583333333333321</v>
      </c>
    </row>
    <row r="54" spans="1:14" ht="23.95" customHeight="1">
      <c r="A54" s="8" t="s">
        <v>10</v>
      </c>
      <c r="B54" s="22">
        <v>4.5200000000000005</v>
      </c>
      <c r="C54" s="33">
        <v>4.415094339622641</v>
      </c>
      <c r="D54" s="22">
        <v>4.7333333333333334</v>
      </c>
      <c r="E54" s="22">
        <v>4.5652173913043486</v>
      </c>
      <c r="F54" s="22">
        <v>4</v>
      </c>
      <c r="G54" s="22">
        <v>4.3108108108108114</v>
      </c>
      <c r="H54" s="22">
        <v>4.3999999999999995</v>
      </c>
      <c r="I54" s="60" t="s">
        <v>83</v>
      </c>
      <c r="J54" s="22">
        <v>4.5483870967741948</v>
      </c>
      <c r="K54" s="22">
        <v>4.538461538461541</v>
      </c>
      <c r="L54" s="22">
        <v>4.4109589041095898</v>
      </c>
      <c r="M54" s="22">
        <v>4.4150943396226401</v>
      </c>
      <c r="N54" s="73">
        <v>4.4861111111111098</v>
      </c>
    </row>
    <row r="55" spans="1:14" ht="23.95" customHeight="1">
      <c r="A55" s="8" t="s">
        <v>11</v>
      </c>
      <c r="B55" s="22">
        <v>4.4000000000000004</v>
      </c>
      <c r="C55" s="33">
        <v>4.3584905660377347</v>
      </c>
      <c r="D55" s="22">
        <v>4.8</v>
      </c>
      <c r="E55" s="22">
        <v>4.5652173913043477</v>
      </c>
      <c r="F55" s="22">
        <v>3.5</v>
      </c>
      <c r="G55" s="22">
        <v>4.2432432432432421</v>
      </c>
      <c r="H55" s="22">
        <v>4.3692307692307697</v>
      </c>
      <c r="I55" s="60" t="s">
        <v>83</v>
      </c>
      <c r="J55" s="22">
        <v>4.3548387096774182</v>
      </c>
      <c r="K55" s="22">
        <v>4.4038461538461542</v>
      </c>
      <c r="L55" s="22">
        <v>4.3698630136986276</v>
      </c>
      <c r="M55" s="22">
        <v>4.3773584905660385</v>
      </c>
      <c r="N55" s="73">
        <v>4.541666666666667</v>
      </c>
    </row>
    <row r="56" spans="1:14" ht="23.95" customHeight="1">
      <c r="A56" s="8" t="s">
        <v>12</v>
      </c>
      <c r="B56" s="22">
        <v>4.4400000000000004</v>
      </c>
      <c r="C56" s="33">
        <v>4.3018867924528292</v>
      </c>
      <c r="D56" s="22">
        <v>4.7333333333333334</v>
      </c>
      <c r="E56" s="22">
        <v>4.5217391304347823</v>
      </c>
      <c r="F56" s="22">
        <v>4</v>
      </c>
      <c r="G56" s="22">
        <v>4.3918918918918912</v>
      </c>
      <c r="H56" s="22">
        <v>4.3538461538461526</v>
      </c>
      <c r="I56" s="60" t="s">
        <v>83</v>
      </c>
      <c r="J56" s="22">
        <v>4.4193548387096779</v>
      </c>
      <c r="K56" s="22">
        <v>4.4423076923076934</v>
      </c>
      <c r="L56" s="22">
        <v>4.3561643835616426</v>
      </c>
      <c r="M56" s="22">
        <v>4.3584905660377347</v>
      </c>
      <c r="N56" s="73">
        <v>4.4861111111111116</v>
      </c>
    </row>
    <row r="57" spans="1:14" ht="23.95" customHeight="1">
      <c r="A57" s="8" t="s">
        <v>13</v>
      </c>
      <c r="B57" s="22">
        <v>4.3999999999999995</v>
      </c>
      <c r="C57" s="33">
        <v>4.3962264150943389</v>
      </c>
      <c r="D57" s="22">
        <v>4.8666666666666671</v>
      </c>
      <c r="E57" s="22">
        <v>4.6521739130434794</v>
      </c>
      <c r="F57" s="22">
        <v>3.5</v>
      </c>
      <c r="G57" s="22">
        <v>4.3513513513513509</v>
      </c>
      <c r="H57" s="22">
        <v>4.4923076923076923</v>
      </c>
      <c r="I57" s="60" t="s">
        <v>83</v>
      </c>
      <c r="J57" s="22">
        <v>4.4838709677419359</v>
      </c>
      <c r="K57" s="22">
        <v>4.5000000000000009</v>
      </c>
      <c r="L57" s="22">
        <v>4.4383561643835616</v>
      </c>
      <c r="M57" s="22">
        <v>4.433962264150944</v>
      </c>
      <c r="N57" s="73">
        <v>4.541666666666667</v>
      </c>
    </row>
    <row r="58" spans="1:14" ht="23.95" customHeight="1">
      <c r="A58" s="8" t="s">
        <v>14</v>
      </c>
      <c r="B58" s="22">
        <v>4.32</v>
      </c>
      <c r="C58" s="33">
        <v>4.3396226415094334</v>
      </c>
      <c r="D58" s="22">
        <v>4.8</v>
      </c>
      <c r="E58" s="22">
        <v>4.5652173913043494</v>
      </c>
      <c r="F58" s="22">
        <v>4</v>
      </c>
      <c r="G58" s="22">
        <v>4.2972972972972965</v>
      </c>
      <c r="H58" s="22">
        <v>4.4153846153846112</v>
      </c>
      <c r="I58" s="60" t="s">
        <v>83</v>
      </c>
      <c r="J58" s="22">
        <v>4.4193548387096779</v>
      </c>
      <c r="K58" s="22">
        <v>4.3461538461538476</v>
      </c>
      <c r="L58" s="22">
        <v>4.3561643835616444</v>
      </c>
      <c r="M58" s="22">
        <v>4.433962264150944</v>
      </c>
      <c r="N58" s="73">
        <v>4.5277777777777777</v>
      </c>
    </row>
    <row r="59" spans="1:14" ht="23.95" customHeight="1">
      <c r="A59" s="8" t="s">
        <v>15</v>
      </c>
      <c r="B59" s="22">
        <v>4.5599999999999987</v>
      </c>
      <c r="C59" s="33">
        <v>4.3962264150943389</v>
      </c>
      <c r="D59" s="22">
        <v>4.8</v>
      </c>
      <c r="E59" s="22">
        <v>4.6956521739130439</v>
      </c>
      <c r="F59" s="22">
        <v>3.5</v>
      </c>
      <c r="G59" s="22">
        <v>4.3513513513513509</v>
      </c>
      <c r="H59" s="22">
        <v>4.5384615384615365</v>
      </c>
      <c r="I59" s="60" t="s">
        <v>83</v>
      </c>
      <c r="J59" s="22">
        <v>4.5161290322580658</v>
      </c>
      <c r="K59" s="22">
        <v>4.4615384615384626</v>
      </c>
      <c r="L59" s="22">
        <v>4.4246575342465757</v>
      </c>
      <c r="M59" s="22">
        <v>4.4150943396226419</v>
      </c>
      <c r="N59" s="73">
        <v>4.5833333333333339</v>
      </c>
    </row>
    <row r="60" spans="1:14" ht="23.95" customHeight="1">
      <c r="A60" s="8" t="s">
        <v>16</v>
      </c>
      <c r="B60" s="22">
        <v>4.3999999999999995</v>
      </c>
      <c r="C60" s="33">
        <v>4.3584905660377347</v>
      </c>
      <c r="D60" s="22">
        <v>4.8666666666666671</v>
      </c>
      <c r="E60" s="22">
        <v>4.6086956521739122</v>
      </c>
      <c r="F60" s="22">
        <v>4</v>
      </c>
      <c r="G60" s="22">
        <v>4.4189189189189175</v>
      </c>
      <c r="H60" s="22">
        <v>4.4461538461538446</v>
      </c>
      <c r="I60" s="60" t="s">
        <v>83</v>
      </c>
      <c r="J60" s="22">
        <v>4.5161290322580658</v>
      </c>
      <c r="K60" s="22">
        <v>4.4423076923076934</v>
      </c>
      <c r="L60" s="22">
        <v>4.4383561643835634</v>
      </c>
      <c r="M60" s="22">
        <v>4.3962264150943398</v>
      </c>
      <c r="N60" s="73">
        <v>4.6527777777777759</v>
      </c>
    </row>
    <row r="61" spans="1:14" ht="23.95" customHeight="1">
      <c r="A61" s="8" t="s">
        <v>17</v>
      </c>
      <c r="B61" s="22">
        <v>4.4400000000000004</v>
      </c>
      <c r="C61" s="33">
        <v>4.3962264150943389</v>
      </c>
      <c r="D61" s="22">
        <v>4.7333333333333325</v>
      </c>
      <c r="E61" s="22">
        <v>4.6521739130434776</v>
      </c>
      <c r="F61" s="22">
        <v>4</v>
      </c>
      <c r="G61" s="22">
        <v>4.4189189189189202</v>
      </c>
      <c r="H61" s="22">
        <v>4.523076923076923</v>
      </c>
      <c r="I61" s="60" t="s">
        <v>83</v>
      </c>
      <c r="J61" s="22">
        <v>4.6129032258064511</v>
      </c>
      <c r="K61" s="22">
        <v>4.5192307692307683</v>
      </c>
      <c r="L61" s="22">
        <v>4.4246575342465757</v>
      </c>
      <c r="M61" s="22">
        <v>4.4150943396226419</v>
      </c>
      <c r="N61" s="73">
        <v>4.6111111111111107</v>
      </c>
    </row>
    <row r="62" spans="1:14" ht="23.95" customHeight="1">
      <c r="A62" s="8" t="s">
        <v>18</v>
      </c>
      <c r="B62" s="22">
        <v>4.6000000000000005</v>
      </c>
      <c r="C62" s="33">
        <v>4.4528301886792461</v>
      </c>
      <c r="D62" s="22">
        <v>4.7333333333333334</v>
      </c>
      <c r="E62" s="22">
        <v>4.6521739130434776</v>
      </c>
      <c r="F62" s="22">
        <v>4</v>
      </c>
      <c r="G62" s="22">
        <v>4.3648648648648649</v>
      </c>
      <c r="H62" s="22">
        <v>4.384615384615385</v>
      </c>
      <c r="I62" s="60" t="s">
        <v>83</v>
      </c>
      <c r="J62" s="22">
        <v>4.5806451612903221</v>
      </c>
      <c r="K62" s="22">
        <v>4.5</v>
      </c>
      <c r="L62" s="22">
        <v>4.3835616438356144</v>
      </c>
      <c r="M62" s="22">
        <v>4.3584905660377347</v>
      </c>
      <c r="N62" s="73">
        <v>4.5277777777777777</v>
      </c>
    </row>
    <row r="63" spans="1:14" ht="23.95" customHeight="1">
      <c r="A63" s="8" t="s">
        <v>19</v>
      </c>
      <c r="B63" s="22">
        <v>4.5200000000000005</v>
      </c>
      <c r="C63" s="33">
        <v>4.415094339622641</v>
      </c>
      <c r="D63" s="22">
        <v>4.7333333333333334</v>
      </c>
      <c r="E63" s="22">
        <v>4.5652173913043477</v>
      </c>
      <c r="F63" s="22">
        <v>4</v>
      </c>
      <c r="G63" s="22">
        <v>4.3783783783783763</v>
      </c>
      <c r="H63" s="22">
        <v>4.3999999999999995</v>
      </c>
      <c r="I63" s="60" t="s">
        <v>83</v>
      </c>
      <c r="J63" s="22">
        <v>4.6129032258064511</v>
      </c>
      <c r="K63" s="22">
        <v>4.4038461538461542</v>
      </c>
      <c r="L63" s="22">
        <v>4.3835616438356126</v>
      </c>
      <c r="M63" s="22">
        <v>4.415094339622641</v>
      </c>
      <c r="N63" s="73">
        <v>4.6111111111111116</v>
      </c>
    </row>
    <row r="64" spans="1:14" ht="23.95" customHeight="1">
      <c r="A64" s="8" t="s">
        <v>20</v>
      </c>
      <c r="B64" s="22">
        <v>4.4400000000000004</v>
      </c>
      <c r="C64" s="33">
        <v>4.3962264150943389</v>
      </c>
      <c r="D64" s="22">
        <v>4.7333333333333334</v>
      </c>
      <c r="E64" s="22">
        <v>4.5217391304347814</v>
      </c>
      <c r="F64" s="22">
        <v>4</v>
      </c>
      <c r="G64" s="22">
        <v>4.4054054054054053</v>
      </c>
      <c r="H64" s="22">
        <v>4.4615384615384617</v>
      </c>
      <c r="I64" s="60" t="s">
        <v>83</v>
      </c>
      <c r="J64" s="22">
        <v>4.5806451612903221</v>
      </c>
      <c r="K64" s="22">
        <v>4.4615384615384617</v>
      </c>
      <c r="L64" s="22">
        <v>4.4246575342465766</v>
      </c>
      <c r="M64" s="22">
        <v>4.3584905660377347</v>
      </c>
      <c r="N64" s="73">
        <v>4.6388888888888884</v>
      </c>
    </row>
    <row r="65" spans="1:16" ht="23.95" customHeight="1">
      <c r="A65" s="8" t="s">
        <v>21</v>
      </c>
      <c r="B65" s="22">
        <v>4.5199999999999996</v>
      </c>
      <c r="C65" s="33">
        <v>4.3584905660377347</v>
      </c>
      <c r="D65" s="22">
        <v>4.8</v>
      </c>
      <c r="E65" s="22">
        <v>4.5217391304347814</v>
      </c>
      <c r="F65" s="22">
        <v>4</v>
      </c>
      <c r="G65" s="22">
        <v>4.4324324324324325</v>
      </c>
      <c r="H65" s="22">
        <v>4.5076923076923077</v>
      </c>
      <c r="I65" s="60" t="s">
        <v>83</v>
      </c>
      <c r="J65" s="22">
        <v>4.5483870967741948</v>
      </c>
      <c r="K65" s="22">
        <v>4.4807692307692308</v>
      </c>
      <c r="L65" s="22">
        <v>4.4520547945205475</v>
      </c>
      <c r="M65" s="22">
        <v>4.3396226415094326</v>
      </c>
      <c r="N65" s="73">
        <v>4.6666666666666679</v>
      </c>
    </row>
    <row r="66" spans="1:16" ht="23.95" customHeight="1">
      <c r="A66" s="8" t="s">
        <v>22</v>
      </c>
      <c r="B66" s="22">
        <v>4.4000000000000004</v>
      </c>
      <c r="C66" s="33">
        <v>4.3773584905660385</v>
      </c>
      <c r="D66" s="22">
        <v>4.8</v>
      </c>
      <c r="E66" s="22">
        <v>4.6521739130434794</v>
      </c>
      <c r="F66" s="22">
        <v>5</v>
      </c>
      <c r="G66" s="22">
        <v>4.3918918918918903</v>
      </c>
      <c r="H66" s="22">
        <v>4.5692307692307681</v>
      </c>
      <c r="I66" s="60" t="s">
        <v>83</v>
      </c>
      <c r="J66" s="22">
        <v>4.5806451612903221</v>
      </c>
      <c r="K66" s="22">
        <v>4.5961538461538476</v>
      </c>
      <c r="L66" s="22">
        <v>4.5342465753424648</v>
      </c>
      <c r="M66" s="22">
        <v>4.4528301886792452</v>
      </c>
      <c r="N66" s="73">
        <v>4.6249999999999991</v>
      </c>
    </row>
    <row r="67" spans="1:16" ht="23.95" customHeight="1">
      <c r="A67" s="9" t="s">
        <v>23</v>
      </c>
      <c r="B67" s="22">
        <v>4.4474999999999989</v>
      </c>
      <c r="C67" s="73">
        <v>4.3702830188679238</v>
      </c>
      <c r="D67" s="22">
        <v>4.7749999999999995</v>
      </c>
      <c r="E67" s="22">
        <v>4.5978260869565233</v>
      </c>
      <c r="F67" s="22">
        <v>3.9375</v>
      </c>
      <c r="G67" s="22">
        <v>4.3631756756756745</v>
      </c>
      <c r="H67" s="22">
        <v>4.4499999999999984</v>
      </c>
      <c r="I67" s="60" t="s">
        <v>83</v>
      </c>
      <c r="J67" s="22">
        <v>4.5201612903225792</v>
      </c>
      <c r="K67" s="22">
        <v>4.4771634615384635</v>
      </c>
      <c r="L67" s="22">
        <v>4.4118150684931496</v>
      </c>
      <c r="M67" s="22">
        <v>4.4033018867924536</v>
      </c>
      <c r="N67" s="73">
        <v>4.5642361111111125</v>
      </c>
    </row>
    <row r="68" spans="1:16">
      <c r="A68" s="9" t="s">
        <v>24</v>
      </c>
      <c r="B68" s="62">
        <f t="shared" ref="B68:N68" si="2">B67*20</f>
        <v>88.949999999999974</v>
      </c>
      <c r="C68" s="62">
        <f t="shared" si="2"/>
        <v>87.405660377358473</v>
      </c>
      <c r="D68" s="62">
        <f t="shared" si="2"/>
        <v>95.499999999999986</v>
      </c>
      <c r="E68" s="62">
        <f t="shared" si="2"/>
        <v>91.956521739130466</v>
      </c>
      <c r="F68" s="62">
        <f t="shared" si="2"/>
        <v>78.75</v>
      </c>
      <c r="G68" s="62">
        <f t="shared" si="2"/>
        <v>87.263513513513487</v>
      </c>
      <c r="H68" s="62">
        <f t="shared" si="2"/>
        <v>88.999999999999972</v>
      </c>
      <c r="I68" s="60" t="s">
        <v>83</v>
      </c>
      <c r="J68" s="62">
        <f t="shared" si="2"/>
        <v>90.403225806451587</v>
      </c>
      <c r="K68" s="62">
        <f t="shared" si="2"/>
        <v>89.543269230769269</v>
      </c>
      <c r="L68" s="62">
        <f t="shared" si="2"/>
        <v>88.236301369862986</v>
      </c>
      <c r="M68" s="62">
        <f t="shared" si="2"/>
        <v>88.066037735849079</v>
      </c>
      <c r="N68" s="62">
        <f t="shared" si="2"/>
        <v>91.284722222222257</v>
      </c>
    </row>
    <row r="69" spans="1:16">
      <c r="A69" s="17" t="s">
        <v>61</v>
      </c>
      <c r="B69" s="61">
        <v>100</v>
      </c>
      <c r="C69" s="61">
        <v>100</v>
      </c>
      <c r="D69" s="61">
        <v>100</v>
      </c>
      <c r="E69" s="61">
        <v>100</v>
      </c>
      <c r="F69" s="61">
        <v>100</v>
      </c>
      <c r="G69" s="61">
        <v>100</v>
      </c>
      <c r="H69" s="63">
        <v>98.461538461538467</v>
      </c>
      <c r="I69" s="23" t="s">
        <v>84</v>
      </c>
      <c r="J69" s="61">
        <v>100</v>
      </c>
      <c r="K69" s="61">
        <v>96.15384615384616</v>
      </c>
      <c r="L69" s="61">
        <v>94.520547945205479</v>
      </c>
      <c r="M69" s="61">
        <v>98.113207547169807</v>
      </c>
      <c r="N69" s="61">
        <v>100</v>
      </c>
    </row>
    <row r="71" spans="1:16" ht="23.95" customHeight="1"/>
    <row r="72" spans="1:16" s="15" customFormat="1" ht="23.95" customHeight="1">
      <c r="A72" s="7" t="s">
        <v>0</v>
      </c>
      <c r="B72" s="5" t="s">
        <v>37</v>
      </c>
      <c r="C72" s="5" t="s">
        <v>38</v>
      </c>
      <c r="D72" s="5" t="s">
        <v>39</v>
      </c>
      <c r="E72" s="10" t="s">
        <v>40</v>
      </c>
      <c r="F72" s="5" t="s">
        <v>41</v>
      </c>
      <c r="G72" s="5" t="s">
        <v>42</v>
      </c>
      <c r="H72" s="5" t="s">
        <v>43</v>
      </c>
      <c r="I72" s="5" t="s">
        <v>44</v>
      </c>
      <c r="J72" s="5" t="s">
        <v>45</v>
      </c>
      <c r="K72" s="5" t="s">
        <v>46</v>
      </c>
      <c r="L72" s="5" t="s">
        <v>47</v>
      </c>
      <c r="M72" s="5" t="s">
        <v>28</v>
      </c>
      <c r="N72" s="5" t="s">
        <v>81</v>
      </c>
      <c r="O72" s="27"/>
      <c r="P72" s="3"/>
    </row>
    <row r="73" spans="1:16" s="27" customFormat="1" ht="23.95" customHeight="1">
      <c r="A73" s="9" t="s">
        <v>9</v>
      </c>
      <c r="B73" s="26">
        <v>6</v>
      </c>
      <c r="C73" s="26">
        <v>6</v>
      </c>
      <c r="D73" s="26">
        <v>38</v>
      </c>
      <c r="E73" s="26">
        <v>42</v>
      </c>
      <c r="F73" s="26">
        <v>87</v>
      </c>
      <c r="G73" s="26">
        <v>49</v>
      </c>
      <c r="H73" s="26">
        <v>23</v>
      </c>
      <c r="I73" s="26">
        <v>45</v>
      </c>
      <c r="J73" s="26">
        <v>60</v>
      </c>
      <c r="K73" s="60" t="s">
        <v>83</v>
      </c>
      <c r="L73" s="60">
        <v>59</v>
      </c>
      <c r="M73" s="20">
        <v>33</v>
      </c>
      <c r="N73" s="60" t="s">
        <v>83</v>
      </c>
      <c r="O73" s="3"/>
      <c r="P73" s="65"/>
    </row>
    <row r="74" spans="1:16" ht="23.95" customHeight="1">
      <c r="A74" s="8" t="s">
        <v>26</v>
      </c>
      <c r="B74" s="22">
        <v>4.6666666666666661</v>
      </c>
      <c r="C74" s="22">
        <v>4</v>
      </c>
      <c r="D74" s="22">
        <v>4.4210526315789469</v>
      </c>
      <c r="E74" s="22">
        <v>4.5476190476190474</v>
      </c>
      <c r="F74" s="22">
        <v>4.5287356321839098</v>
      </c>
      <c r="G74" s="22">
        <v>4.5510204081632653</v>
      </c>
      <c r="H74" s="22">
        <v>4.8695652173913038</v>
      </c>
      <c r="I74" s="22">
        <v>4.8</v>
      </c>
      <c r="J74" s="22">
        <v>4.616666666666668</v>
      </c>
      <c r="K74" s="60" t="s">
        <v>83</v>
      </c>
      <c r="L74" s="22">
        <v>4.7796610169491531</v>
      </c>
      <c r="M74" s="22">
        <v>4.6060606060606055</v>
      </c>
      <c r="N74" s="60" t="s">
        <v>83</v>
      </c>
    </row>
    <row r="75" spans="1:16" ht="23.95" customHeight="1">
      <c r="A75" s="8" t="s">
        <v>59</v>
      </c>
      <c r="B75" s="22">
        <v>4.6666666666666661</v>
      </c>
      <c r="C75" s="22">
        <v>4.3333333333333339</v>
      </c>
      <c r="D75" s="22">
        <v>4.4210526315789469</v>
      </c>
      <c r="E75" s="22">
        <v>4.4285714285714288</v>
      </c>
      <c r="F75" s="22">
        <v>4.5287356321839081</v>
      </c>
      <c r="G75" s="22">
        <v>4.5510204081632644</v>
      </c>
      <c r="H75" s="22">
        <v>4.8260869565217392</v>
      </c>
      <c r="I75" s="22">
        <v>4.8222222222222211</v>
      </c>
      <c r="J75" s="22">
        <v>4.55</v>
      </c>
      <c r="K75" s="60" t="s">
        <v>83</v>
      </c>
      <c r="L75" s="22">
        <v>4.7118644067796591</v>
      </c>
      <c r="M75" s="22">
        <v>4.5757575757575752</v>
      </c>
      <c r="N75" s="60" t="s">
        <v>83</v>
      </c>
    </row>
    <row r="76" spans="1:16" ht="23.95" customHeight="1">
      <c r="A76" s="8" t="s">
        <v>60</v>
      </c>
      <c r="B76" s="22">
        <v>4.833333333333333</v>
      </c>
      <c r="C76" s="22">
        <v>3.8333333333333335</v>
      </c>
      <c r="D76" s="22">
        <v>4.4210526315789469</v>
      </c>
      <c r="E76" s="22">
        <v>4.404761904761906</v>
      </c>
      <c r="F76" s="22">
        <v>4.5057471264367788</v>
      </c>
      <c r="G76" s="22">
        <v>4.5918367346938789</v>
      </c>
      <c r="H76" s="22">
        <v>4.8260869565217392</v>
      </c>
      <c r="I76" s="22">
        <v>4.7777777777777768</v>
      </c>
      <c r="J76" s="22">
        <v>4.5500000000000007</v>
      </c>
      <c r="K76" s="60" t="s">
        <v>83</v>
      </c>
      <c r="L76" s="22">
        <v>4.6779661016949161</v>
      </c>
      <c r="M76" s="22">
        <v>4.6060606060606055</v>
      </c>
      <c r="N76" s="60" t="s">
        <v>83</v>
      </c>
    </row>
    <row r="77" spans="1:16" ht="23.95" customHeight="1">
      <c r="A77" s="8" t="s">
        <v>10</v>
      </c>
      <c r="B77" s="22">
        <v>4.833333333333333</v>
      </c>
      <c r="C77" s="22">
        <v>3.8333333333333335</v>
      </c>
      <c r="D77" s="22">
        <v>4.3157894736842115</v>
      </c>
      <c r="E77" s="22">
        <v>4.4047619047619051</v>
      </c>
      <c r="F77" s="22">
        <v>4.5632183908045985</v>
      </c>
      <c r="G77" s="22">
        <v>4.6122448979591848</v>
      </c>
      <c r="H77" s="22">
        <v>4.7826086956521738</v>
      </c>
      <c r="I77" s="22">
        <v>4.7111111111111104</v>
      </c>
      <c r="J77" s="22">
        <v>4.5166666666666666</v>
      </c>
      <c r="K77" s="60" t="s">
        <v>83</v>
      </c>
      <c r="L77" s="22">
        <v>4.6949152542372854</v>
      </c>
      <c r="M77" s="22">
        <v>4.5757575757575752</v>
      </c>
      <c r="N77" s="60" t="s">
        <v>83</v>
      </c>
    </row>
    <row r="78" spans="1:16" ht="23.95" customHeight="1">
      <c r="A78" s="8" t="s">
        <v>11</v>
      </c>
      <c r="B78" s="22">
        <v>4.6666666666666661</v>
      </c>
      <c r="C78" s="22">
        <v>3.6666666666666665</v>
      </c>
      <c r="D78" s="22">
        <v>4.447368421052631</v>
      </c>
      <c r="E78" s="22">
        <v>4.5476190476190474</v>
      </c>
      <c r="F78" s="22">
        <v>4.5517241379310374</v>
      </c>
      <c r="G78" s="22">
        <v>4.6326530612244898</v>
      </c>
      <c r="H78" s="22">
        <v>4.8260869565217392</v>
      </c>
      <c r="I78" s="22">
        <v>4.7111111111111112</v>
      </c>
      <c r="J78" s="22">
        <v>4.583333333333333</v>
      </c>
      <c r="K78" s="60" t="s">
        <v>83</v>
      </c>
      <c r="L78" s="22">
        <v>4.71186440677966</v>
      </c>
      <c r="M78" s="22">
        <v>4.666666666666667</v>
      </c>
      <c r="N78" s="60" t="s">
        <v>83</v>
      </c>
    </row>
    <row r="79" spans="1:16" ht="23.95" customHeight="1">
      <c r="A79" s="8" t="s">
        <v>12</v>
      </c>
      <c r="B79" s="22">
        <v>5</v>
      </c>
      <c r="C79" s="22">
        <v>3.8333333333333335</v>
      </c>
      <c r="D79" s="22">
        <v>4.4473684210526319</v>
      </c>
      <c r="E79" s="22">
        <v>4.5238095238095237</v>
      </c>
      <c r="F79" s="22">
        <v>4.4712643678160919</v>
      </c>
      <c r="G79" s="22">
        <v>4.6122448979591848</v>
      </c>
      <c r="H79" s="22">
        <v>4.7391304347826093</v>
      </c>
      <c r="I79" s="22">
        <v>4.7555555555555573</v>
      </c>
      <c r="J79" s="22">
        <v>4.4666666666666659</v>
      </c>
      <c r="K79" s="60" t="s">
        <v>83</v>
      </c>
      <c r="L79" s="22">
        <v>4.7457627118644066</v>
      </c>
      <c r="M79" s="22">
        <v>4.7575757575757569</v>
      </c>
      <c r="N79" s="60" t="s">
        <v>83</v>
      </c>
    </row>
    <row r="80" spans="1:16" ht="23.95" customHeight="1">
      <c r="A80" s="8" t="s">
        <v>13</v>
      </c>
      <c r="B80" s="22">
        <v>4.6666666666666661</v>
      </c>
      <c r="C80" s="22">
        <v>3.6666666666666665</v>
      </c>
      <c r="D80" s="22">
        <v>4.6315789473684212</v>
      </c>
      <c r="E80" s="22">
        <v>4.5476190476190474</v>
      </c>
      <c r="F80" s="22">
        <v>4.5632183908045985</v>
      </c>
      <c r="G80" s="22">
        <v>4.6326530612244898</v>
      </c>
      <c r="H80" s="22">
        <v>4.695652173913043</v>
      </c>
      <c r="I80" s="22">
        <v>4.8222222222222211</v>
      </c>
      <c r="J80" s="22">
        <v>4.6333333333333346</v>
      </c>
      <c r="K80" s="60" t="s">
        <v>83</v>
      </c>
      <c r="L80" s="22">
        <v>4.7966101694915269</v>
      </c>
      <c r="M80" s="22">
        <v>4.7575757575757569</v>
      </c>
      <c r="N80" s="60" t="s">
        <v>83</v>
      </c>
    </row>
    <row r="81" spans="1:16" ht="23.95" customHeight="1">
      <c r="A81" s="8" t="s">
        <v>14</v>
      </c>
      <c r="B81" s="22">
        <v>4.833333333333333</v>
      </c>
      <c r="C81" s="22">
        <v>4.166666666666667</v>
      </c>
      <c r="D81" s="22">
        <v>4.2894736842105257</v>
      </c>
      <c r="E81" s="22">
        <v>4.4047619047619042</v>
      </c>
      <c r="F81" s="22">
        <v>4.4712643678160937</v>
      </c>
      <c r="G81" s="22">
        <v>4.5918367346938771</v>
      </c>
      <c r="H81" s="22">
        <v>4.8260869565217392</v>
      </c>
      <c r="I81" s="22">
        <v>4.8222222222222211</v>
      </c>
      <c r="J81" s="22">
        <v>4.5</v>
      </c>
      <c r="K81" s="60" t="s">
        <v>83</v>
      </c>
      <c r="L81" s="22">
        <v>4.7118644067796591</v>
      </c>
      <c r="M81" s="22">
        <v>4.6666666666666661</v>
      </c>
      <c r="N81" s="60" t="s">
        <v>83</v>
      </c>
    </row>
    <row r="82" spans="1:16" ht="23.95" customHeight="1">
      <c r="A82" s="8" t="s">
        <v>15</v>
      </c>
      <c r="B82" s="22">
        <v>4.833333333333333</v>
      </c>
      <c r="C82" s="22">
        <v>4.3333333333333339</v>
      </c>
      <c r="D82" s="22">
        <v>4.5526315789473681</v>
      </c>
      <c r="E82" s="22">
        <v>4.5714285714285703</v>
      </c>
      <c r="F82" s="22">
        <v>4.5517241379310374</v>
      </c>
      <c r="G82" s="22">
        <v>4.5918367346938771</v>
      </c>
      <c r="H82" s="22">
        <v>4.8260869565217392</v>
      </c>
      <c r="I82" s="22">
        <v>4.7333333333333343</v>
      </c>
      <c r="J82" s="22">
        <v>4.583333333333333</v>
      </c>
      <c r="K82" s="60" t="s">
        <v>83</v>
      </c>
      <c r="L82" s="22">
        <v>4.7796610169491514</v>
      </c>
      <c r="M82" s="22">
        <v>4.7575757575757587</v>
      </c>
      <c r="N82" s="60" t="s">
        <v>83</v>
      </c>
    </row>
    <row r="83" spans="1:16" ht="23.95" customHeight="1">
      <c r="A83" s="8" t="s">
        <v>16</v>
      </c>
      <c r="B83" s="22">
        <v>4.6666666666666661</v>
      </c>
      <c r="C83" s="22">
        <v>4</v>
      </c>
      <c r="D83" s="22">
        <v>4.447368421052631</v>
      </c>
      <c r="E83" s="22">
        <v>4.5714285714285703</v>
      </c>
      <c r="F83" s="22">
        <v>4.5517241379310365</v>
      </c>
      <c r="G83" s="22">
        <v>4.6326530612244889</v>
      </c>
      <c r="H83" s="22">
        <v>4.8260869565217392</v>
      </c>
      <c r="I83" s="22">
        <v>4.7777777777777768</v>
      </c>
      <c r="J83" s="22">
        <v>4.583333333333333</v>
      </c>
      <c r="K83" s="60" t="s">
        <v>83</v>
      </c>
      <c r="L83" s="22">
        <v>4.7457627118644057</v>
      </c>
      <c r="M83" s="22">
        <v>4.666666666666667</v>
      </c>
      <c r="N83" s="60" t="s">
        <v>83</v>
      </c>
    </row>
    <row r="84" spans="1:16" ht="23.95" customHeight="1">
      <c r="A84" s="8" t="s">
        <v>17</v>
      </c>
      <c r="B84" s="22">
        <v>4.5</v>
      </c>
      <c r="C84" s="22">
        <v>4.166666666666667</v>
      </c>
      <c r="D84" s="22">
        <v>4.5789473684210531</v>
      </c>
      <c r="E84" s="22">
        <v>4.5714285714285712</v>
      </c>
      <c r="F84" s="22">
        <v>4.5287356321839072</v>
      </c>
      <c r="G84" s="22">
        <v>4.6530612244897949</v>
      </c>
      <c r="H84" s="22">
        <v>4.7826086956521747</v>
      </c>
      <c r="I84" s="22">
        <v>4.7555555555555555</v>
      </c>
      <c r="J84" s="22">
        <v>4.6000000000000005</v>
      </c>
      <c r="K84" s="60" t="s">
        <v>83</v>
      </c>
      <c r="L84" s="22">
        <v>4.7457627118644066</v>
      </c>
      <c r="M84" s="22">
        <v>4.7272727272727257</v>
      </c>
      <c r="N84" s="60" t="s">
        <v>83</v>
      </c>
    </row>
    <row r="85" spans="1:16" ht="23.95" customHeight="1">
      <c r="A85" s="8" t="s">
        <v>18</v>
      </c>
      <c r="B85" s="22">
        <v>4.6666666666666661</v>
      </c>
      <c r="C85" s="22">
        <v>4</v>
      </c>
      <c r="D85" s="22">
        <v>4.473684210526315</v>
      </c>
      <c r="E85" s="22">
        <v>4.4761904761904754</v>
      </c>
      <c r="F85" s="22">
        <v>4.5057471264367788</v>
      </c>
      <c r="G85" s="22">
        <v>4.6938775510204085</v>
      </c>
      <c r="H85" s="22">
        <v>4.7826086956521747</v>
      </c>
      <c r="I85" s="22">
        <v>4.8000000000000007</v>
      </c>
      <c r="J85" s="22">
        <v>4.5</v>
      </c>
      <c r="K85" s="60" t="s">
        <v>83</v>
      </c>
      <c r="L85" s="22">
        <v>4.71186440677966</v>
      </c>
      <c r="M85" s="22">
        <v>4.6666666666666661</v>
      </c>
      <c r="N85" s="60" t="s">
        <v>83</v>
      </c>
    </row>
    <row r="86" spans="1:16" ht="23.95" customHeight="1">
      <c r="A86" s="8" t="s">
        <v>19</v>
      </c>
      <c r="B86" s="22">
        <v>4.833333333333333</v>
      </c>
      <c r="C86" s="22">
        <v>4</v>
      </c>
      <c r="D86" s="22">
        <v>4.4999999999999991</v>
      </c>
      <c r="E86" s="22">
        <v>4.4523809523809526</v>
      </c>
      <c r="F86" s="22">
        <v>4.5287356321839072</v>
      </c>
      <c r="G86" s="22">
        <v>4.6530612244897966</v>
      </c>
      <c r="H86" s="22">
        <v>4.8260869565217392</v>
      </c>
      <c r="I86" s="22">
        <v>4.7555555555555555</v>
      </c>
      <c r="J86" s="22">
        <v>4.5166666666666666</v>
      </c>
      <c r="K86" s="60" t="s">
        <v>83</v>
      </c>
      <c r="L86" s="22">
        <v>4.7627118644067794</v>
      </c>
      <c r="M86" s="22">
        <v>4.7272727272727266</v>
      </c>
      <c r="N86" s="60" t="s">
        <v>83</v>
      </c>
    </row>
    <row r="87" spans="1:16" ht="23.95" customHeight="1">
      <c r="A87" s="8" t="s">
        <v>20</v>
      </c>
      <c r="B87" s="22">
        <v>4.833333333333333</v>
      </c>
      <c r="C87" s="22">
        <v>4.5</v>
      </c>
      <c r="D87" s="22">
        <v>4.473684210526315</v>
      </c>
      <c r="E87" s="22">
        <v>4.5952380952380949</v>
      </c>
      <c r="F87" s="22">
        <v>4.4942528735632203</v>
      </c>
      <c r="G87" s="22">
        <v>4.5102040816326543</v>
      </c>
      <c r="H87" s="22">
        <v>4.8260869565217392</v>
      </c>
      <c r="I87" s="22">
        <v>4.7555555555555555</v>
      </c>
      <c r="J87" s="22">
        <v>4.4333333333333318</v>
      </c>
      <c r="K87" s="60" t="s">
        <v>83</v>
      </c>
      <c r="L87" s="22">
        <v>4.7288135593220355</v>
      </c>
      <c r="M87" s="22">
        <v>4.6060606060606055</v>
      </c>
      <c r="N87" s="60" t="s">
        <v>83</v>
      </c>
    </row>
    <row r="88" spans="1:16" ht="23.95" customHeight="1">
      <c r="A88" s="8" t="s">
        <v>21</v>
      </c>
      <c r="B88" s="22">
        <v>4.6666666666666661</v>
      </c>
      <c r="C88" s="22">
        <v>4</v>
      </c>
      <c r="D88" s="22">
        <v>4.5</v>
      </c>
      <c r="E88" s="22">
        <v>4.5238095238095237</v>
      </c>
      <c r="F88" s="22">
        <v>4.5862068965517233</v>
      </c>
      <c r="G88" s="22">
        <v>4.5714285714285712</v>
      </c>
      <c r="H88" s="22">
        <v>4.8260869565217392</v>
      </c>
      <c r="I88" s="22">
        <v>4.7555555555555555</v>
      </c>
      <c r="J88" s="22">
        <v>4.5833333333333339</v>
      </c>
      <c r="K88" s="60" t="s">
        <v>83</v>
      </c>
      <c r="L88" s="22">
        <v>4.7288135593220337</v>
      </c>
      <c r="M88" s="22">
        <v>4.6363636363636367</v>
      </c>
      <c r="N88" s="60" t="s">
        <v>83</v>
      </c>
    </row>
    <row r="89" spans="1:16" ht="23.95" customHeight="1">
      <c r="A89" s="8" t="s">
        <v>22</v>
      </c>
      <c r="B89" s="22">
        <v>4.833333333333333</v>
      </c>
      <c r="C89" s="22">
        <v>4.3333333333333339</v>
      </c>
      <c r="D89" s="22">
        <v>4.4999999999999991</v>
      </c>
      <c r="E89" s="22">
        <v>4.5952380952380949</v>
      </c>
      <c r="F89" s="22">
        <v>4.6321839080459757</v>
      </c>
      <c r="G89" s="22">
        <v>4.6530612244897975</v>
      </c>
      <c r="H89" s="22">
        <v>4.8695652173913038</v>
      </c>
      <c r="I89" s="22">
        <v>4.8666666666666671</v>
      </c>
      <c r="J89" s="22">
        <v>4.6666666666666679</v>
      </c>
      <c r="K89" s="60" t="s">
        <v>83</v>
      </c>
      <c r="L89" s="22">
        <v>4.8135593220338979</v>
      </c>
      <c r="M89" s="22">
        <v>4.7575757575757578</v>
      </c>
      <c r="N89" s="60" t="s">
        <v>83</v>
      </c>
    </row>
    <row r="90" spans="1:16" ht="23.95" customHeight="1">
      <c r="A90" s="9" t="s">
        <v>23</v>
      </c>
      <c r="B90" s="22">
        <v>4.75</v>
      </c>
      <c r="C90" s="22">
        <v>4.041666666666667</v>
      </c>
      <c r="D90" s="22">
        <v>4.463815789473685</v>
      </c>
      <c r="E90" s="22">
        <v>4.510416666666667</v>
      </c>
      <c r="F90" s="22">
        <v>4.535201149425288</v>
      </c>
      <c r="G90" s="22">
        <v>4.6084183673469399</v>
      </c>
      <c r="H90" s="22">
        <v>4.8097826086956523</v>
      </c>
      <c r="I90" s="22">
        <v>4.7763888888888903</v>
      </c>
      <c r="J90" s="22">
        <v>4.555208333333332</v>
      </c>
      <c r="K90" s="60" t="s">
        <v>83</v>
      </c>
      <c r="L90" s="22">
        <v>4.7404661016949143</v>
      </c>
      <c r="M90" s="22">
        <v>4.6723484848484844</v>
      </c>
      <c r="N90" s="60" t="s">
        <v>83</v>
      </c>
    </row>
    <row r="91" spans="1:16" s="65" customFormat="1">
      <c r="A91" s="64" t="s">
        <v>24</v>
      </c>
      <c r="B91" s="67">
        <f>B90*20</f>
        <v>95</v>
      </c>
      <c r="C91" s="62">
        <f>C90*20</f>
        <v>80.833333333333343</v>
      </c>
      <c r="D91" s="62">
        <f>D90*20</f>
        <v>89.276315789473699</v>
      </c>
      <c r="E91" s="62">
        <f t="shared" ref="E91:M91" si="3">E90*20</f>
        <v>90.208333333333343</v>
      </c>
      <c r="F91" s="62">
        <f t="shared" si="3"/>
        <v>90.704022988505756</v>
      </c>
      <c r="G91" s="62">
        <f t="shared" si="3"/>
        <v>92.168367346938794</v>
      </c>
      <c r="H91" s="62">
        <f t="shared" si="3"/>
        <v>96.195652173913047</v>
      </c>
      <c r="I91" s="62">
        <f t="shared" si="3"/>
        <v>95.5277777777778</v>
      </c>
      <c r="J91" s="62">
        <f t="shared" si="3"/>
        <v>91.104166666666643</v>
      </c>
      <c r="K91" s="60" t="s">
        <v>83</v>
      </c>
      <c r="L91" s="62">
        <f t="shared" ref="L91" si="4">L90*20</f>
        <v>94.809322033898283</v>
      </c>
      <c r="M91" s="62">
        <f t="shared" si="3"/>
        <v>93.446969696969688</v>
      </c>
      <c r="N91" s="60" t="s">
        <v>83</v>
      </c>
      <c r="P91" s="3"/>
    </row>
    <row r="92" spans="1:16">
      <c r="A92" s="17" t="s">
        <v>61</v>
      </c>
      <c r="B92" s="61">
        <v>100</v>
      </c>
      <c r="C92" s="61">
        <v>100</v>
      </c>
      <c r="D92" s="61">
        <v>97.368421052631575</v>
      </c>
      <c r="E92" s="61">
        <v>100</v>
      </c>
      <c r="F92" s="61">
        <v>100</v>
      </c>
      <c r="G92" s="61">
        <v>97.959183673469383</v>
      </c>
      <c r="H92" s="61">
        <v>100</v>
      </c>
      <c r="I92" s="61">
        <v>100</v>
      </c>
      <c r="J92" s="61">
        <v>100</v>
      </c>
      <c r="K92" s="23" t="s">
        <v>84</v>
      </c>
      <c r="L92" s="24">
        <v>98.31</v>
      </c>
      <c r="M92" s="61">
        <v>100</v>
      </c>
      <c r="N92" s="23" t="s">
        <v>84</v>
      </c>
    </row>
    <row r="93" spans="1:16" ht="23.95" customHeight="1"/>
    <row r="94" spans="1:16" ht="23.95" customHeight="1"/>
    <row r="95" spans="1:16">
      <c r="B95" s="3"/>
      <c r="E95" s="11"/>
      <c r="F95" s="11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>
      <c r="B102" s="3"/>
      <c r="E102" s="12"/>
      <c r="F102" s="12"/>
    </row>
    <row r="103" spans="2:6" ht="23.95" customHeight="1">
      <c r="B103" s="3"/>
      <c r="E103" s="12"/>
      <c r="F103" s="12"/>
    </row>
    <row r="104" spans="2:6" ht="23.95" customHeight="1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>
      <c r="B110" s="3"/>
      <c r="E110" s="12"/>
      <c r="F110" s="12"/>
    </row>
    <row r="111" spans="2:6" ht="23.95" customHeight="1">
      <c r="B111" s="3"/>
      <c r="E111" s="12"/>
      <c r="F111" s="12"/>
    </row>
    <row r="112" spans="2:6" ht="23.95" customHeight="1">
      <c r="B112" s="3"/>
      <c r="E112" s="12"/>
      <c r="F112" s="12"/>
    </row>
    <row r="113" spans="2:6">
      <c r="B113" s="3"/>
      <c r="E113" s="13"/>
      <c r="F113" s="13"/>
    </row>
    <row r="114" spans="2:6">
      <c r="B114" s="3"/>
      <c r="E114" s="13"/>
      <c r="F114" s="13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3"/>
  <sheetViews>
    <sheetView tabSelected="1" view="pageBreakPreview" topLeftCell="A28" zoomScaleNormal="100" zoomScaleSheetLayoutView="100" workbookViewId="0">
      <selection activeCell="G39" sqref="G39"/>
    </sheetView>
  </sheetViews>
  <sheetFormatPr defaultColWidth="9" defaultRowHeight="21.1"/>
  <cols>
    <col min="1" max="1" width="4.75" style="35" customWidth="1"/>
    <col min="2" max="2" width="27.625" style="35" customWidth="1"/>
    <col min="3" max="7" width="12" style="35" customWidth="1"/>
    <col min="8" max="8" width="30.125" style="35" customWidth="1"/>
    <col min="9" max="9" width="14.75" style="35" customWidth="1"/>
    <col min="10" max="10" width="7.25" style="35" customWidth="1"/>
    <col min="11" max="16384" width="9" style="35"/>
  </cols>
  <sheetData>
    <row r="1" spans="1:11" s="47" customFormat="1" ht="43.5" customHeight="1">
      <c r="A1" s="92" t="s">
        <v>98</v>
      </c>
      <c r="B1" s="93"/>
      <c r="C1" s="93"/>
      <c r="D1" s="93"/>
      <c r="E1" s="93"/>
      <c r="F1" s="93"/>
      <c r="G1" s="93"/>
      <c r="H1" s="93"/>
      <c r="I1" s="93"/>
    </row>
    <row r="2" spans="1:11" s="47" customFormat="1">
      <c r="A2" s="91" t="s">
        <v>94</v>
      </c>
      <c r="B2" s="91"/>
      <c r="C2" s="91"/>
      <c r="D2" s="91"/>
      <c r="E2" s="91"/>
      <c r="F2" s="91"/>
      <c r="G2" s="91"/>
      <c r="H2" s="91"/>
    </row>
    <row r="3" spans="1:11" s="36" customFormat="1">
      <c r="A3" s="91" t="s">
        <v>93</v>
      </c>
      <c r="B3" s="91"/>
      <c r="C3" s="91"/>
      <c r="D3" s="91"/>
      <c r="E3" s="91"/>
      <c r="F3" s="91"/>
      <c r="G3" s="91"/>
      <c r="H3" s="91"/>
      <c r="I3" s="47"/>
    </row>
    <row r="4" spans="1:11" s="47" customFormat="1">
      <c r="A4" s="49" t="s">
        <v>70</v>
      </c>
      <c r="B4" s="49"/>
      <c r="C4" s="49"/>
      <c r="D4" s="49"/>
      <c r="E4" s="49"/>
      <c r="F4" s="50"/>
      <c r="G4" s="50"/>
      <c r="H4" s="50"/>
      <c r="I4" s="36"/>
    </row>
    <row r="5" spans="1:11" s="47" customFormat="1">
      <c r="B5" s="95" t="s">
        <v>163</v>
      </c>
      <c r="C5" s="95"/>
      <c r="D5" s="95"/>
      <c r="E5" s="95"/>
      <c r="F5" s="95"/>
      <c r="G5" s="95"/>
      <c r="H5" s="95"/>
    </row>
    <row r="6" spans="1:11" s="85" customFormat="1">
      <c r="A6" s="47"/>
      <c r="B6" s="95" t="s">
        <v>162</v>
      </c>
      <c r="C6" s="95"/>
      <c r="D6" s="95"/>
      <c r="E6" s="95"/>
      <c r="F6" s="95"/>
      <c r="G6" s="95"/>
      <c r="H6" s="95"/>
      <c r="I6" s="47"/>
    </row>
    <row r="7" spans="1:11" s="36" customFormat="1" ht="21.75" customHeight="1">
      <c r="A7" s="85"/>
      <c r="B7" s="96" t="s">
        <v>164</v>
      </c>
      <c r="C7" s="96"/>
      <c r="D7" s="96"/>
      <c r="E7" s="96"/>
      <c r="F7" s="96"/>
      <c r="G7" s="96"/>
      <c r="H7" s="96"/>
      <c r="I7" s="85"/>
    </row>
    <row r="8" spans="1:11" s="36" customFormat="1" ht="21.75" customHeight="1">
      <c r="B8" s="51" t="s">
        <v>0</v>
      </c>
      <c r="C8" s="52" t="s">
        <v>48</v>
      </c>
      <c r="D8" s="52" t="s">
        <v>49</v>
      </c>
      <c r="E8" s="52" t="s">
        <v>50</v>
      </c>
      <c r="F8" s="52" t="s">
        <v>51</v>
      </c>
      <c r="G8" s="52" t="s">
        <v>52</v>
      </c>
    </row>
    <row r="9" spans="1:11" s="36" customFormat="1" ht="21.75" customHeight="1">
      <c r="B9" s="53" t="s">
        <v>9</v>
      </c>
      <c r="C9" s="54" t="s">
        <v>91</v>
      </c>
      <c r="D9" s="54" t="s">
        <v>90</v>
      </c>
      <c r="E9" s="66">
        <v>15</v>
      </c>
      <c r="F9" s="55" t="s">
        <v>97</v>
      </c>
      <c r="G9" s="55" t="s">
        <v>92</v>
      </c>
    </row>
    <row r="10" spans="1:11" s="36" customFormat="1" ht="21.75" customHeight="1">
      <c r="B10" s="53" t="s">
        <v>23</v>
      </c>
      <c r="C10" s="30">
        <v>4.247530653950955</v>
      </c>
      <c r="D10" s="30">
        <v>4.5254817444219047</v>
      </c>
      <c r="E10" s="19">
        <v>3.9249999999999994</v>
      </c>
      <c r="F10" s="83">
        <v>4.8499999999999996</v>
      </c>
      <c r="G10" s="83">
        <v>4.7916666666666661</v>
      </c>
    </row>
    <row r="11" spans="1:11" s="36" customFormat="1" ht="21.75" customHeight="1">
      <c r="B11" s="53" t="s">
        <v>24</v>
      </c>
      <c r="C11" s="30">
        <v>84.950613079019092</v>
      </c>
      <c r="D11" s="30">
        <v>90.509634888438086</v>
      </c>
      <c r="E11" s="30">
        <v>78.499999999999986</v>
      </c>
      <c r="F11" s="84">
        <v>97</v>
      </c>
      <c r="G11" s="84">
        <v>95.833333333333314</v>
      </c>
    </row>
    <row r="12" spans="1:11" s="36" customFormat="1" ht="23.95" customHeight="1">
      <c r="B12" s="57"/>
      <c r="C12" s="58"/>
      <c r="D12" s="58"/>
      <c r="E12" s="58"/>
      <c r="F12" s="71"/>
      <c r="G12" s="71"/>
    </row>
    <row r="13" spans="1:11" s="36" customFormat="1" ht="23.95" customHeight="1">
      <c r="A13" s="94" t="s">
        <v>53</v>
      </c>
      <c r="B13" s="94"/>
      <c r="H13" s="36" t="s">
        <v>68</v>
      </c>
    </row>
    <row r="14" spans="1:11" s="36" customFormat="1" ht="23.95" customHeight="1">
      <c r="B14" s="39" t="s">
        <v>54</v>
      </c>
    </row>
    <row r="15" spans="1:11" s="36" customFormat="1" ht="23.95" customHeight="1">
      <c r="B15" s="97" t="s">
        <v>132</v>
      </c>
      <c r="C15" s="98"/>
      <c r="D15" s="98"/>
      <c r="E15" s="98"/>
      <c r="F15" s="98"/>
      <c r="G15" s="98"/>
      <c r="H15" s="98"/>
      <c r="I15" s="98"/>
      <c r="J15" s="98"/>
      <c r="K15" s="98"/>
    </row>
    <row r="16" spans="1:11" s="36" customFormat="1" ht="23.95" customHeight="1">
      <c r="B16" s="97" t="s">
        <v>116</v>
      </c>
      <c r="C16" s="98"/>
      <c r="D16" s="98"/>
      <c r="E16" s="98"/>
      <c r="F16" s="98"/>
      <c r="G16" s="98"/>
      <c r="H16" s="98"/>
      <c r="I16" s="98"/>
      <c r="J16" s="98"/>
      <c r="K16" s="98"/>
    </row>
    <row r="17" spans="1:11" s="36" customFormat="1" ht="23.95" customHeight="1">
      <c r="B17" s="97" t="s">
        <v>133</v>
      </c>
      <c r="C17" s="98"/>
      <c r="D17" s="98"/>
      <c r="E17" s="98"/>
      <c r="F17" s="98"/>
      <c r="G17" s="98"/>
      <c r="H17" s="98"/>
      <c r="I17" s="98"/>
      <c r="J17" s="98"/>
      <c r="K17" s="98"/>
    </row>
    <row r="18" spans="1:11" s="36" customFormat="1" ht="23.95" customHeight="1">
      <c r="B18" s="97" t="s">
        <v>122</v>
      </c>
      <c r="C18" s="98"/>
      <c r="D18" s="98"/>
      <c r="E18" s="98"/>
      <c r="F18" s="98"/>
      <c r="G18" s="98"/>
      <c r="H18" s="98"/>
      <c r="I18" s="98"/>
      <c r="J18" s="98"/>
      <c r="K18" s="98"/>
    </row>
    <row r="19" spans="1:11" s="36" customFormat="1" ht="23.95" customHeight="1">
      <c r="B19" s="97" t="s">
        <v>128</v>
      </c>
      <c r="C19" s="98"/>
      <c r="D19" s="98"/>
      <c r="E19" s="98"/>
      <c r="F19" s="98"/>
      <c r="G19" s="98"/>
      <c r="H19" s="98"/>
      <c r="I19" s="98"/>
      <c r="J19" s="98"/>
      <c r="K19" s="98"/>
    </row>
    <row r="20" spans="1:11" s="36" customFormat="1" ht="23.95" customHeight="1">
      <c r="B20" s="97" t="s">
        <v>129</v>
      </c>
      <c r="C20" s="98"/>
      <c r="D20" s="98"/>
      <c r="E20" s="98"/>
      <c r="F20" s="98"/>
      <c r="G20" s="98"/>
      <c r="H20" s="98"/>
      <c r="I20" s="98"/>
      <c r="J20" s="98"/>
      <c r="K20" s="98"/>
    </row>
    <row r="21" spans="1:11" s="36" customFormat="1" ht="23.95" customHeight="1">
      <c r="B21" s="97" t="s">
        <v>106</v>
      </c>
      <c r="C21" s="98"/>
      <c r="D21" s="98"/>
      <c r="E21" s="98"/>
      <c r="F21" s="98"/>
      <c r="G21" s="98"/>
      <c r="H21" s="98"/>
      <c r="I21" s="98"/>
      <c r="J21" s="98"/>
      <c r="K21" s="98"/>
    </row>
    <row r="22" spans="1:11" s="36" customFormat="1" ht="23.95" customHeight="1">
      <c r="B22" s="97" t="s">
        <v>123</v>
      </c>
      <c r="C22" s="98"/>
      <c r="D22" s="98"/>
      <c r="E22" s="98"/>
      <c r="F22" s="98"/>
      <c r="G22" s="98"/>
      <c r="H22" s="98"/>
      <c r="I22" s="98"/>
      <c r="J22" s="98"/>
      <c r="K22" s="98"/>
    </row>
    <row r="23" spans="1:11" s="36" customFormat="1" ht="23.95" customHeight="1">
      <c r="B23" s="90" t="s">
        <v>117</v>
      </c>
      <c r="C23" s="90"/>
      <c r="D23" s="90"/>
      <c r="E23" s="98"/>
      <c r="F23" s="98"/>
      <c r="G23" s="98"/>
      <c r="H23" s="98"/>
      <c r="I23" s="98"/>
      <c r="J23" s="98"/>
      <c r="K23" s="98"/>
    </row>
    <row r="24" spans="1:11" s="36" customFormat="1" ht="23.95" customHeight="1">
      <c r="B24" s="98" t="s">
        <v>108</v>
      </c>
      <c r="C24" s="98"/>
      <c r="D24" s="98"/>
      <c r="E24" s="98"/>
      <c r="F24" s="98"/>
      <c r="G24" s="98"/>
      <c r="H24" s="98"/>
      <c r="I24" s="98"/>
      <c r="J24" s="98"/>
      <c r="K24" s="98"/>
    </row>
    <row r="25" spans="1:11" s="36" customFormat="1" ht="23.95" customHeight="1">
      <c r="B25" s="90" t="s">
        <v>105</v>
      </c>
      <c r="C25" s="90"/>
      <c r="D25" s="90"/>
      <c r="E25" s="90"/>
      <c r="F25" s="98"/>
      <c r="G25" s="98"/>
      <c r="H25" s="98"/>
      <c r="I25" s="98"/>
      <c r="J25" s="98"/>
      <c r="K25" s="98"/>
    </row>
    <row r="26" spans="1:11" s="36" customFormat="1" ht="23.95" customHeight="1">
      <c r="B26" s="90" t="s">
        <v>135</v>
      </c>
      <c r="C26" s="90"/>
      <c r="D26" s="90"/>
      <c r="E26" s="90"/>
      <c r="F26" s="90"/>
      <c r="G26" s="90"/>
      <c r="H26" s="98"/>
      <c r="I26" s="98"/>
      <c r="J26" s="98"/>
      <c r="K26" s="98"/>
    </row>
    <row r="27" spans="1:11" s="36" customFormat="1" ht="23.95" customHeight="1">
      <c r="B27" s="90" t="s">
        <v>120</v>
      </c>
      <c r="C27" s="90"/>
      <c r="D27" s="90"/>
      <c r="E27" s="90"/>
      <c r="F27" s="90"/>
      <c r="G27" s="90"/>
      <c r="H27" s="90"/>
      <c r="I27" s="98"/>
      <c r="J27" s="98"/>
      <c r="K27" s="98"/>
    </row>
    <row r="28" spans="1:11" s="36" customFormat="1" ht="23.95" customHeight="1">
      <c r="B28" s="90" t="s">
        <v>179</v>
      </c>
      <c r="C28" s="90"/>
      <c r="D28" s="90"/>
      <c r="E28" s="90"/>
      <c r="F28" s="90"/>
      <c r="G28" s="90"/>
      <c r="H28" s="90"/>
      <c r="I28" s="90"/>
      <c r="J28" s="90"/>
      <c r="K28" s="90"/>
    </row>
    <row r="29" spans="1:11" s="36" customFormat="1" ht="23.95" customHeight="1">
      <c r="B29" s="99" t="s">
        <v>180</v>
      </c>
      <c r="C29" s="99"/>
      <c r="D29" s="99"/>
      <c r="E29" s="99"/>
      <c r="F29" s="99"/>
      <c r="G29" s="99"/>
      <c r="H29" s="99"/>
      <c r="I29" s="99"/>
      <c r="J29" s="99"/>
      <c r="K29" s="99"/>
    </row>
    <row r="30" spans="1:11" s="36" customFormat="1" ht="23.95" customHeight="1">
      <c r="B30" s="90" t="s">
        <v>114</v>
      </c>
      <c r="C30" s="90"/>
      <c r="D30" s="90"/>
      <c r="E30" s="90"/>
      <c r="F30" s="90"/>
      <c r="G30" s="90"/>
      <c r="H30" s="90"/>
      <c r="I30" s="90"/>
      <c r="J30" s="90"/>
      <c r="K30" s="90"/>
    </row>
    <row r="31" spans="1:11" s="70" customFormat="1" ht="23.95" customHeight="1">
      <c r="A31" s="35"/>
      <c r="B31" s="103" t="s">
        <v>101</v>
      </c>
      <c r="C31" s="104"/>
      <c r="D31" s="104"/>
      <c r="E31" s="104"/>
      <c r="F31" s="104"/>
      <c r="G31" s="104"/>
      <c r="H31" s="104"/>
      <c r="I31" s="98"/>
      <c r="J31" s="101"/>
      <c r="K31" s="101"/>
    </row>
    <row r="32" spans="1:11" s="70" customFormat="1" ht="23.95" customHeight="1">
      <c r="A32" s="35"/>
      <c r="B32" s="97" t="s">
        <v>107</v>
      </c>
      <c r="C32" s="104"/>
      <c r="D32" s="104"/>
      <c r="E32" s="104"/>
      <c r="F32" s="104"/>
      <c r="G32" s="104"/>
      <c r="H32" s="104"/>
      <c r="I32" s="98"/>
      <c r="J32" s="101"/>
      <c r="K32" s="101"/>
    </row>
    <row r="33" spans="1:11" s="70" customFormat="1" ht="23.95" customHeight="1">
      <c r="A33" s="35"/>
      <c r="B33" s="100" t="s">
        <v>183</v>
      </c>
      <c r="C33" s="100"/>
      <c r="D33" s="100"/>
      <c r="E33" s="100"/>
      <c r="F33" s="100"/>
      <c r="G33" s="100"/>
      <c r="H33" s="100"/>
      <c r="I33" s="100"/>
      <c r="J33" s="100"/>
      <c r="K33" s="101"/>
    </row>
    <row r="34" spans="1:11" s="70" customFormat="1" ht="23.95" customHeight="1">
      <c r="A34" s="35"/>
      <c r="B34" s="100" t="s">
        <v>184</v>
      </c>
      <c r="C34" s="100"/>
      <c r="D34" s="100"/>
      <c r="E34" s="100"/>
      <c r="F34" s="100"/>
      <c r="G34" s="100"/>
      <c r="H34" s="100"/>
      <c r="I34" s="100"/>
      <c r="J34" s="100"/>
      <c r="K34" s="101"/>
    </row>
    <row r="35" spans="1:11" s="70" customFormat="1" ht="23.95" customHeight="1">
      <c r="A35" s="35"/>
      <c r="B35" s="103" t="s">
        <v>102</v>
      </c>
      <c r="C35" s="104"/>
      <c r="D35" s="104"/>
      <c r="E35" s="104"/>
      <c r="F35" s="104"/>
      <c r="G35" s="104"/>
      <c r="H35" s="104"/>
      <c r="I35" s="98"/>
      <c r="J35" s="101"/>
      <c r="K35" s="101"/>
    </row>
    <row r="36" spans="1:11" s="70" customFormat="1" ht="23.95" customHeight="1">
      <c r="A36" s="35"/>
      <c r="B36" s="100" t="s">
        <v>181</v>
      </c>
      <c r="C36" s="100"/>
      <c r="D36" s="100"/>
      <c r="E36" s="100"/>
      <c r="F36" s="100"/>
      <c r="G36" s="100"/>
      <c r="H36" s="100"/>
      <c r="I36" s="100"/>
      <c r="J36" s="100"/>
      <c r="K36" s="101"/>
    </row>
    <row r="37" spans="1:11" s="70" customFormat="1" ht="23.95" customHeight="1">
      <c r="A37" s="35"/>
      <c r="B37" s="100" t="s">
        <v>182</v>
      </c>
      <c r="C37" s="100"/>
      <c r="D37" s="100"/>
      <c r="E37" s="100"/>
      <c r="F37" s="100"/>
      <c r="G37" s="100"/>
      <c r="H37" s="100"/>
      <c r="I37" s="100"/>
      <c r="J37" s="100"/>
      <c r="K37" s="103"/>
    </row>
    <row r="38" spans="1:11" s="70" customFormat="1" ht="23.95" customHeight="1">
      <c r="A38" s="35"/>
      <c r="B38" s="100" t="s">
        <v>185</v>
      </c>
      <c r="C38" s="100"/>
      <c r="D38" s="100"/>
      <c r="E38" s="100"/>
      <c r="F38" s="100"/>
      <c r="G38" s="100"/>
      <c r="H38" s="100"/>
      <c r="I38" s="100"/>
      <c r="J38" s="100"/>
      <c r="K38" s="101"/>
    </row>
    <row r="39" spans="1:11" s="70" customFormat="1" ht="23.95" customHeight="1">
      <c r="A39" s="35"/>
      <c r="B39" s="100" t="s">
        <v>186</v>
      </c>
      <c r="C39" s="100"/>
      <c r="D39" s="100"/>
      <c r="E39" s="100"/>
      <c r="F39" s="100"/>
      <c r="G39" s="100"/>
      <c r="H39" s="100"/>
      <c r="I39" s="100"/>
      <c r="J39" s="100"/>
      <c r="K39" s="101"/>
    </row>
    <row r="40" spans="1:11" s="70" customFormat="1" ht="23.95" customHeight="1">
      <c r="A40" s="35"/>
      <c r="B40" s="100" t="s">
        <v>187</v>
      </c>
      <c r="C40" s="100"/>
      <c r="D40" s="100"/>
      <c r="E40" s="100"/>
      <c r="F40" s="100"/>
      <c r="G40" s="100"/>
      <c r="H40" s="100"/>
      <c r="I40" s="100"/>
      <c r="J40" s="100"/>
      <c r="K40" s="101"/>
    </row>
    <row r="41" spans="1:11" s="70" customFormat="1" ht="23.95" customHeight="1">
      <c r="A41" s="35"/>
      <c r="B41" s="101" t="s">
        <v>188</v>
      </c>
      <c r="C41" s="100"/>
      <c r="D41" s="100"/>
      <c r="E41" s="100"/>
      <c r="F41" s="100"/>
      <c r="G41" s="100"/>
      <c r="H41" s="100"/>
      <c r="I41" s="100"/>
      <c r="J41" s="100"/>
      <c r="K41" s="100"/>
    </row>
    <row r="42" spans="1:11" s="70" customFormat="1" ht="23.95" customHeight="1">
      <c r="A42" s="35"/>
      <c r="B42" s="100" t="s">
        <v>189</v>
      </c>
      <c r="C42" s="100"/>
      <c r="D42" s="100"/>
      <c r="E42" s="100"/>
      <c r="F42" s="100"/>
      <c r="G42" s="100"/>
      <c r="H42" s="100"/>
      <c r="I42" s="100"/>
      <c r="J42" s="100"/>
      <c r="K42" s="100"/>
    </row>
    <row r="43" spans="1:11" s="70" customFormat="1" ht="23.95" customHeight="1">
      <c r="A43" s="35"/>
      <c r="B43" s="101" t="s">
        <v>190</v>
      </c>
      <c r="C43" s="100"/>
      <c r="D43" s="100"/>
      <c r="E43" s="100"/>
      <c r="F43" s="100"/>
      <c r="G43" s="100"/>
      <c r="H43" s="100"/>
      <c r="I43" s="100"/>
      <c r="J43" s="100"/>
      <c r="K43" s="100"/>
    </row>
    <row r="44" spans="1:11" s="70" customFormat="1" ht="23.95" customHeight="1">
      <c r="A44" s="35"/>
      <c r="B44" s="100" t="s">
        <v>192</v>
      </c>
      <c r="C44" s="100"/>
      <c r="D44" s="100"/>
      <c r="E44" s="100"/>
      <c r="F44" s="100"/>
      <c r="G44" s="100"/>
      <c r="H44" s="100"/>
      <c r="I44" s="100"/>
      <c r="J44" s="100"/>
      <c r="K44" s="100"/>
    </row>
    <row r="45" spans="1:11" s="70" customFormat="1" ht="23.95" customHeight="1">
      <c r="A45" s="35"/>
      <c r="B45" s="101" t="s">
        <v>193</v>
      </c>
      <c r="C45" s="100"/>
      <c r="D45" s="100"/>
      <c r="E45" s="100"/>
      <c r="F45" s="100"/>
      <c r="G45" s="100"/>
      <c r="H45" s="100"/>
      <c r="I45" s="100"/>
      <c r="J45" s="100"/>
      <c r="K45" s="100"/>
    </row>
    <row r="46" spans="1:11" s="70" customFormat="1" ht="23.95" customHeight="1">
      <c r="A46" s="35"/>
      <c r="B46" s="101" t="s">
        <v>191</v>
      </c>
      <c r="C46" s="104"/>
      <c r="D46" s="104"/>
      <c r="E46" s="104"/>
      <c r="F46" s="104"/>
      <c r="G46" s="104"/>
      <c r="H46" s="104"/>
      <c r="I46" s="98"/>
      <c r="J46" s="101"/>
      <c r="K46" s="101"/>
    </row>
    <row r="47" spans="1:11" s="70" customFormat="1" ht="23.95" customHeight="1">
      <c r="A47" s="35"/>
      <c r="B47" s="103" t="s">
        <v>125</v>
      </c>
      <c r="C47" s="100"/>
      <c r="D47" s="100"/>
      <c r="E47" s="100"/>
      <c r="F47" s="100"/>
      <c r="G47" s="100"/>
      <c r="H47" s="100"/>
      <c r="I47" s="100"/>
      <c r="J47" s="100"/>
      <c r="K47" s="100"/>
    </row>
    <row r="48" spans="1:11" s="70" customFormat="1" ht="23.95" customHeight="1">
      <c r="A48" s="35"/>
      <c r="B48" s="100" t="s">
        <v>194</v>
      </c>
      <c r="C48" s="100"/>
      <c r="D48" s="100"/>
      <c r="E48" s="100"/>
      <c r="F48" s="100"/>
      <c r="G48" s="100"/>
      <c r="H48" s="100"/>
      <c r="I48" s="100"/>
      <c r="J48" s="100"/>
      <c r="K48" s="100"/>
    </row>
    <row r="49" spans="1:11" s="70" customFormat="1" ht="23.95" customHeight="1">
      <c r="A49" s="35"/>
      <c r="B49" s="101" t="s">
        <v>195</v>
      </c>
      <c r="C49" s="100"/>
      <c r="D49" s="100"/>
      <c r="E49" s="100"/>
      <c r="F49" s="100"/>
      <c r="G49" s="100"/>
      <c r="H49" s="100"/>
      <c r="I49" s="100"/>
      <c r="J49" s="100"/>
      <c r="K49" s="100"/>
    </row>
    <row r="50" spans="1:11" s="70" customFormat="1" ht="23.95" customHeight="1">
      <c r="A50" s="35"/>
      <c r="B50" s="101" t="s">
        <v>196</v>
      </c>
      <c r="C50" s="100"/>
      <c r="D50" s="100"/>
      <c r="E50" s="100"/>
      <c r="F50" s="100"/>
      <c r="G50" s="100"/>
      <c r="H50" s="100"/>
      <c r="I50" s="100"/>
      <c r="J50" s="100"/>
      <c r="K50" s="100"/>
    </row>
    <row r="51" spans="1:11" s="70" customFormat="1" ht="23.95" customHeight="1">
      <c r="A51" s="35"/>
      <c r="B51" s="100" t="s">
        <v>197</v>
      </c>
      <c r="C51" s="100"/>
      <c r="D51" s="100"/>
      <c r="E51" s="100"/>
      <c r="F51" s="100"/>
      <c r="G51" s="100"/>
      <c r="H51" s="100"/>
      <c r="I51" s="100"/>
      <c r="J51" s="100"/>
      <c r="K51" s="100"/>
    </row>
    <row r="52" spans="1:11" s="70" customFormat="1" ht="23.95" customHeight="1">
      <c r="A52" s="35"/>
      <c r="B52" s="101" t="s">
        <v>198</v>
      </c>
      <c r="C52" s="100"/>
      <c r="D52" s="100"/>
      <c r="E52" s="100"/>
      <c r="F52" s="100"/>
      <c r="G52" s="100"/>
      <c r="H52" s="100"/>
      <c r="I52" s="100"/>
      <c r="J52" s="100"/>
      <c r="K52" s="101"/>
    </row>
    <row r="53" spans="1:11" s="70" customFormat="1" ht="23.95" customHeight="1">
      <c r="A53" s="35"/>
      <c r="B53" s="102" t="s">
        <v>165</v>
      </c>
      <c r="C53" s="102"/>
      <c r="D53" s="102"/>
      <c r="E53" s="100"/>
      <c r="F53" s="100"/>
      <c r="G53" s="100"/>
      <c r="H53" s="100"/>
      <c r="I53" s="100"/>
      <c r="J53" s="100"/>
      <c r="K53" s="101"/>
    </row>
    <row r="54" spans="1:11" s="70" customFormat="1" ht="23.95" customHeight="1">
      <c r="A54" s="35"/>
      <c r="E54" s="37"/>
      <c r="F54" s="37"/>
      <c r="G54" s="37"/>
      <c r="H54" s="37"/>
      <c r="I54" s="35"/>
    </row>
    <row r="55" spans="1:11" s="70" customFormat="1" ht="23.95" customHeight="1">
      <c r="A55" s="72"/>
      <c r="B55" s="39" t="s">
        <v>55</v>
      </c>
      <c r="C55" s="38"/>
      <c r="D55" s="38"/>
      <c r="E55" s="38" t="s">
        <v>166</v>
      </c>
      <c r="F55" s="38"/>
      <c r="G55" s="38"/>
      <c r="H55" s="38"/>
    </row>
    <row r="56" spans="1:11" s="70" customFormat="1" ht="23.95" customHeight="1">
      <c r="A56" s="72"/>
      <c r="B56" s="98" t="s">
        <v>134</v>
      </c>
      <c r="C56" s="38"/>
      <c r="D56" s="38"/>
      <c r="E56" s="38"/>
      <c r="F56" s="38"/>
      <c r="G56" s="38"/>
      <c r="H56" s="38"/>
    </row>
    <row r="57" spans="1:11" s="42" customFormat="1" ht="23.95" customHeight="1">
      <c r="A57" s="35"/>
      <c r="B57" s="98" t="s">
        <v>126</v>
      </c>
      <c r="C57" s="37"/>
      <c r="D57" s="37"/>
      <c r="E57" s="37"/>
      <c r="F57" s="37"/>
      <c r="G57" s="37"/>
      <c r="H57" s="37"/>
      <c r="I57" s="35"/>
    </row>
    <row r="58" spans="1:11" s="42" customFormat="1" ht="23.95" customHeight="1">
      <c r="A58" s="35"/>
      <c r="B58" s="98" t="s">
        <v>172</v>
      </c>
      <c r="C58" s="37"/>
      <c r="D58" s="37"/>
      <c r="E58" s="37"/>
      <c r="F58" s="37"/>
      <c r="G58" s="37"/>
      <c r="H58" s="37"/>
      <c r="I58" s="35"/>
    </row>
    <row r="59" spans="1:11" s="42" customFormat="1" ht="23.95" customHeight="1">
      <c r="A59" s="35"/>
      <c r="B59" s="98" t="s">
        <v>115</v>
      </c>
      <c r="C59" s="37"/>
      <c r="D59" s="37"/>
      <c r="E59" s="37"/>
      <c r="F59" s="37"/>
      <c r="G59" s="37"/>
      <c r="H59" s="37"/>
      <c r="I59" s="35"/>
    </row>
    <row r="60" spans="1:11" s="42" customFormat="1" ht="23.95" customHeight="1">
      <c r="A60" s="35"/>
      <c r="B60" s="98" t="s">
        <v>119</v>
      </c>
      <c r="C60" s="37"/>
      <c r="D60" s="37"/>
      <c r="E60" s="37"/>
      <c r="F60" s="37"/>
      <c r="G60" s="37"/>
      <c r="H60" s="37"/>
      <c r="I60" s="35"/>
    </row>
    <row r="61" spans="1:11" s="42" customFormat="1" ht="23.95" customHeight="1">
      <c r="A61" s="35"/>
      <c r="B61" s="98" t="s">
        <v>131</v>
      </c>
      <c r="C61" s="37"/>
      <c r="D61" s="37"/>
      <c r="E61" s="37"/>
      <c r="F61" s="37"/>
      <c r="G61" s="37"/>
      <c r="H61" s="37"/>
      <c r="I61" s="35"/>
    </row>
    <row r="62" spans="1:11" s="42" customFormat="1" ht="23.95" customHeight="1">
      <c r="A62" s="35"/>
      <c r="B62" s="35"/>
      <c r="C62" s="37"/>
      <c r="D62" s="37"/>
      <c r="E62" s="37"/>
      <c r="F62" s="37"/>
      <c r="G62" s="37"/>
      <c r="H62" s="37"/>
      <c r="I62" s="35"/>
    </row>
    <row r="63" spans="1:11" ht="23.95" customHeight="1">
      <c r="A63" s="56"/>
      <c r="B63" s="48" t="s">
        <v>56</v>
      </c>
      <c r="C63" s="48"/>
      <c r="D63" s="48"/>
      <c r="E63" s="48"/>
      <c r="F63" s="36"/>
      <c r="G63" s="36"/>
      <c r="H63" s="36"/>
      <c r="I63" s="42"/>
    </row>
    <row r="64" spans="1:11" ht="23.95" customHeight="1">
      <c r="A64" s="56"/>
      <c r="B64" s="103" t="s">
        <v>111</v>
      </c>
      <c r="C64" s="105"/>
      <c r="D64" s="105"/>
      <c r="E64" s="105"/>
      <c r="F64" s="98"/>
      <c r="G64" s="98"/>
      <c r="H64" s="98"/>
      <c r="I64" s="104"/>
      <c r="J64" s="98"/>
    </row>
    <row r="65" spans="1:10" ht="23.95" customHeight="1">
      <c r="A65" s="56"/>
      <c r="B65" s="103" t="s">
        <v>110</v>
      </c>
      <c r="C65" s="105"/>
      <c r="D65" s="105"/>
      <c r="E65" s="105"/>
      <c r="F65" s="98"/>
      <c r="G65" s="98"/>
      <c r="H65" s="98"/>
      <c r="I65" s="104"/>
      <c r="J65" s="98"/>
    </row>
    <row r="66" spans="1:10" ht="23.95" customHeight="1">
      <c r="A66" s="56"/>
      <c r="B66" s="103" t="s">
        <v>109</v>
      </c>
      <c r="C66" s="105"/>
      <c r="D66" s="105"/>
      <c r="E66" s="105"/>
      <c r="F66" s="98"/>
      <c r="G66" s="98"/>
      <c r="H66" s="98"/>
      <c r="I66" s="104"/>
      <c r="J66" s="98"/>
    </row>
    <row r="67" spans="1:10" ht="23.95" customHeight="1">
      <c r="A67" s="56"/>
      <c r="B67" s="103" t="s">
        <v>112</v>
      </c>
      <c r="C67" s="105"/>
      <c r="D67" s="105"/>
      <c r="E67" s="105"/>
      <c r="F67" s="98"/>
      <c r="G67" s="98"/>
      <c r="H67" s="98"/>
      <c r="I67" s="104"/>
      <c r="J67" s="98"/>
    </row>
    <row r="68" spans="1:10" ht="23.95" customHeight="1">
      <c r="A68" s="56"/>
      <c r="B68" s="103" t="s">
        <v>130</v>
      </c>
      <c r="C68" s="105"/>
      <c r="D68" s="105"/>
      <c r="E68" s="105"/>
      <c r="F68" s="98"/>
      <c r="G68" s="98"/>
      <c r="H68" s="98"/>
      <c r="I68" s="104"/>
      <c r="J68" s="98"/>
    </row>
    <row r="69" spans="1:10" ht="23.95" customHeight="1">
      <c r="A69" s="56"/>
      <c r="B69" s="98" t="s">
        <v>199</v>
      </c>
      <c r="C69" s="97"/>
      <c r="D69" s="97"/>
      <c r="E69" s="97"/>
      <c r="F69" s="97"/>
      <c r="G69" s="97"/>
      <c r="H69" s="97"/>
      <c r="I69" s="97"/>
      <c r="J69" s="97"/>
    </row>
    <row r="70" spans="1:10" ht="23.95" customHeight="1">
      <c r="A70" s="56"/>
      <c r="B70" s="104" t="s">
        <v>200</v>
      </c>
      <c r="C70" s="97"/>
      <c r="D70" s="97"/>
      <c r="E70" s="97"/>
      <c r="F70" s="97"/>
      <c r="G70" s="97"/>
      <c r="H70" s="97"/>
      <c r="I70" s="97"/>
      <c r="J70" s="97"/>
    </row>
    <row r="71" spans="1:10" ht="23.95" customHeight="1">
      <c r="A71" s="56"/>
      <c r="B71" s="90" t="s">
        <v>176</v>
      </c>
      <c r="C71" s="90"/>
      <c r="D71" s="90"/>
      <c r="E71" s="90"/>
      <c r="F71" s="90"/>
      <c r="G71" s="90"/>
      <c r="H71" s="90"/>
      <c r="I71" s="90"/>
      <c r="J71" s="90"/>
    </row>
    <row r="72" spans="1:10" ht="23.95" customHeight="1">
      <c r="A72" s="56"/>
      <c r="B72" s="90" t="s">
        <v>136</v>
      </c>
      <c r="C72" s="90"/>
      <c r="D72" s="90"/>
      <c r="E72" s="90"/>
      <c r="F72" s="90"/>
      <c r="G72" s="90"/>
      <c r="H72" s="90"/>
      <c r="I72" s="90"/>
      <c r="J72" s="90"/>
    </row>
    <row r="73" spans="1:10" ht="23.95" customHeight="1">
      <c r="A73" s="70"/>
      <c r="B73" s="103" t="s">
        <v>99</v>
      </c>
      <c r="C73" s="103"/>
      <c r="D73" s="106"/>
      <c r="E73" s="107"/>
      <c r="F73" s="107"/>
      <c r="G73" s="107"/>
      <c r="H73" s="107"/>
      <c r="I73" s="101"/>
      <c r="J73" s="98"/>
    </row>
    <row r="74" spans="1:10" ht="23.95" customHeight="1">
      <c r="A74" s="70"/>
      <c r="B74" s="103" t="s">
        <v>167</v>
      </c>
      <c r="C74" s="103"/>
      <c r="D74" s="106"/>
      <c r="E74" s="107"/>
      <c r="F74" s="107"/>
      <c r="G74" s="107"/>
      <c r="H74" s="107"/>
      <c r="I74" s="101"/>
      <c r="J74" s="98"/>
    </row>
    <row r="75" spans="1:10" ht="23.95" customHeight="1">
      <c r="A75" s="70"/>
      <c r="B75" s="103" t="s">
        <v>201</v>
      </c>
      <c r="C75" s="103"/>
      <c r="D75" s="106"/>
      <c r="E75" s="107"/>
      <c r="F75" s="107"/>
      <c r="G75" s="107"/>
      <c r="H75" s="107"/>
      <c r="I75" s="101"/>
      <c r="J75" s="98"/>
    </row>
    <row r="76" spans="1:10" ht="23.95" customHeight="1">
      <c r="A76" s="70"/>
      <c r="B76" s="103" t="s">
        <v>137</v>
      </c>
      <c r="C76" s="103"/>
      <c r="D76" s="106"/>
      <c r="E76" s="107"/>
      <c r="F76" s="107"/>
      <c r="G76" s="107"/>
      <c r="H76" s="107"/>
      <c r="I76" s="101"/>
      <c r="J76" s="98"/>
    </row>
    <row r="77" spans="1:10" ht="23.95" customHeight="1">
      <c r="A77" s="70"/>
      <c r="B77" s="103" t="s">
        <v>138</v>
      </c>
      <c r="C77" s="103"/>
      <c r="D77" s="106"/>
      <c r="E77" s="107"/>
      <c r="F77" s="107"/>
      <c r="G77" s="107"/>
      <c r="H77" s="107"/>
      <c r="I77" s="101"/>
      <c r="J77" s="98"/>
    </row>
    <row r="78" spans="1:10" ht="23.95" customHeight="1">
      <c r="A78" s="70"/>
      <c r="B78" s="103" t="s">
        <v>100</v>
      </c>
      <c r="C78" s="103"/>
      <c r="D78" s="106"/>
      <c r="E78" s="107"/>
      <c r="F78" s="107"/>
      <c r="G78" s="107"/>
      <c r="H78" s="107"/>
      <c r="I78" s="101"/>
      <c r="J78" s="98"/>
    </row>
    <row r="79" spans="1:10" ht="23.95" customHeight="1">
      <c r="A79" s="70"/>
      <c r="B79" s="103" t="s">
        <v>174</v>
      </c>
      <c r="C79" s="103"/>
      <c r="D79" s="106"/>
      <c r="E79" s="107"/>
      <c r="F79" s="107"/>
      <c r="G79" s="107"/>
      <c r="H79" s="107"/>
      <c r="I79" s="101"/>
      <c r="J79" s="98"/>
    </row>
    <row r="80" spans="1:10" ht="23.95" customHeight="1">
      <c r="A80" s="70"/>
      <c r="B80" s="103" t="s">
        <v>113</v>
      </c>
      <c r="C80" s="103"/>
      <c r="D80" s="106"/>
      <c r="E80" s="107"/>
      <c r="F80" s="107"/>
      <c r="G80" s="107"/>
      <c r="H80" s="107"/>
      <c r="I80" s="101"/>
      <c r="J80" s="98"/>
    </row>
    <row r="81" spans="1:11" ht="23.95" customHeight="1">
      <c r="A81" s="70"/>
      <c r="B81" s="103" t="s">
        <v>173</v>
      </c>
      <c r="C81" s="103"/>
      <c r="D81" s="106"/>
      <c r="E81" s="107"/>
      <c r="F81" s="107"/>
      <c r="G81" s="107"/>
      <c r="H81" s="107"/>
      <c r="I81" s="101"/>
      <c r="J81" s="98"/>
    </row>
    <row r="82" spans="1:11" ht="23.95" customHeight="1">
      <c r="A82" s="70"/>
      <c r="B82" s="103" t="s">
        <v>175</v>
      </c>
      <c r="C82" s="103"/>
      <c r="D82" s="106"/>
      <c r="E82" s="107"/>
      <c r="F82" s="107"/>
      <c r="G82" s="107"/>
      <c r="H82" s="107"/>
      <c r="I82" s="101"/>
      <c r="J82" s="98"/>
    </row>
    <row r="83" spans="1:11" ht="23.95" customHeight="1">
      <c r="A83" s="70"/>
      <c r="B83" s="103" t="s">
        <v>118</v>
      </c>
      <c r="C83" s="103"/>
      <c r="D83" s="106"/>
      <c r="E83" s="107"/>
      <c r="F83" s="107"/>
      <c r="G83" s="107"/>
      <c r="H83" s="107"/>
      <c r="I83" s="101"/>
      <c r="J83" s="98"/>
    </row>
    <row r="84" spans="1:11" ht="23.95" customHeight="1">
      <c r="A84" s="70"/>
      <c r="B84" s="103" t="s">
        <v>124</v>
      </c>
      <c r="C84" s="103"/>
      <c r="D84" s="106"/>
      <c r="E84" s="107"/>
      <c r="F84" s="107"/>
      <c r="G84" s="107"/>
      <c r="H84" s="107"/>
      <c r="I84" s="101"/>
      <c r="J84" s="98"/>
    </row>
    <row r="85" spans="1:11" ht="23.95" customHeight="1">
      <c r="A85" s="70"/>
      <c r="B85" s="103" t="s">
        <v>121</v>
      </c>
      <c r="C85" s="103"/>
      <c r="D85" s="106"/>
      <c r="E85" s="107"/>
      <c r="F85" s="107"/>
      <c r="G85" s="107"/>
      <c r="H85" s="107"/>
      <c r="I85" s="101"/>
      <c r="J85" s="98"/>
    </row>
    <row r="86" spans="1:11" ht="23.95" customHeight="1">
      <c r="A86" s="70"/>
      <c r="B86" s="103" t="s">
        <v>168</v>
      </c>
      <c r="C86" s="103"/>
      <c r="D86" s="106"/>
      <c r="E86" s="107"/>
      <c r="F86" s="107"/>
      <c r="G86" s="107"/>
      <c r="H86" s="107"/>
      <c r="I86" s="101"/>
      <c r="J86" s="98"/>
    </row>
    <row r="87" spans="1:11" ht="23.95" customHeight="1">
      <c r="A87" s="70"/>
      <c r="B87" s="103" t="s">
        <v>127</v>
      </c>
      <c r="C87" s="103"/>
      <c r="D87" s="106"/>
      <c r="E87" s="107"/>
      <c r="F87" s="107"/>
      <c r="G87" s="107"/>
      <c r="H87" s="107"/>
      <c r="I87" s="101"/>
      <c r="J87" s="98"/>
    </row>
    <row r="88" spans="1:11" ht="23.95" customHeight="1">
      <c r="A88" s="70"/>
      <c r="B88" s="34"/>
      <c r="C88" s="34"/>
      <c r="D88" s="38"/>
      <c r="E88" s="40"/>
      <c r="F88" s="40"/>
      <c r="G88" s="40"/>
      <c r="H88" s="40"/>
      <c r="I88" s="70"/>
    </row>
    <row r="89" spans="1:11" ht="23.95" customHeight="1">
      <c r="A89" s="68" t="s">
        <v>57</v>
      </c>
      <c r="C89" s="36"/>
      <c r="D89" s="36"/>
      <c r="E89" s="36"/>
      <c r="F89" s="36"/>
      <c r="G89" s="36"/>
      <c r="H89" s="36"/>
    </row>
    <row r="90" spans="1:11" ht="23.95" customHeight="1">
      <c r="B90" s="39" t="s">
        <v>54</v>
      </c>
      <c r="C90" s="41"/>
      <c r="D90" s="41"/>
      <c r="E90" s="41"/>
      <c r="F90" s="41"/>
      <c r="G90" s="41"/>
      <c r="H90" s="41"/>
    </row>
    <row r="91" spans="1:11" ht="23.95" customHeight="1">
      <c r="B91" s="90" t="s">
        <v>103</v>
      </c>
      <c r="C91" s="90"/>
      <c r="D91" s="90"/>
      <c r="E91" s="90"/>
      <c r="F91" s="108"/>
      <c r="G91" s="108"/>
      <c r="H91" s="108"/>
      <c r="I91" s="98"/>
      <c r="J91" s="98"/>
      <c r="K91" s="98"/>
    </row>
    <row r="92" spans="1:11" ht="23.95" customHeight="1">
      <c r="B92" s="90" t="s">
        <v>104</v>
      </c>
      <c r="C92" s="90"/>
      <c r="D92" s="90"/>
      <c r="E92" s="90"/>
      <c r="F92" s="90"/>
      <c r="G92" s="90"/>
      <c r="H92" s="90"/>
      <c r="I92" s="90"/>
      <c r="J92" s="98"/>
      <c r="K92" s="98"/>
    </row>
    <row r="93" spans="1:11" ht="23.95" customHeight="1">
      <c r="B93" s="90" t="s">
        <v>139</v>
      </c>
      <c r="C93" s="90"/>
      <c r="D93" s="90"/>
      <c r="E93" s="90"/>
      <c r="F93" s="90"/>
      <c r="G93" s="88"/>
      <c r="H93" s="88"/>
      <c r="I93" s="88"/>
      <c r="J93" s="98"/>
      <c r="K93" s="98"/>
    </row>
    <row r="94" spans="1:11" ht="23.95" customHeight="1">
      <c r="B94" s="90" t="s">
        <v>202</v>
      </c>
      <c r="C94" s="90"/>
      <c r="D94" s="90"/>
      <c r="E94" s="90"/>
      <c r="F94" s="90"/>
      <c r="G94" s="90"/>
      <c r="H94" s="90"/>
      <c r="I94" s="90"/>
      <c r="J94" s="90"/>
      <c r="K94" s="90"/>
    </row>
    <row r="95" spans="1:11" ht="23.95" customHeight="1">
      <c r="B95" s="88" t="s">
        <v>203</v>
      </c>
      <c r="C95" s="88"/>
      <c r="D95" s="88"/>
      <c r="E95" s="88"/>
      <c r="F95" s="88"/>
      <c r="G95" s="88"/>
      <c r="H95" s="88"/>
      <c r="I95" s="88"/>
      <c r="J95" s="88"/>
      <c r="K95" s="88"/>
    </row>
    <row r="96" spans="1:11" ht="23.95" customHeight="1">
      <c r="B96" s="90" t="s">
        <v>169</v>
      </c>
      <c r="C96" s="90"/>
      <c r="D96" s="90"/>
      <c r="E96" s="90"/>
      <c r="F96" s="90"/>
      <c r="G96" s="90"/>
      <c r="H96" s="90"/>
      <c r="I96" s="90"/>
      <c r="J96" s="90"/>
      <c r="K96" s="90"/>
    </row>
    <row r="97" spans="2:11" ht="23.95" customHeight="1">
      <c r="B97" s="90" t="s">
        <v>142</v>
      </c>
      <c r="C97" s="90"/>
      <c r="D97" s="90"/>
      <c r="E97" s="90"/>
      <c r="F97" s="90"/>
      <c r="G97" s="90"/>
      <c r="H97" s="90"/>
      <c r="I97" s="90"/>
      <c r="J97" s="90"/>
      <c r="K97" s="90"/>
    </row>
    <row r="98" spans="2:11" ht="23.95" customHeight="1">
      <c r="B98" s="90" t="s">
        <v>153</v>
      </c>
      <c r="C98" s="90"/>
      <c r="D98" s="90"/>
      <c r="E98" s="90"/>
      <c r="F98" s="90"/>
      <c r="G98" s="90"/>
      <c r="H98" s="90"/>
      <c r="I98" s="90"/>
      <c r="J98" s="90"/>
      <c r="K98" s="90"/>
    </row>
    <row r="99" spans="2:11" ht="23.95" customHeight="1">
      <c r="B99" s="109" t="s">
        <v>178</v>
      </c>
      <c r="C99" s="109"/>
      <c r="D99" s="109"/>
      <c r="E99" s="109"/>
      <c r="F99" s="109"/>
      <c r="G99" s="88"/>
      <c r="H99" s="88"/>
      <c r="I99" s="88"/>
      <c r="J99" s="88"/>
      <c r="K99" s="88"/>
    </row>
    <row r="100" spans="2:11" ht="23.95" customHeight="1">
      <c r="B100" s="109" t="s">
        <v>155</v>
      </c>
      <c r="C100" s="109"/>
      <c r="D100" s="109"/>
      <c r="E100" s="109"/>
      <c r="F100" s="109"/>
      <c r="G100" s="109"/>
      <c r="H100" s="109"/>
      <c r="I100" s="109"/>
      <c r="J100" s="88"/>
      <c r="K100" s="88"/>
    </row>
    <row r="101" spans="2:11" ht="23.95" customHeight="1">
      <c r="B101" s="88" t="s">
        <v>144</v>
      </c>
      <c r="C101" s="88"/>
      <c r="D101" s="88"/>
      <c r="E101" s="88"/>
      <c r="F101" s="88"/>
      <c r="G101" s="88"/>
      <c r="H101" s="88"/>
      <c r="I101" s="88"/>
      <c r="J101" s="88"/>
      <c r="K101" s="88"/>
    </row>
    <row r="102" spans="2:11" ht="23.95" customHeight="1">
      <c r="B102" s="88" t="s">
        <v>145</v>
      </c>
      <c r="C102" s="88"/>
      <c r="D102" s="88"/>
      <c r="E102" s="88"/>
      <c r="F102" s="88"/>
      <c r="G102" s="88"/>
      <c r="H102" s="88"/>
      <c r="I102" s="88"/>
      <c r="J102" s="88"/>
      <c r="K102" s="88"/>
    </row>
    <row r="103" spans="2:11" ht="23.95" customHeight="1">
      <c r="B103" s="88" t="s">
        <v>151</v>
      </c>
      <c r="C103" s="88"/>
      <c r="D103" s="88"/>
      <c r="E103" s="88"/>
      <c r="F103" s="88"/>
      <c r="G103" s="88"/>
      <c r="H103" s="88"/>
      <c r="I103" s="88"/>
      <c r="J103" s="88"/>
      <c r="K103" s="88"/>
    </row>
    <row r="104" spans="2:11" ht="23.95" customHeight="1">
      <c r="B104" s="88" t="s">
        <v>146</v>
      </c>
      <c r="C104" s="88"/>
      <c r="D104" s="88"/>
      <c r="E104" s="88"/>
      <c r="F104" s="88"/>
      <c r="G104" s="88"/>
      <c r="H104" s="88"/>
      <c r="I104" s="88"/>
      <c r="J104" s="88"/>
      <c r="K104" s="88"/>
    </row>
    <row r="105" spans="2:11" s="70" customFormat="1" ht="23.95" customHeight="1">
      <c r="B105" s="109" t="s">
        <v>147</v>
      </c>
      <c r="C105" s="109"/>
      <c r="D105" s="109"/>
      <c r="E105" s="109"/>
      <c r="F105" s="109"/>
      <c r="G105" s="109"/>
      <c r="H105" s="109"/>
      <c r="I105" s="109"/>
      <c r="J105" s="109"/>
      <c r="K105" s="101"/>
    </row>
    <row r="106" spans="2:11" s="70" customFormat="1" ht="23.95" customHeight="1">
      <c r="B106" s="109" t="s">
        <v>177</v>
      </c>
      <c r="C106" s="109"/>
      <c r="D106" s="109"/>
      <c r="E106" s="109"/>
      <c r="F106" s="109"/>
      <c r="G106" s="109"/>
      <c r="H106" s="109"/>
      <c r="I106" s="109"/>
      <c r="J106" s="109"/>
      <c r="K106" s="101"/>
    </row>
    <row r="107" spans="2:11" s="70" customFormat="1" ht="23.95" customHeight="1">
      <c r="B107" s="101" t="s">
        <v>148</v>
      </c>
      <c r="C107" s="101"/>
      <c r="D107" s="101"/>
      <c r="E107" s="101"/>
      <c r="F107" s="101"/>
      <c r="G107" s="101"/>
      <c r="H107" s="101"/>
      <c r="I107" s="101"/>
      <c r="J107" s="101"/>
      <c r="K107" s="101"/>
    </row>
    <row r="108" spans="2:11" s="70" customFormat="1" ht="23.95" customHeight="1">
      <c r="B108" s="101" t="s">
        <v>150</v>
      </c>
      <c r="C108" s="101"/>
      <c r="D108" s="101"/>
      <c r="E108" s="101"/>
      <c r="F108" s="101"/>
      <c r="G108" s="101"/>
      <c r="H108" s="101"/>
      <c r="I108" s="101"/>
      <c r="J108" s="101"/>
      <c r="K108" s="101"/>
    </row>
    <row r="109" spans="2:11" s="70" customFormat="1" ht="23.95" customHeight="1">
      <c r="B109" s="101" t="s">
        <v>152</v>
      </c>
      <c r="C109" s="101"/>
      <c r="D109" s="101"/>
      <c r="E109" s="101"/>
      <c r="F109" s="101"/>
      <c r="G109" s="101"/>
      <c r="H109" s="101"/>
      <c r="I109" s="101"/>
      <c r="J109" s="101"/>
      <c r="K109" s="101"/>
    </row>
    <row r="110" spans="2:11" s="70" customFormat="1" ht="23.95" customHeight="1">
      <c r="B110" s="109" t="s">
        <v>211</v>
      </c>
      <c r="C110" s="109"/>
      <c r="D110" s="109"/>
      <c r="E110" s="109"/>
      <c r="F110" s="109"/>
      <c r="G110" s="109"/>
      <c r="H110" s="109"/>
      <c r="I110" s="109"/>
      <c r="J110" s="109"/>
      <c r="K110" s="109"/>
    </row>
    <row r="111" spans="2:11" s="70" customFormat="1" ht="23.95" customHeight="1">
      <c r="B111" s="101" t="s">
        <v>204</v>
      </c>
    </row>
    <row r="112" spans="2:11" s="70" customFormat="1" ht="23.95" customHeight="1">
      <c r="B112" s="101" t="s">
        <v>205</v>
      </c>
    </row>
    <row r="113" spans="1:10" s="70" customFormat="1" ht="23.95" customHeight="1">
      <c r="B113" s="101" t="s">
        <v>207</v>
      </c>
    </row>
    <row r="114" spans="1:10" s="70" customFormat="1" ht="23.95" customHeight="1">
      <c r="B114" s="101" t="s">
        <v>206</v>
      </c>
    </row>
    <row r="115" spans="1:10" s="70" customFormat="1" ht="23.95" customHeight="1">
      <c r="B115" s="101" t="s">
        <v>155</v>
      </c>
    </row>
    <row r="116" spans="1:10" s="70" customFormat="1" ht="23.95" customHeight="1">
      <c r="B116" s="101" t="s">
        <v>208</v>
      </c>
    </row>
    <row r="117" spans="1:10" s="70" customFormat="1" ht="23.95" customHeight="1">
      <c r="B117" s="101" t="s">
        <v>160</v>
      </c>
    </row>
    <row r="118" spans="1:10" s="70" customFormat="1" ht="23.95" customHeight="1"/>
    <row r="119" spans="1:10" ht="23.95" customHeight="1">
      <c r="A119" s="70"/>
      <c r="B119" s="44" t="s">
        <v>55</v>
      </c>
      <c r="C119" s="40"/>
      <c r="D119" s="40"/>
      <c r="E119" s="40"/>
      <c r="F119" s="40"/>
      <c r="G119" s="40"/>
      <c r="H119" s="40"/>
      <c r="I119" s="70"/>
    </row>
    <row r="120" spans="1:10" ht="23.95" customHeight="1">
      <c r="A120" s="70"/>
      <c r="B120" s="97" t="s">
        <v>143</v>
      </c>
      <c r="C120" s="107"/>
      <c r="D120" s="107"/>
      <c r="E120" s="107"/>
      <c r="F120" s="107"/>
      <c r="G120" s="107"/>
      <c r="H120" s="107"/>
      <c r="I120" s="101"/>
      <c r="J120" s="98"/>
    </row>
    <row r="121" spans="1:10" ht="23.95" customHeight="1">
      <c r="A121" s="70"/>
      <c r="B121" s="90" t="s">
        <v>149</v>
      </c>
      <c r="C121" s="90"/>
      <c r="D121" s="90"/>
      <c r="E121" s="90"/>
      <c r="F121" s="90"/>
      <c r="G121" s="90"/>
      <c r="H121" s="90"/>
      <c r="I121" s="90"/>
      <c r="J121" s="90"/>
    </row>
    <row r="122" spans="1:10" ht="23.95" customHeight="1">
      <c r="A122" s="70"/>
      <c r="B122" s="90" t="s">
        <v>158</v>
      </c>
      <c r="C122" s="90"/>
      <c r="D122" s="90"/>
      <c r="E122" s="90"/>
      <c r="F122" s="90"/>
      <c r="G122" s="90"/>
      <c r="H122" s="107"/>
      <c r="I122" s="101"/>
      <c r="J122" s="98"/>
    </row>
    <row r="123" spans="1:10" s="72" customFormat="1" ht="23.95" customHeight="1">
      <c r="B123" s="34"/>
      <c r="C123" s="69"/>
      <c r="D123" s="69"/>
      <c r="E123" s="40"/>
      <c r="F123" s="40"/>
      <c r="G123" s="40"/>
      <c r="H123" s="40"/>
      <c r="I123" s="69"/>
    </row>
    <row r="124" spans="1:10" s="72" customFormat="1" ht="23.95" customHeight="1">
      <c r="B124" s="46" t="s">
        <v>56</v>
      </c>
      <c r="C124" s="38"/>
      <c r="D124" s="38"/>
      <c r="E124" s="38"/>
      <c r="F124" s="38"/>
      <c r="G124" s="38"/>
      <c r="H124" s="38"/>
    </row>
    <row r="125" spans="1:10" s="72" customFormat="1" ht="23.95" customHeight="1">
      <c r="B125" s="101" t="s">
        <v>140</v>
      </c>
      <c r="C125" s="106"/>
      <c r="D125" s="106"/>
      <c r="E125" s="106"/>
      <c r="F125" s="106"/>
      <c r="G125" s="106"/>
      <c r="H125" s="106"/>
      <c r="I125" s="110"/>
    </row>
    <row r="126" spans="1:10" s="72" customFormat="1" ht="23.95" customHeight="1">
      <c r="B126" s="103" t="s">
        <v>141</v>
      </c>
      <c r="C126" s="100"/>
      <c r="D126" s="100"/>
      <c r="E126" s="100"/>
      <c r="F126" s="100"/>
      <c r="G126" s="100"/>
      <c r="H126" s="100"/>
      <c r="I126" s="110"/>
    </row>
    <row r="127" spans="1:10" s="72" customFormat="1" ht="23.95" customHeight="1">
      <c r="B127" s="98" t="s">
        <v>170</v>
      </c>
      <c r="C127" s="100"/>
      <c r="D127" s="100"/>
      <c r="E127" s="100"/>
      <c r="F127" s="100"/>
      <c r="G127" s="100"/>
      <c r="H127" s="100"/>
      <c r="I127" s="110"/>
    </row>
    <row r="128" spans="1:10" s="72" customFormat="1" ht="23.95" customHeight="1">
      <c r="B128" s="102" t="s">
        <v>156</v>
      </c>
      <c r="C128" s="102"/>
      <c r="D128" s="102"/>
      <c r="E128" s="102"/>
      <c r="F128" s="102"/>
      <c r="G128" s="102"/>
      <c r="H128" s="102"/>
      <c r="I128" s="102"/>
    </row>
    <row r="129" spans="1:9" s="72" customFormat="1" ht="23.95" customHeight="1">
      <c r="B129" s="111" t="s">
        <v>171</v>
      </c>
      <c r="C129" s="111"/>
      <c r="D129" s="111"/>
      <c r="E129" s="111"/>
      <c r="F129" s="111"/>
      <c r="G129" s="111"/>
      <c r="H129" s="111"/>
      <c r="I129" s="110"/>
    </row>
    <row r="130" spans="1:9" s="72" customFormat="1" ht="23.95" customHeight="1">
      <c r="A130" s="70"/>
      <c r="B130" s="103" t="s">
        <v>154</v>
      </c>
      <c r="C130" s="106"/>
      <c r="D130" s="106"/>
      <c r="E130" s="106"/>
      <c r="F130" s="106"/>
      <c r="G130" s="106"/>
      <c r="H130" s="106"/>
      <c r="I130" s="110"/>
    </row>
    <row r="131" spans="1:9" s="72" customFormat="1" ht="23.95" customHeight="1">
      <c r="A131" s="70"/>
      <c r="B131" s="101" t="s">
        <v>209</v>
      </c>
      <c r="C131" s="106"/>
      <c r="D131" s="106"/>
      <c r="E131" s="106"/>
      <c r="F131" s="106"/>
      <c r="G131" s="106"/>
      <c r="H131" s="106"/>
      <c r="I131" s="110"/>
    </row>
    <row r="132" spans="1:9" ht="23.95" customHeight="1">
      <c r="A132" s="70"/>
      <c r="B132" s="103" t="s">
        <v>210</v>
      </c>
      <c r="C132" s="106"/>
      <c r="D132" s="106"/>
      <c r="E132" s="106"/>
      <c r="F132" s="106"/>
      <c r="G132" s="106"/>
      <c r="H132" s="106"/>
      <c r="I132" s="110"/>
    </row>
    <row r="133" spans="1:9" s="70" customFormat="1" ht="23.95" customHeight="1">
      <c r="B133" s="98" t="s">
        <v>157</v>
      </c>
      <c r="C133" s="112"/>
      <c r="D133" s="112"/>
      <c r="E133" s="112"/>
      <c r="F133" s="112"/>
      <c r="G133" s="112"/>
      <c r="H133" s="112"/>
      <c r="I133" s="98"/>
    </row>
    <row r="134" spans="1:9" s="70" customFormat="1" ht="23.95" customHeight="1">
      <c r="A134" s="72"/>
      <c r="B134" s="101" t="s">
        <v>159</v>
      </c>
      <c r="C134" s="107"/>
      <c r="D134" s="107"/>
      <c r="E134" s="107"/>
      <c r="F134" s="107"/>
      <c r="G134" s="107"/>
      <c r="H134" s="107"/>
      <c r="I134" s="101"/>
    </row>
    <row r="135" spans="1:9" s="72" customFormat="1" ht="23.95" customHeight="1">
      <c r="A135" s="70"/>
      <c r="B135" s="101" t="s">
        <v>161</v>
      </c>
      <c r="C135" s="107"/>
      <c r="D135" s="107"/>
      <c r="E135" s="107"/>
      <c r="F135" s="107"/>
      <c r="G135" s="107"/>
      <c r="H135" s="107"/>
      <c r="I135" s="101"/>
    </row>
    <row r="136" spans="1:9" s="72" customFormat="1" ht="23.95" customHeight="1">
      <c r="A136" s="70"/>
      <c r="C136" s="38"/>
      <c r="D136" s="38"/>
      <c r="E136" s="38"/>
      <c r="F136" s="38"/>
      <c r="G136" s="38"/>
      <c r="H136" s="38"/>
    </row>
    <row r="137" spans="1:9" s="70" customFormat="1" ht="23.95" customHeight="1">
      <c r="B137" s="45"/>
      <c r="C137" s="38"/>
      <c r="D137" s="38"/>
      <c r="E137" s="38"/>
      <c r="F137" s="38"/>
      <c r="G137" s="38"/>
      <c r="H137" s="38"/>
      <c r="I137" s="72"/>
    </row>
    <row r="138" spans="1:9" s="70" customFormat="1" ht="23.95" customHeight="1">
      <c r="B138" s="45"/>
      <c r="C138" s="40"/>
      <c r="D138" s="40"/>
      <c r="E138" s="40"/>
      <c r="F138" s="40"/>
      <c r="G138" s="40"/>
      <c r="H138" s="40"/>
    </row>
    <row r="139" spans="1:9" s="70" customFormat="1" ht="23.95" customHeight="1">
      <c r="A139" s="72"/>
      <c r="B139" s="45"/>
      <c r="C139" s="40"/>
      <c r="D139" s="40"/>
      <c r="E139" s="40"/>
      <c r="F139" s="40"/>
      <c r="G139" s="40"/>
      <c r="H139" s="40"/>
    </row>
    <row r="140" spans="1:9" s="70" customFormat="1" ht="23.95" customHeight="1">
      <c r="B140" s="45"/>
      <c r="C140" s="40"/>
      <c r="D140" s="40"/>
      <c r="E140" s="40"/>
      <c r="F140" s="40"/>
      <c r="G140" s="40"/>
      <c r="H140" s="40"/>
    </row>
    <row r="141" spans="1:9" s="72" customFormat="1" ht="23.95" customHeight="1">
      <c r="A141" s="70"/>
      <c r="B141" s="45"/>
      <c r="C141" s="40"/>
      <c r="D141" s="40"/>
      <c r="E141" s="40"/>
      <c r="F141" s="40"/>
      <c r="G141" s="40"/>
      <c r="H141" s="40"/>
      <c r="I141" s="70"/>
    </row>
    <row r="142" spans="1:9" s="70" customFormat="1" ht="23.95" customHeight="1">
      <c r="B142" s="43"/>
      <c r="C142" s="38"/>
      <c r="D142" s="38"/>
      <c r="E142" s="38"/>
      <c r="F142" s="38"/>
      <c r="G142" s="38"/>
      <c r="H142" s="38"/>
      <c r="I142" s="72"/>
    </row>
    <row r="143" spans="1:9" s="70" customFormat="1" ht="23.95" customHeight="1">
      <c r="B143" s="43"/>
      <c r="C143" s="40"/>
      <c r="D143" s="40"/>
      <c r="E143" s="40"/>
      <c r="F143" s="40"/>
      <c r="G143" s="40"/>
      <c r="H143" s="40"/>
    </row>
    <row r="144" spans="1:9" s="70" customFormat="1" ht="23.95" customHeight="1">
      <c r="B144" s="43"/>
      <c r="C144" s="40"/>
      <c r="D144" s="40"/>
      <c r="E144" s="40"/>
      <c r="F144" s="40"/>
      <c r="G144" s="40"/>
      <c r="H144" s="40"/>
    </row>
    <row r="145" spans="2:8" s="70" customFormat="1" ht="23.95" customHeight="1">
      <c r="B145" s="43"/>
      <c r="C145" s="40"/>
      <c r="D145" s="40"/>
      <c r="E145" s="40"/>
      <c r="F145" s="40"/>
      <c r="G145" s="40"/>
      <c r="H145" s="40"/>
    </row>
    <row r="146" spans="2:8" s="70" customFormat="1" ht="23.95" customHeight="1">
      <c r="B146" s="45"/>
      <c r="C146" s="40"/>
      <c r="D146" s="40"/>
      <c r="E146" s="40"/>
      <c r="F146" s="40"/>
      <c r="G146" s="40"/>
      <c r="H146" s="40"/>
    </row>
    <row r="147" spans="2:8" s="70" customFormat="1" ht="23.95" customHeight="1">
      <c r="B147" s="45"/>
      <c r="C147" s="40"/>
      <c r="D147" s="40"/>
      <c r="E147" s="40"/>
      <c r="F147" s="40"/>
      <c r="G147" s="40"/>
      <c r="H147" s="40"/>
    </row>
    <row r="148" spans="2:8" s="70" customFormat="1" ht="23.95" customHeight="1">
      <c r="B148" s="45"/>
      <c r="C148" s="40"/>
      <c r="D148" s="40"/>
      <c r="E148" s="40"/>
      <c r="F148" s="40"/>
      <c r="G148" s="40"/>
      <c r="H148" s="40"/>
    </row>
    <row r="149" spans="2:8" s="70" customFormat="1" ht="23.95" customHeight="1">
      <c r="B149" s="45"/>
      <c r="C149" s="40"/>
      <c r="D149" s="40"/>
      <c r="E149" s="40"/>
      <c r="F149" s="40"/>
      <c r="G149" s="40"/>
      <c r="H149" s="40"/>
    </row>
    <row r="150" spans="2:8" s="70" customFormat="1" ht="23.95" customHeight="1">
      <c r="B150" s="45"/>
      <c r="C150" s="40"/>
      <c r="D150" s="40"/>
      <c r="E150" s="40"/>
      <c r="F150" s="40"/>
      <c r="G150" s="40"/>
      <c r="H150" s="40"/>
    </row>
    <row r="151" spans="2:8" s="70" customFormat="1" ht="23.95" customHeight="1">
      <c r="B151" s="45"/>
      <c r="C151" s="40"/>
      <c r="D151" s="40"/>
      <c r="E151" s="40"/>
      <c r="F151" s="40"/>
      <c r="G151" s="40"/>
      <c r="H151" s="40"/>
    </row>
    <row r="152" spans="2:8" s="70" customFormat="1" ht="23.95" customHeight="1">
      <c r="B152" s="45"/>
      <c r="C152" s="40"/>
      <c r="D152" s="40"/>
      <c r="E152" s="40"/>
      <c r="F152" s="40"/>
      <c r="G152" s="40"/>
      <c r="H152" s="40"/>
    </row>
    <row r="153" spans="2:8" s="70" customFormat="1" ht="23.95" customHeight="1">
      <c r="B153" s="45"/>
      <c r="C153" s="40"/>
      <c r="D153" s="40"/>
      <c r="E153" s="40"/>
      <c r="F153" s="40"/>
      <c r="G153" s="40"/>
      <c r="H153" s="40"/>
    </row>
    <row r="154" spans="2:8" s="70" customFormat="1" ht="23.95" customHeight="1">
      <c r="B154" s="45"/>
      <c r="C154" s="40"/>
      <c r="D154" s="40"/>
      <c r="E154" s="40"/>
      <c r="F154" s="40"/>
      <c r="G154" s="40"/>
      <c r="H154" s="40"/>
    </row>
    <row r="155" spans="2:8" s="70" customFormat="1" ht="23.95" customHeight="1">
      <c r="B155" s="45"/>
      <c r="C155" s="40"/>
      <c r="D155" s="40"/>
      <c r="E155" s="40"/>
      <c r="F155" s="40"/>
      <c r="G155" s="40"/>
      <c r="H155" s="40"/>
    </row>
    <row r="156" spans="2:8" s="70" customFormat="1" ht="23.95" customHeight="1">
      <c r="B156" s="45"/>
      <c r="C156" s="40"/>
      <c r="D156" s="40"/>
      <c r="E156" s="40"/>
      <c r="F156" s="40"/>
      <c r="G156" s="40"/>
      <c r="H156" s="40"/>
    </row>
    <row r="157" spans="2:8" s="70" customFormat="1" ht="23.95" customHeight="1">
      <c r="B157" s="35"/>
      <c r="C157" s="40"/>
      <c r="D157" s="40"/>
      <c r="E157" s="40"/>
      <c r="F157" s="40"/>
      <c r="G157" s="40"/>
      <c r="H157" s="40"/>
    </row>
    <row r="158" spans="2:8" s="70" customFormat="1" ht="23.95" customHeight="1">
      <c r="B158" s="35"/>
      <c r="C158" s="40"/>
      <c r="D158" s="40"/>
      <c r="E158" s="40"/>
      <c r="F158" s="40"/>
      <c r="G158" s="40"/>
      <c r="H158" s="40"/>
    </row>
    <row r="159" spans="2:8" s="70" customFormat="1" ht="23.95" customHeight="1">
      <c r="B159" s="35"/>
      <c r="C159" s="40"/>
      <c r="D159" s="40"/>
      <c r="E159" s="40"/>
      <c r="F159" s="40"/>
      <c r="G159" s="40"/>
      <c r="H159" s="40"/>
    </row>
    <row r="160" spans="2:8" s="70" customFormat="1" ht="23.95" customHeight="1">
      <c r="B160" s="35"/>
      <c r="C160" s="40"/>
      <c r="D160" s="40"/>
      <c r="E160" s="40"/>
      <c r="F160" s="40"/>
      <c r="G160" s="40"/>
      <c r="H160" s="40"/>
    </row>
    <row r="161" spans="1:9" s="70" customFormat="1" ht="23.95" customHeight="1">
      <c r="A161" s="35"/>
      <c r="B161" s="35"/>
      <c r="C161" s="40"/>
      <c r="D161" s="40"/>
      <c r="E161" s="40"/>
      <c r="F161" s="40"/>
      <c r="G161" s="40"/>
      <c r="H161" s="40"/>
    </row>
    <row r="162" spans="1:9" s="70" customFormat="1" ht="23.95" customHeight="1">
      <c r="A162" s="35"/>
      <c r="B162" s="35"/>
      <c r="C162" s="40"/>
      <c r="D162" s="40"/>
      <c r="E162" s="40"/>
      <c r="F162" s="40"/>
      <c r="G162" s="40"/>
      <c r="H162" s="40"/>
    </row>
    <row r="163" spans="1:9">
      <c r="C163" s="40"/>
      <c r="D163" s="40"/>
      <c r="E163" s="40"/>
      <c r="F163" s="40"/>
      <c r="G163" s="40"/>
      <c r="H163" s="40"/>
      <c r="I163" s="70"/>
    </row>
  </sheetData>
  <mergeCells count="33">
    <mergeCell ref="B72:J72"/>
    <mergeCell ref="B91:E91"/>
    <mergeCell ref="A3:H3"/>
    <mergeCell ref="A1:I1"/>
    <mergeCell ref="A13:B13"/>
    <mergeCell ref="A2:H2"/>
    <mergeCell ref="B5:H5"/>
    <mergeCell ref="B7:H7"/>
    <mergeCell ref="B6:H6"/>
    <mergeCell ref="B23:D23"/>
    <mergeCell ref="B26:G26"/>
    <mergeCell ref="B27:H27"/>
    <mergeCell ref="B28:K28"/>
    <mergeCell ref="B53:D53"/>
    <mergeCell ref="B71:J71"/>
    <mergeCell ref="B25:E25"/>
    <mergeCell ref="B30:K30"/>
    <mergeCell ref="B29:K29"/>
    <mergeCell ref="B129:H129"/>
    <mergeCell ref="B122:G122"/>
    <mergeCell ref="B97:K97"/>
    <mergeCell ref="B128:I128"/>
    <mergeCell ref="B121:J121"/>
    <mergeCell ref="B110:K110"/>
    <mergeCell ref="B98:K98"/>
    <mergeCell ref="B93:F93"/>
    <mergeCell ref="B94:K94"/>
    <mergeCell ref="B96:K96"/>
    <mergeCell ref="B106:J106"/>
    <mergeCell ref="B105:J105"/>
    <mergeCell ref="B100:I100"/>
    <mergeCell ref="B99:F99"/>
    <mergeCell ref="B92:I92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5384334</cp:lastModifiedBy>
  <cp:lastPrinted>2024-08-09T09:00:03Z</cp:lastPrinted>
  <dcterms:created xsi:type="dcterms:W3CDTF">2023-02-02T03:43:01Z</dcterms:created>
  <dcterms:modified xsi:type="dcterms:W3CDTF">2024-09-10T09:22:24Z</dcterms:modified>
</cp:coreProperties>
</file>