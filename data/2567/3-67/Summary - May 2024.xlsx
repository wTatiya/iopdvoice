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8678" yWindow="-122" windowWidth="21953" windowHeight="12444" activeTab="1"/>
  </bookViews>
  <sheets>
    <sheet name="Total Table" sheetId="1" r:id="rId1"/>
    <sheet name="Summary" sheetId="2" r:id="rId2"/>
  </sheets>
  <definedNames>
    <definedName name="OLE_LINK1" localSheetId="1">Summary!#REF!</definedName>
    <definedName name="_xlnm.Print_Area" localSheetId="1">Summary!$A$1:$L$126</definedName>
    <definedName name="_xlnm.Print_Area" localSheetId="0">'Total Table'!$A$1:$N$116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1" i="1"/>
  <c r="G11" i="2"/>
  <c r="E11"/>
  <c r="F22" i="1"/>
  <c r="C45"/>
  <c r="F45"/>
  <c r="L45"/>
  <c r="P22"/>
  <c r="Q22"/>
  <c r="P45"/>
  <c r="C22" l="1"/>
  <c r="B22"/>
  <c r="L91" l="1"/>
  <c r="D45"/>
  <c r="H45"/>
  <c r="O22" l="1"/>
  <c r="E45"/>
  <c r="G45"/>
  <c r="J45"/>
  <c r="M45"/>
  <c r="N45"/>
  <c r="O45"/>
  <c r="J68"/>
  <c r="K68"/>
  <c r="L68"/>
  <c r="M68"/>
  <c r="N68"/>
  <c r="M91"/>
  <c r="B91"/>
  <c r="D91"/>
  <c r="E91"/>
  <c r="F91"/>
  <c r="G91"/>
  <c r="H91"/>
  <c r="I91"/>
  <c r="J91"/>
  <c r="B68"/>
  <c r="C68"/>
  <c r="D68"/>
  <c r="E68"/>
  <c r="G68"/>
  <c r="H68"/>
  <c r="E22"/>
  <c r="G22"/>
  <c r="I22"/>
  <c r="K22"/>
  <c r="L22"/>
  <c r="M22"/>
  <c r="N22"/>
</calcChain>
</file>

<file path=xl/sharedStrings.xml><?xml version="1.0" encoding="utf-8"?>
<sst xmlns="http://schemas.openxmlformats.org/spreadsheetml/2006/main" count="471" uniqueCount="201">
  <si>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</si>
  <si>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</si>
  <si>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</si>
  <si>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</si>
  <si>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</si>
  <si>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</si>
  <si>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</si>
  <si>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เคมีบำบัด</t>
  </si>
  <si>
    <t>จักษุ</t>
  </si>
  <si>
    <t>จำนวนใบประเมิน</t>
  </si>
  <si>
    <t>4. แพทย์ให้ความสำคัญกับการตรวจร่างกายเพื่อวินิจฉัยโรค</t>
  </si>
  <si>
    <t>5. แพทย์ให้ข้อมูล/แนะนำวิธีการและทางเลือกในการรักษา</t>
  </si>
  <si>
    <t>6. คำถามและข้อสงสัย ได้รับคำตอบที่ชัดเจนจากแพทย์</t>
  </si>
  <si>
    <t>7. แพทย์รับฟัง/พูดคุยให้ท่านคลายความกังวลในอาการเจ็บป่วย</t>
  </si>
  <si>
    <t>8. ท่านได้มีโอกาสพูดคุยกับพยาบาลหรือเจ้าหน้าที่เรื่องอาการเจ็บป่วย</t>
  </si>
  <si>
    <t>9. พยาบาลเจ้าหน้าที่สามารถตอบข้อสงสัยได้ชัดเจน</t>
  </si>
  <si>
    <t>10. ท่านได้รับการดูแลเอาใจใส่</t>
  </si>
  <si>
    <t>11. ท่านมีส่วนร่วมในการตัดสินใจเรื่องการรักษาพยาบาล</t>
  </si>
  <si>
    <t>12. ท่านได้รับการดูแลอย่างเท่าเทียม ไม่เลือกปฏิบัติ</t>
  </si>
  <si>
    <t>13. ท่านได้รับคำแนะนำและขั้นตอนในการรับบริการโรงพยาบาล</t>
  </si>
  <si>
    <t>14. อาการเจ็บป่วยทางกายและใจได้รับการดูแลอย่างดี</t>
  </si>
  <si>
    <t>15. แพทย์เปิดโอกาสให้ผู้ป่วย/ญาติได้ซักถาม</t>
  </si>
  <si>
    <t>16. ผู้ป่วยและญาติได้รับข้อมูลการรักษาที่เป็นประโยชน์ สามารถดูแลตัวเองได้</t>
  </si>
  <si>
    <t>ระดับคะแนนเฉลี่ย</t>
  </si>
  <si>
    <t>คิดเป็นร้อยละ</t>
  </si>
  <si>
    <t>ไตเทียม</t>
  </si>
  <si>
    <t>1. เจ้าหน้าที่ให้การต้อนรับด้วยใบหน้ายิ้มแย้ม กล่าวคำว่าสวัสดีฯ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</si>
  <si>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</si>
  <si>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</si>
  <si>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</si>
  <si>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</si>
  <si>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</si>
  <si>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</si>
  <si>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</si>
  <si>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</si>
  <si>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</si>
  <si>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</si>
  <si>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</si>
  <si>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</si>
  <si>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</si>
  <si>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</si>
  <si>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</si>
  <si>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</si>
  <si>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</si>
  <si>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</si>
  <si>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</si>
  <si>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</si>
  <si>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</si>
  <si>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</si>
  <si>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</si>
  <si>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</si>
  <si>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</si>
  <si>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</si>
  <si>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</si>
  <si>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</si>
  <si>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</si>
  <si>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</si>
  <si>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</si>
  <si>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</si>
  <si>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2. เจ้าหน้าที่พูดจาไพเราะ กิริยาสุภาพ อ่อนน้อม</t>
  </si>
  <si>
    <t>3. เจ้าหน้าที่พยายามให้ความสะดวกรวดเร็วในการบริการ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</si>
  <si>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</si>
  <si>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</si>
  <si>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</si>
  <si>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</si>
  <si>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</si>
  <si>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</si>
  <si>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</si>
  <si>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</si>
  <si>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</si>
  <si>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</si>
  <si>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</si>
  <si>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</si>
  <si>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</si>
  <si>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</si>
  <si>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</si>
  <si>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</si>
  <si>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</si>
  <si>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</si>
  <si>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</si>
  <si>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</si>
  <si>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ไม่ระบุ</t>
  </si>
  <si>
    <t>ผิวหนัง</t>
  </si>
  <si>
    <t xml:space="preserve"> -</t>
  </si>
  <si>
    <t>-</t>
  </si>
  <si>
    <t>ศูนย์ประกันสุขภาพ</t>
  </si>
  <si>
    <t>เวชกรรม
ฟื้นฟู</t>
  </si>
  <si>
    <t>ชั้น 1
 อาคาร 
150 ปี</t>
  </si>
  <si>
    <t>โรคเลือด</t>
  </si>
  <si>
    <t>หัตถการ</t>
  </si>
  <si>
    <t>ห้องบัตร</t>
  </si>
  <si>
    <t>สรุปการประเมินผล OP-IP VOICE เดือนพฤษภาคม 2567</t>
  </si>
  <si>
    <t>548</t>
  </si>
  <si>
    <t>36</t>
  </si>
  <si>
    <t xml:space="preserve">ค่าเฉลี่ยการแนะนำญาติหรือคนรู้จักให้มาใช้บริการที่โรงพยาบาล  OPD = 96.17% IPD = 95.39%  </t>
  </si>
  <si>
    <t xml:space="preserve">ค่าเฉลี่ยความพึงพอใจการใช้บริการของโรงพยาบาล OPD = 86.20% IPD = 90.66%  </t>
  </si>
  <si>
    <t>1127</t>
  </si>
  <si>
    <t xml:space="preserve"> - ระบบการให้บริการอันซับซ้อนและไม่ต่อเนื่อง หากไม่สามารถมาได้ตามนัดกลับมาต้องเริ่มใหม่ จาก 0 ทั้งที่เป็นเหตุการณ์ที่สุดวิสัย หากสามารถปรับระบบการรักษาให้มีความซับซ้อนน้อยกว่านี้ </t>
  </si>
  <si>
    <t xml:space="preserve">   ลดงานกระดาษลงคงจะดี ไม่ใช่อะไรก็ไล่ไปกรอกฟอร์มวัดความดันอย่างเดียว</t>
  </si>
  <si>
    <t xml:space="preserve"> - ควรปรับปรุงอย่างยิ่ง พยาบาลพูดจาไม่ดี ไม่สนใจความรู้สึกคนไข้ ควรปรับปรุงในการทำงานของทางโรงพยาบาลใหม่นะครับ</t>
  </si>
  <si>
    <t xml:space="preserve"> - ติดต่อเจ้าหน้าที่ยาก</t>
  </si>
  <si>
    <t xml:space="preserve"> - การแนะนำหรือตอบคำถาม ควรจะให้มากและดีกว่านี้</t>
  </si>
  <si>
    <t xml:space="preserve"> - ควรบริการทุกระดับเท่า ๆ กัน</t>
  </si>
  <si>
    <t xml:space="preserve"> - หน้าห้องตรวจ บริเวณเคาน์เตอร์ เก้าอี้ไม่เพียงพอ (คลินิกพิเศษเฉพาะทางนอกเวลา)</t>
  </si>
  <si>
    <t xml:space="preserve"> - รอหมอนาน </t>
  </si>
  <si>
    <t xml:space="preserve"> - อยากให้ตรวจจริง ๆ ภายนอกดูแข็งแรงก็จริง แต่อยากให้ดูในร่างกายด้วยครับ</t>
  </si>
  <si>
    <t xml:space="preserve"> - ชั้น 6 งานลงทะเบียนช้ามาก </t>
  </si>
  <si>
    <t xml:space="preserve"> - Case มีเจาะ cortisol level ตอน 8 โมง เมื่อยื่นลงทะเบียนที่ ชั้น 6 เวลา 7.35 น. วันที่ 13 พ.ค. 67 คนไข้เยอะมาก เลยสอบถามพยาบาลที่หน้าห้องลงทะเบียนว่า คนไข้มีเจาะเลือด 8 โมง </t>
  </si>
  <si>
    <t xml:space="preserve">   สอบถามว่าสามารถเจาะเลือด 8 โมง แล้วมายื่นได้มั้ย พยาบาลบอกว่าไม่ต้องเป๊ะขนาดนั้นมันไม่จำเป็น เลยไม่แน่ใจว่า สรุปต้อง 8 โมง หรือ 9 โมง หรือ 10 โมงได้</t>
  </si>
  <si>
    <t xml:space="preserve"> - การเอาใจใส่  ตอบข้อซักถามในข้อสงสัยบางประการไม่ค่อยดี</t>
  </si>
  <si>
    <t xml:space="preserve"> - ที่จอดรถน้อย</t>
  </si>
  <si>
    <t xml:space="preserve"> - อาคารจอดรถทางค่อนข้างสับสน</t>
  </si>
  <si>
    <t xml:space="preserve"> - เพิ่มหมอ (2)</t>
  </si>
  <si>
    <t xml:space="preserve"> - ในส่วนของเจาะเลือดและซักประวัติไม่มีความชัดเจน</t>
  </si>
  <si>
    <t xml:space="preserve"> - ที่จอดรถค่าบริการสูง</t>
  </si>
  <si>
    <t xml:space="preserve"> - ควรมีเจ้าหน้าที่แนะนำเวลามีคนไข้ที่ไม่เคยเข้ามาใช้บริการ</t>
  </si>
  <si>
    <t xml:space="preserve"> - ควรมีที่จอดรถนอกอาคารเพิ่ม</t>
  </si>
  <si>
    <t xml:space="preserve"> - รอนาน</t>
  </si>
  <si>
    <t xml:space="preserve"> - การต่อคิวเข้าโรงพยาบาล (2)</t>
  </si>
  <si>
    <t xml:space="preserve"> - รอจ่ายเงินนาน</t>
  </si>
  <si>
    <t xml:space="preserve"> - อยากให้เจ้าหน้าที่ยิ้มแย้ม และพูดจาสุภาพ</t>
  </si>
  <si>
    <t xml:space="preserve"> - ควรมีระบบแจ้งเตือนการมาตรวจ วันนัด (ออนไลน์)</t>
  </si>
  <si>
    <t xml:space="preserve"> - อยากให้พูดจาเพราะกว่านี้ </t>
  </si>
  <si>
    <t xml:space="preserve"> - ควรเพิ่มจุดรับยา </t>
  </si>
  <si>
    <t xml:space="preserve"> - ไปตรวจแต่ละครั้ง ต้องขึ้น-ลงหลายชั้นมาก</t>
  </si>
  <si>
    <t xml:space="preserve"> - การบริการที่ล่าช้า (4)</t>
  </si>
  <si>
    <t xml:space="preserve"> - เจ้าหน้าที่บางราย พูดคุย หรือเล่นโทรศัพท์ในขณะทำงานเยอะเกินไป (ER)  </t>
  </si>
  <si>
    <t xml:space="preserve"> - จุดลงทะเบียนน้อย (2)</t>
  </si>
  <si>
    <t xml:space="preserve"> - รอยานาน (3)</t>
  </si>
  <si>
    <t xml:space="preserve"> - อยากให้จุดซักประวัติอยากให้พูดเสียงดังฟังชัด คนพิการด้านหู ไม่ค่อยได้ยิน</t>
  </si>
  <si>
    <t xml:space="preserve">   คนไข้มาแต่เช้าต้องมาเสียเวลารับบัตรคิว 2 จุด เสียเวลาเข้าคิว 2 รอบ</t>
  </si>
  <si>
    <t xml:space="preserve"> - ปรับปรุงการให้บริการ ไม่ให้คำแนะนำตอบไม่ตรงคำถาม</t>
  </si>
  <si>
    <t xml:space="preserve"> - รอคิวนาน (3)</t>
  </si>
  <si>
    <t xml:space="preserve"> - ลงทะเบียนช้ามาก (3)</t>
  </si>
  <si>
    <t xml:space="preserve"> - ติดมอนิเตอร์ ใช้เวลานานเกินไป</t>
  </si>
  <si>
    <t xml:space="preserve"> - อยากให้มีเก้าอี้สำหรับนั่งรอมากขึ้น (MICU)</t>
  </si>
  <si>
    <t xml:space="preserve"> - อยากให้เจ้าหน้าที่ตั้งใจดูแลคนไข้</t>
  </si>
  <si>
    <t xml:space="preserve"> - อุปกรณ์บางชนิดควรดูแลซ่อมแซมบ้าง (18B)</t>
  </si>
  <si>
    <t xml:space="preserve"> - อยากให้แพทย์ซักประวัติทีเดียว มาถามทีละคนถามคำถามเดิม ๆ คนไข้ต้องตอบหลายรอบ อยากให้มาถามให้พร้อมกันค่ะ</t>
  </si>
  <si>
    <t xml:space="preserve"> - น่าจะมี TV ให้ดูข่าว หรือรายการต่าง ๆ (19A)</t>
  </si>
  <si>
    <t xml:space="preserve"> - มาตั้งแต่ 08.00 น. แต่ได้รับการตรวจเวลา 17.00 น. ให้แต่ยื่นเอกสาร</t>
  </si>
  <si>
    <t xml:space="preserve"> - การลงทะเบียน เอกสาร ช้ามาก</t>
  </si>
  <si>
    <t xml:space="preserve"> - ควรเดินสอบถามอาการคนไข้ตามเตียง เพื่อสอบถามความต้องการขอบคนไข้</t>
  </si>
  <si>
    <t xml:space="preserve"> - โทรมาสอบถามเจ้าหน้าที่ ห้อง พรบ. ไม่สามารถให้คำตอบที่ชัดเจนได้ เรื่องของเบอร์ห้อง ใช้น้ำเสียงลากยาว ฟังไม่ค่อยชัดเจน</t>
  </si>
  <si>
    <t xml:space="preserve"> - บุคลากรบางท่านควรปรับปรุงพฤติกรรม</t>
  </si>
  <si>
    <t xml:space="preserve"> - รอเจ้าหน้าที่เวรเปลนานมากค่ะ ต้องปรับปรุงเป็นอย่างมาก</t>
  </si>
  <si>
    <t xml:space="preserve"> - ช่วยลดเสียงการพูดคุยเล่นลงสักนิด</t>
  </si>
  <si>
    <t xml:space="preserve"> - อาหารควรปรับปรุง</t>
  </si>
  <si>
    <t xml:space="preserve"> - อ่างล้างหน้าน้ำไม่ไหล (22B)</t>
  </si>
  <si>
    <t xml:space="preserve"> - ขอน้ำร้อนยากมาก</t>
  </si>
  <si>
    <t xml:space="preserve"> - เวลาช้าไปหน่อย (รอนาน)</t>
  </si>
  <si>
    <t xml:space="preserve"> - ควรให้กำลังใจคนไข้</t>
  </si>
  <si>
    <t xml:space="preserve"> - ควรมีน้ำยาล้างจาน และฟองน้ำล้างจาน  (24A)</t>
  </si>
  <si>
    <t xml:space="preserve"> - รอบของการเปลี่ยนผ้าปูที่นอน และการเก็บปัสสาวะ ช้าไปหน่อย</t>
  </si>
  <si>
    <t xml:space="preserve"> - ที่นอนแข็งเป็นหลุม  ที่นอนใหม่แต่มีประสิทธิภาพ เปลี่ยนเตียงใหม่ก็เหมือนเดิม ควรปรับปรุงที่นอนเป็นอย่างมาก (25A)</t>
  </si>
  <si>
    <t xml:space="preserve"> - ระยะเวลาในการรอผ่าตัดค่อนข้างนาน</t>
  </si>
  <si>
    <t xml:space="preserve"> - อยากให้เจ้าหน้าที่พูดจาเป็นกันเองกับคนไข้และญาติให้มากกว่านี้ </t>
  </si>
  <si>
    <t xml:space="preserve"> - อยากให้ประกันดำเนินการไวขึ้น</t>
  </si>
  <si>
    <t xml:space="preserve"> - เครื่องปรับอากาศมีน้ำรั่ว (25B)</t>
  </si>
  <si>
    <t xml:space="preserve"> - สายชำระไม่ดี  25B ห้อง 104  (25B)</t>
  </si>
  <si>
    <t xml:space="preserve"> - เสื้อเด็กหลายชุด บริเวณไหล่ข้างขวาไม่มีกระดุม (25B)</t>
  </si>
  <si>
    <t xml:space="preserve"> - พื้นห้องน้ำไม่ควรที่จะลื่น ควรมีผ้าเช็ดเท้าไว้ที่พื้นสำหรับซับน้ำในห้องน้ำ แม้ว่าจะมีการแบ่งส่วนเปียกและแห้ง แต่พอใช้จริง ๆ พื้นก็จะเปียกไปหมด (25B)</t>
  </si>
  <si>
    <t xml:space="preserve"> - อาหารจืด ชืด (2)</t>
  </si>
  <si>
    <t xml:space="preserve"> - อยากให้มีไมโครเวฟในห้องด้วยค่ะ อยากให้มีชากาแฟ (25B)</t>
  </si>
  <si>
    <t xml:space="preserve"> - เจ้าหน้าที่ห้องฉุกเฉิน ที่เป็น lgbt ดูค่อนข้างมีอายุ และพยาบาลที่พาขึ้นมาบนห้อง พูดจาไม่ดี พูดกระแทกเสียงตลอดเวลา โดยเฉพาะเจ้าหน้าที่ที่เป็น lgbt ได้พูดกับญาติว่าถ้าไม่ยอมใช้สิทธิ์ 30 บาท </t>
  </si>
  <si>
    <t xml:space="preserve"> - ห้องพักเก็บเสียงไม่ดี ได้ยินเสียงจากข้างนอกตลอด</t>
  </si>
  <si>
    <t xml:space="preserve"> - อยากให้เจ้าหน้าที่ยิ้มแย้ม ไม่หน้าบึ้ง (2)</t>
  </si>
  <si>
    <t xml:space="preserve"> - บางจุดควรมีป้ายบอกให้ชัดเจนเพื่อไม่ให้ผู้รับบริการสับสน </t>
  </si>
  <si>
    <t xml:space="preserve"> - ไม่มีใบนัด มารอรับบัตรคิวตั้งแต่ตี 4 เพื่อที่จะได้รับบัตรคิวเบอร์ต้น ๆ แต่พยาบาลคัดกรองแจ้งให้มาตรวจที่ตึก 100 ปี ทำไมถึงไม่จัดให้มีระบบคัดกรองที่ตึก 100 ปี สำหรับคนไข้ที่ไม่มีใบนัด  </t>
  </si>
  <si>
    <t xml:space="preserve"> - ที่จอดรถ ให้ลงไปจอดชั้นใต้ดินและคนไข้ต้องนั่งรถเข็นเกิดความลำบาก เพราะทางรถเข็นไม่มีต้องยกหรือให้คนไข้เดินมาตรงลิฟต์เอง  ทางเข้าไม่สะดวกเลย</t>
  </si>
  <si>
    <t xml:space="preserve"> - ขอให้แยกจุดลงทะเบียนของคนไข้ที่เป็นโรคทางเดินหายใจ เพราะอาจโดนคนไข้ท่านอื่นที่เป็นโรคอื่นแพร่กระจายเชื้อโรคใส่ เป็นความเสี่ยง เพิ่มโอกาสในการติดเชื้อค่ะ</t>
  </si>
  <si>
    <t xml:space="preserve"> - อาหารคนไข้ไม่ร้อน ควรอุ่นมาก่อนให้คนไข้ทาน (2)</t>
  </si>
  <si>
    <t xml:space="preserve"> - ช่วงกลางคืนมีเจ้าหน้าที่เข้ามาวัดความดัน  ประมาณ 02.00 น.  หลังจากวัดความดันเสร็จแล้วเจ้าหน้าที่ทำการปิดไฟทั้งห้อง คนไข้มีปัญหาเกี่ยวกับการมองเห็นทำให้ลำบากในการเข้าห้องน้ำ </t>
  </si>
  <si>
    <t xml:space="preserve"> - ที่จอดรถคนไข้อยู่ชั้น 3D แต่เจ้าหน้าที่รักษาความปลอดภัยแจ้งว่าต้องลงไปจอดที่ชั้น 1 เพื่อเดินไปที่ชั้น 3 เพราะประตูชั้น 3 เปิดไม่ได้ ซึ่งคนไข้ไม่สะดวกเพราะเป็นแผล อยากให้โรงพยาบาล</t>
  </si>
  <si>
    <t xml:space="preserve"> - คนไข้ใช้บริการเป็นจำนวนมาก  ต้องใช้เวลาในการรอคอยการรักษานาน</t>
  </si>
  <si>
    <t xml:space="preserve"> - ควรเพิ่มจำนวนของแพทย์ พยาบาล เพื่อลดความเหนื่อยล้าของบุคลากรทางการแพทย์ และเพื่อความปลอดภัยของคนไข้</t>
  </si>
  <si>
    <t xml:space="preserve"> - กระดาษชำระที่เหลือไม่อยากให้ทิ้ง อยากให้เอาไปไว้ในห้องน้ำคนไข้ บอกเจ้าหน้าที่ทำความสะอาดอย่าทิ้งค่ะ</t>
  </si>
  <si>
    <t xml:space="preserve"> - แรกรับอุปกรณ์ตวง urine out ไม่มีให้ ต้องให้คนไข้ไปขอเอง เพื่อเปรียบเทียบ I/O</t>
  </si>
  <si>
    <t xml:space="preserve"> - อยากให้โรงพยาบาลลิงค์ข้อมูลประวัติการรักษา บางวันต้องเจอคุณหมอถึง 3 ท่าน ก็ถามอาการเดิมถึง 3 ครั้ง  ซึ่งบางครั้งอาการเหล่านี้ก็เคยได้รับการรักษามาก่อนแล้ว </t>
  </si>
  <si>
    <t xml:space="preserve">  อยากให้โรงพยาบาลรับเคสโดยไม่โยนไปตึกอื่น และข้อมูลน่าจะลิงก์หากันได้ เพราะถ้าต่อคิวเปลี่ยนคลินิกก็ค่อนข้างยาว และต้องไปต่อคิวใหม่ เคยมาโรงพยาบาลตั้งแต่ 7.00 น. แต่กลับถึงบ้าน 21.30 น.</t>
  </si>
  <si>
    <t xml:space="preserve"> - ใช้บริการห้องเจาะเลือด วันที่ 27/5/67 เวลาประมาณ 15:00 น. พูดจาไม่ค่อยน่าฟัง และตอนดึงเข็มออก ดึงแรงกว่าที่เคยเจาะกับท่านอื่น</t>
  </si>
  <si>
    <t xml:space="preserve"> - ฝากเรื่องเวลาคนไข้ไปห้องน้ำครับ ควรระวังอย่างมาก เพราะคนไข้อาจลื่นล้มในห้องน้ำ เนื่องจากมีเหตุเกิดขึ้นจากตัวผมเอง ฝากดูแลด้วยครับ อย่าปล่อยให้อยู่ตามลำพัง</t>
  </si>
  <si>
    <t xml:space="preserve"> - ตอนกลางคืน  พยาบาลเข้ามาในห้องคนไข้เพื่อตรวจวัดความดันหรือฉีดยา จะต้องเปิดไฟเข้ามาทุกครั้ง แต่ตอนออกจากห้องมักชอบลืมปิดไฟ อยากให้ปรับปรุงเรื่องนี้ </t>
  </si>
  <si>
    <t xml:space="preserve">   และตอนเช้าเวลา 06.00 น. ก็เข้ามาเปิดไฟกลางเตียงโดยที่ไม่แจ้งคนไข้ ทำให้เกิดอาการปวดตา แสบตา และปวดหัว ดิฉันคิดว่าควรจะแจ้งคนไข้หรือสอบถามคนไข้ก่อน </t>
  </si>
  <si>
    <t xml:space="preserve">   แจ้งปรับปรุงเรื่องนี้ เรามาใช้บริการที่โรงพยาบาลนี้ครั้งแรกไม่รู้ว่าต้องไปชั้นไหนและต้องขับรถไปทางไหน ไม่มีทางบอกที่ชัดเจน เจ้าหน้าที่รักษาความปลอดภัย ก็แจ้งว่าไม่สามารถเปิดประตูได้อย่างเดียว</t>
  </si>
  <si>
    <t xml:space="preserve"> - เจ้าหน้าที่ให้ข้อมูลโดยใช้ศัพท์ทางการแพทย์ ฟังแล้วไม่ค่อยเข้าใจ</t>
  </si>
  <si>
    <t xml:space="preserve"> - สำหรับที่จอดรถควรฟรี หรือราคาถูกลงสำหรับญาติคนไข้หรือคนไข้ที่ต้องเข้ารักษาตัวในโรงพยาบาล (2)</t>
  </si>
  <si>
    <t xml:space="preserve"> - ห้องอาบน้ำน้อยไป ควรเพิ่มอีกสัก 2 ห้อง (18B)</t>
  </si>
  <si>
    <t xml:space="preserve"> - เครื่องมือมีปัญหาแต่แก้ไขไม่ได้ (26B )</t>
  </si>
  <si>
    <t>อันดับ 2 อุปกรณ์ เครื่องมือ และสถานที่ไม่สมบูรณ์ (OPD : 10  IPD : 18 )</t>
  </si>
  <si>
    <t>652</t>
  </si>
  <si>
    <t xml:space="preserve">   ตามสิทธิ์ของตัวเอง ก็ต้องจ่ายเงินสดเองทุกกรณีนะ คนไข้และญาติเข้าใจตั้งแต่ครั้งแรกที่แจ้งแล้ว แต่ทางเจ้าหน้าที่ก็ยังพูดซ้ำ ๆ เรื่องจ่ายเงิน</t>
  </si>
  <si>
    <t xml:space="preserve"> - ที่จอดรถแคบ ทางชัน น่ากลัว ขับยาก (3)</t>
  </si>
  <si>
    <t xml:space="preserve"> - เวลาเข้าเยี่ยมคนไข้ บอกให้เข้าเยี่ยมด้วยครั้งละ 1 คน แต่ญาติที่มาเยี่ยมมากันหลายหลายคนอยากให้เข้าเยี่ยมได้พร้อมกันค่ะ</t>
  </si>
  <si>
    <t xml:space="preserve"> - อยากให้เจ้าหน้าที่ใส่ใจมากขึ้นเวลาญาติมาเยี่ยม สอบถามอาการ </t>
  </si>
  <si>
    <t>อันดับ 3 การทำงานและพฤติกรรมของบุคลากร (OPD : 5 IPD : 8 )</t>
  </si>
  <si>
    <t>อันดับ 1 การให้บริการโดยรวม (OPD : 29 IPD : 21 )</t>
  </si>
  <si>
    <t xml:space="preserve"> - เป็นอีสุกอีใสให้รอด้านนอก แจ้งว่าเดี๋ยวหมอจะออกมาหาเอง รอตั้งแต่เช้าพอเข้าไปถามบอกว่าเรียกแล้วคนไข้ไม่อยู่ สรุปรอบบ่ายเข้าไปนั่งข้างในให้ออกมารอข้างนอกอีกมา 8 โมงเช้า </t>
  </si>
  <si>
    <t xml:space="preserve">   18:30 แล้วยังนั่งรอตรวจด้านนอกอยู่เลย</t>
  </si>
  <si>
    <t xml:space="preserve"> - ในกรณีที่คนไข้มีนัดเข้าแอดมิดใช้เวลาในการรอห้องนานมาก อยากให้ปรับปรุงระบบการลงทะเบียน เกี่ยวกับคนไข้ที่จะเข้าแอดมิดผ่านโทรศัพท์ก่อนที่จะมาโรงพยาบาล เพื่อลดความแออัด และลด </t>
  </si>
  <si>
    <t xml:space="preserve">   เวลารอคอยเพราะคนไข้บางท่านไม่สามารถนั่งรอเป็นเวลานานได้ เกิดความทรมานในร่างกาย ในเรื่องของระบบเคยโหลดใช้แล้วแต่ไม่สามารถใช้ได้ ไม่ทราบว่าทางโรงพยาบาลปรับปรุงแล้วหรือยัง</t>
  </si>
</sst>
</file>

<file path=xl/styles.xml><?xml version="1.0" encoding="utf-8"?>
<styleSheet xmlns="http://schemas.openxmlformats.org/spreadsheetml/2006/main">
  <numFmts count="1">
    <numFmt numFmtId="164" formatCode="###0.00"/>
  </numFmts>
  <fonts count="32"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sz val="10"/>
      <color indexed="8"/>
      <name val="Arial"/>
      <family val="2"/>
      <charset val="222"/>
    </font>
    <font>
      <sz val="10"/>
      <color theme="1"/>
      <name val="Arial"/>
      <family val="2"/>
      <charset val="222"/>
    </font>
    <font>
      <b/>
      <sz val="12"/>
      <color rgb="FF000000"/>
      <name val="TH SarabunPSK"/>
      <family val="2"/>
      <charset val="222"/>
    </font>
    <font>
      <b/>
      <sz val="18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3" fillId="0" borderId="0"/>
    <xf numFmtId="0" fontId="22" fillId="0" borderId="0"/>
  </cellStyleXfs>
  <cellXfs count="1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64" fontId="19" fillId="0" borderId="1" xfId="11" applyNumberFormat="1" applyFont="1" applyBorder="1" applyAlignment="1">
      <alignment horizontal="center" vertical="center"/>
    </xf>
    <xf numFmtId="164" fontId="19" fillId="0" borderId="1" xfId="13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2" fontId="21" fillId="6" borderId="1" xfId="0" applyNumberFormat="1" applyFont="1" applyFill="1" applyBorder="1" applyAlignment="1">
      <alignment horizontal="center" vertical="center" wrapText="1"/>
    </xf>
    <xf numFmtId="164" fontId="18" fillId="0" borderId="1" xfId="12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quotePrefix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5" fillId="0" borderId="7" xfId="16" applyFont="1" applyBorder="1" applyAlignment="1">
      <alignment horizontal="center" vertical="center"/>
    </xf>
    <xf numFmtId="0" fontId="25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164" fontId="19" fillId="7" borderId="1" xfId="14" applyNumberFormat="1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164" fontId="19" fillId="7" borderId="1" xfId="12" applyNumberFormat="1" applyFont="1" applyFill="1" applyBorder="1" applyAlignment="1">
      <alignment horizontal="center" vertical="center"/>
    </xf>
    <xf numFmtId="49" fontId="26" fillId="0" borderId="0" xfId="0" applyNumberFormat="1" applyFont="1" applyAlignment="1">
      <alignment vertical="center"/>
    </xf>
    <xf numFmtId="49" fontId="5" fillId="0" borderId="0" xfId="0" applyNumberFormat="1" applyFont="1"/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5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2" fontId="19" fillId="6" borderId="1" xfId="14" applyNumberFormat="1" applyFont="1" applyFill="1" applyBorder="1" applyAlignment="1">
      <alignment horizontal="center" vertical="center" wrapText="1"/>
    </xf>
    <xf numFmtId="164" fontId="16" fillId="7" borderId="4" xfId="10" applyNumberFormat="1" applyFill="1" applyBorder="1" applyAlignment="1">
      <alignment horizontal="center" vertical="center"/>
    </xf>
    <xf numFmtId="2" fontId="19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164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/>
    <xf numFmtId="2" fontId="27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164" fontId="19" fillId="0" borderId="1" xfId="12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28" fillId="6" borderId="1" xfId="14" applyNumberFormat="1" applyFont="1" applyFill="1" applyBorder="1" applyAlignment="1">
      <alignment horizontal="center" vertical="center" wrapText="1"/>
    </xf>
    <xf numFmtId="2" fontId="29" fillId="6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27" fillId="0" borderId="1" xfId="11" applyNumberFormat="1" applyFont="1" applyBorder="1" applyAlignment="1">
      <alignment horizontal="center" vertical="center"/>
    </xf>
    <xf numFmtId="164" fontId="14" fillId="7" borderId="4" xfId="10" applyNumberFormat="1" applyFont="1" applyFill="1" applyBorder="1" applyAlignment="1">
      <alignment horizontal="center" vertical="center"/>
    </xf>
    <xf numFmtId="49" fontId="14" fillId="7" borderId="0" xfId="0" applyNumberFormat="1" applyFont="1" applyFill="1" applyAlignment="1">
      <alignment vertical="center"/>
    </xf>
    <xf numFmtId="0" fontId="30" fillId="2" borderId="1" xfId="0" applyFont="1" applyFill="1" applyBorder="1" applyAlignment="1">
      <alignment horizontal="center" vertical="center" wrapText="1"/>
    </xf>
    <xf numFmtId="2" fontId="16" fillId="7" borderId="4" xfId="10" applyNumberForma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/>
    </xf>
    <xf numFmtId="0" fontId="21" fillId="0" borderId="4" xfId="0" applyFont="1" applyBorder="1" applyAlignment="1">
      <alignment horizontal="center" vertical="center" wrapText="1"/>
    </xf>
    <xf numFmtId="164" fontId="16" fillId="7" borderId="4" xfId="1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left"/>
    </xf>
    <xf numFmtId="49" fontId="26" fillId="0" borderId="0" xfId="0" applyNumberFormat="1" applyFont="1" applyAlignment="1">
      <alignment horizontal="left" vertical="center"/>
    </xf>
    <xf numFmtId="49" fontId="14" fillId="0" borderId="0" xfId="0" applyNumberFormat="1" applyFont="1" applyAlignment="1"/>
  </cellXfs>
  <cellStyles count="18">
    <cellStyle name="Normal" xfId="0" builtinId="0"/>
    <cellStyle name="Normal_IPD November" xfId="12"/>
    <cellStyle name="Normal_IPD_1" xfId="13"/>
    <cellStyle name="Normal_OPD August" xfId="11"/>
    <cellStyle name="Normal_OPD July" xfId="10"/>
    <cellStyle name="Normal_OPD_1" xfId="14"/>
    <cellStyle name="style1683707694983" xfId="1"/>
    <cellStyle name="style1683707695268" xfId="2"/>
    <cellStyle name="style1683707695497" xfId="3"/>
    <cellStyle name="style1683873781043" xfId="4"/>
    <cellStyle name="style1683873781293" xfId="5"/>
    <cellStyle name="style1683873781509" xfId="6"/>
    <cellStyle name="style1690951585398" xfId="8"/>
    <cellStyle name="style1690951585625" xfId="9"/>
    <cellStyle name="style1690951585802" xfId="7"/>
    <cellStyle name="ปกติ 2" xfId="16"/>
    <cellStyle name="ปกติ 3" xfId="17"/>
    <cellStyle name="ปกติ 4" xfId="1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5"/>
  <sheetViews>
    <sheetView topLeftCell="A31" zoomScale="85" zoomScaleNormal="85" zoomScaleSheetLayoutView="80" workbookViewId="0">
      <selection activeCell="H12" sqref="H12"/>
    </sheetView>
  </sheetViews>
  <sheetFormatPr defaultColWidth="9" defaultRowHeight="21.1"/>
  <cols>
    <col min="1" max="1" width="62.625" style="4" customWidth="1"/>
    <col min="2" max="2" width="9" style="4" customWidth="1"/>
    <col min="3" max="5" width="9" style="3"/>
    <col min="6" max="6" width="9.625" style="3" customWidth="1"/>
    <col min="7" max="8" width="9" style="3"/>
    <col min="9" max="9" width="9.625" style="3" bestFit="1" customWidth="1"/>
    <col min="10" max="12" width="9" style="3"/>
    <col min="13" max="13" width="10.75" style="3" customWidth="1"/>
    <col min="14" max="14" width="10.125" style="3" bestFit="1" customWidth="1"/>
    <col min="15" max="16" width="9" style="3"/>
    <col min="17" max="17" width="9.375" style="3" bestFit="1" customWidth="1"/>
    <col min="18" max="16384" width="9" style="3"/>
  </cols>
  <sheetData>
    <row r="1" spans="1:17" s="14" customFormat="1" ht="49.75" customHeight="1">
      <c r="A1" s="98" t="s">
        <v>91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1:17" s="14" customFormat="1" ht="49.75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spans="1:17" s="2" customFormat="1" ht="54.7" customHeight="1">
      <c r="A3" s="6" t="s">
        <v>0</v>
      </c>
      <c r="B3" s="89" t="s">
        <v>87</v>
      </c>
      <c r="C3" s="1" t="s">
        <v>90</v>
      </c>
      <c r="D3" s="89" t="s">
        <v>85</v>
      </c>
      <c r="E3" s="1" t="s">
        <v>2</v>
      </c>
      <c r="F3" s="1" t="s">
        <v>74</v>
      </c>
      <c r="G3" s="1" t="s">
        <v>80</v>
      </c>
      <c r="H3" s="1" t="s">
        <v>75</v>
      </c>
      <c r="I3" s="1" t="s">
        <v>3</v>
      </c>
      <c r="J3" s="1" t="s">
        <v>4</v>
      </c>
      <c r="K3" s="1" t="s">
        <v>77</v>
      </c>
      <c r="L3" s="1" t="s">
        <v>66</v>
      </c>
      <c r="M3" s="1" t="s">
        <v>58</v>
      </c>
      <c r="N3" s="1" t="s">
        <v>5</v>
      </c>
      <c r="O3" s="1" t="s">
        <v>82</v>
      </c>
      <c r="P3" s="1" t="s">
        <v>78</v>
      </c>
      <c r="Q3" s="1" t="s">
        <v>86</v>
      </c>
    </row>
    <row r="4" spans="1:17" s="85" customFormat="1" ht="24.8" customHeight="1">
      <c r="A4" s="82" t="s">
        <v>9</v>
      </c>
      <c r="B4" s="26">
        <v>8</v>
      </c>
      <c r="C4" s="26">
        <v>3</v>
      </c>
      <c r="D4" s="83" t="s">
        <v>83</v>
      </c>
      <c r="E4" s="84">
        <v>26</v>
      </c>
      <c r="F4" s="83">
        <v>6</v>
      </c>
      <c r="G4" s="83">
        <v>13</v>
      </c>
      <c r="H4" s="83" t="s">
        <v>83</v>
      </c>
      <c r="I4" s="83">
        <v>5</v>
      </c>
      <c r="J4" s="83" t="s">
        <v>83</v>
      </c>
      <c r="K4" s="83">
        <v>83</v>
      </c>
      <c r="L4" s="83">
        <v>29</v>
      </c>
      <c r="M4" s="83">
        <v>65</v>
      </c>
      <c r="N4" s="83">
        <v>96</v>
      </c>
      <c r="O4" s="83">
        <v>17</v>
      </c>
      <c r="P4" s="83">
        <v>1</v>
      </c>
      <c r="Q4" s="83">
        <v>1</v>
      </c>
    </row>
    <row r="5" spans="1:17" s="2" customFormat="1" ht="23.95" customHeight="1">
      <c r="A5" s="8" t="s">
        <v>26</v>
      </c>
      <c r="B5" s="25">
        <v>3.5</v>
      </c>
      <c r="C5" s="25">
        <v>4</v>
      </c>
      <c r="D5" s="63" t="s">
        <v>83</v>
      </c>
      <c r="E5" s="32">
        <v>4.4230769230769234</v>
      </c>
      <c r="F5" s="77">
        <v>4.5</v>
      </c>
      <c r="G5" s="25">
        <v>3.9230769230769238</v>
      </c>
      <c r="H5" s="63" t="s">
        <v>83</v>
      </c>
      <c r="I5" s="20">
        <v>5</v>
      </c>
      <c r="J5" s="63" t="s">
        <v>83</v>
      </c>
      <c r="K5" s="20">
        <v>4.168674698795181</v>
      </c>
      <c r="L5" s="20">
        <v>4.4137931034482758</v>
      </c>
      <c r="M5" s="20">
        <v>4.5538461538461537</v>
      </c>
      <c r="N5" s="20">
        <v>4.416666666666667</v>
      </c>
      <c r="O5" s="25">
        <v>4.6470588235294121</v>
      </c>
      <c r="P5" s="96">
        <v>5</v>
      </c>
      <c r="Q5" s="77">
        <v>5</v>
      </c>
    </row>
    <row r="6" spans="1:17" s="2" customFormat="1" ht="23.95" customHeight="1">
      <c r="A6" s="8" t="s">
        <v>59</v>
      </c>
      <c r="B6" s="25">
        <v>3.5</v>
      </c>
      <c r="C6" s="25">
        <v>3.3333333333333335</v>
      </c>
      <c r="D6" s="63" t="s">
        <v>83</v>
      </c>
      <c r="E6" s="32">
        <v>4.4615384615384608</v>
      </c>
      <c r="F6" s="77">
        <v>4.3333333333333339</v>
      </c>
      <c r="G6" s="25">
        <v>3.9230769230769225</v>
      </c>
      <c r="H6" s="63" t="s">
        <v>83</v>
      </c>
      <c r="I6" s="20">
        <v>4.5999999999999996</v>
      </c>
      <c r="J6" s="63" t="s">
        <v>83</v>
      </c>
      <c r="K6" s="20">
        <v>4.1445783132530121</v>
      </c>
      <c r="L6" s="20">
        <v>4.3793103448275863</v>
      </c>
      <c r="M6" s="20">
        <v>4.5230769230769239</v>
      </c>
      <c r="N6" s="20">
        <v>4.4375000000000018</v>
      </c>
      <c r="O6" s="25">
        <v>4.6470588235294121</v>
      </c>
      <c r="P6" s="96">
        <v>5</v>
      </c>
      <c r="Q6" s="77">
        <v>5</v>
      </c>
    </row>
    <row r="7" spans="1:17" s="2" customFormat="1" ht="23.95" customHeight="1">
      <c r="A7" s="8" t="s">
        <v>60</v>
      </c>
      <c r="B7" s="25">
        <v>3.875</v>
      </c>
      <c r="C7" s="25">
        <v>3.6666666666666665</v>
      </c>
      <c r="D7" s="63" t="s">
        <v>83</v>
      </c>
      <c r="E7" s="32">
        <v>4.4615384615384608</v>
      </c>
      <c r="F7" s="77">
        <v>4.3333333333333339</v>
      </c>
      <c r="G7" s="25">
        <v>3.8461538461538458</v>
      </c>
      <c r="H7" s="63" t="s">
        <v>83</v>
      </c>
      <c r="I7" s="20">
        <v>4.5999999999999996</v>
      </c>
      <c r="J7" s="63" t="s">
        <v>83</v>
      </c>
      <c r="K7" s="20">
        <v>4.1445783132530112</v>
      </c>
      <c r="L7" s="20">
        <v>4.3103448275862055</v>
      </c>
      <c r="M7" s="20">
        <v>4.5384615384615374</v>
      </c>
      <c r="N7" s="20">
        <v>4.4479166666666687</v>
      </c>
      <c r="O7" s="25">
        <v>4.6470588235294121</v>
      </c>
      <c r="P7" s="96">
        <v>5</v>
      </c>
      <c r="Q7" s="77">
        <v>5</v>
      </c>
    </row>
    <row r="8" spans="1:17" s="2" customFormat="1" ht="23.95" customHeight="1">
      <c r="A8" s="8" t="s">
        <v>10</v>
      </c>
      <c r="B8" s="25">
        <v>3.875</v>
      </c>
      <c r="C8" s="25">
        <v>3.3333333333333335</v>
      </c>
      <c r="D8" s="63" t="s">
        <v>83</v>
      </c>
      <c r="E8" s="32">
        <v>4.3461538461538449</v>
      </c>
      <c r="F8" s="77">
        <v>4.3333333333333339</v>
      </c>
      <c r="G8" s="25">
        <v>3.6923076923076925</v>
      </c>
      <c r="H8" s="63" t="s">
        <v>83</v>
      </c>
      <c r="I8" s="20">
        <v>4.5999999999999996</v>
      </c>
      <c r="J8" s="63" t="s">
        <v>83</v>
      </c>
      <c r="K8" s="20">
        <v>4.1927710843373482</v>
      </c>
      <c r="L8" s="20">
        <v>4.3448275862068959</v>
      </c>
      <c r="M8" s="20">
        <v>4.5230769230769239</v>
      </c>
      <c r="N8" s="20">
        <v>4.3541666666666652</v>
      </c>
      <c r="O8" s="25">
        <v>4.5882352941176467</v>
      </c>
      <c r="P8" s="96">
        <v>5</v>
      </c>
      <c r="Q8" s="77">
        <v>5</v>
      </c>
    </row>
    <row r="9" spans="1:17" s="2" customFormat="1" ht="23.95" customHeight="1">
      <c r="A9" s="8" t="s">
        <v>11</v>
      </c>
      <c r="B9" s="25">
        <v>3.5</v>
      </c>
      <c r="C9" s="25">
        <v>3</v>
      </c>
      <c r="D9" s="63" t="s">
        <v>83</v>
      </c>
      <c r="E9" s="32">
        <v>4.115384615384615</v>
      </c>
      <c r="F9" s="77">
        <v>4.5</v>
      </c>
      <c r="G9" s="25">
        <v>3.4615384615384608</v>
      </c>
      <c r="H9" s="63" t="s">
        <v>83</v>
      </c>
      <c r="I9" s="20">
        <v>4.4000000000000004</v>
      </c>
      <c r="J9" s="63" t="s">
        <v>83</v>
      </c>
      <c r="K9" s="20">
        <v>3.939759036144578</v>
      </c>
      <c r="L9" s="20">
        <v>4.3103448275862055</v>
      </c>
      <c r="M9" s="20">
        <v>4.3999999999999995</v>
      </c>
      <c r="N9" s="20">
        <v>4.2812499999999982</v>
      </c>
      <c r="O9" s="25">
        <v>4.4117647058823541</v>
      </c>
      <c r="P9" s="96">
        <v>4</v>
      </c>
      <c r="Q9" s="77">
        <v>5</v>
      </c>
    </row>
    <row r="10" spans="1:17" s="2" customFormat="1" ht="23.95" customHeight="1">
      <c r="A10" s="8" t="s">
        <v>12</v>
      </c>
      <c r="B10" s="25">
        <v>3.7500000000000004</v>
      </c>
      <c r="C10" s="25">
        <v>3</v>
      </c>
      <c r="D10" s="63" t="s">
        <v>83</v>
      </c>
      <c r="E10" s="32">
        <v>4.2692307692307692</v>
      </c>
      <c r="F10" s="77">
        <v>4.3333333333333339</v>
      </c>
      <c r="G10" s="25">
        <v>3.7692307692307692</v>
      </c>
      <c r="H10" s="63" t="s">
        <v>83</v>
      </c>
      <c r="I10" s="20">
        <v>4.5999999999999996</v>
      </c>
      <c r="J10" s="63" t="s">
        <v>83</v>
      </c>
      <c r="K10" s="20">
        <v>4.0481927710843371</v>
      </c>
      <c r="L10" s="20">
        <v>4.3103448275862073</v>
      </c>
      <c r="M10" s="20">
        <v>4.430769230769231</v>
      </c>
      <c r="N10" s="20">
        <v>4.447916666666667</v>
      </c>
      <c r="O10" s="25">
        <v>4.7058823529411775</v>
      </c>
      <c r="P10" s="96">
        <v>4</v>
      </c>
      <c r="Q10" s="77">
        <v>5</v>
      </c>
    </row>
    <row r="11" spans="1:17" s="2" customFormat="1" ht="23.95" customHeight="1">
      <c r="A11" s="8" t="s">
        <v>13</v>
      </c>
      <c r="B11" s="25">
        <v>3.625</v>
      </c>
      <c r="C11" s="25">
        <v>2.3333333333333335</v>
      </c>
      <c r="D11" s="63" t="s">
        <v>83</v>
      </c>
      <c r="E11" s="32">
        <v>4.3461538461538458</v>
      </c>
      <c r="F11" s="77">
        <v>4.3333333333333339</v>
      </c>
      <c r="G11" s="25">
        <v>3.5384615384615388</v>
      </c>
      <c r="H11" s="63" t="s">
        <v>83</v>
      </c>
      <c r="I11" s="20">
        <v>4.5999999999999996</v>
      </c>
      <c r="J11" s="63" t="s">
        <v>83</v>
      </c>
      <c r="K11" s="20">
        <v>3.8795180722891578</v>
      </c>
      <c r="L11" s="20">
        <v>4.3103448275862064</v>
      </c>
      <c r="M11" s="20">
        <v>4.4307692307692292</v>
      </c>
      <c r="N11" s="20">
        <v>4.3958333333333304</v>
      </c>
      <c r="O11" s="25">
        <v>4.6470588235294121</v>
      </c>
      <c r="P11" s="96">
        <v>4</v>
      </c>
      <c r="Q11" s="77">
        <v>5</v>
      </c>
    </row>
    <row r="12" spans="1:17" s="2" customFormat="1" ht="23.95" customHeight="1">
      <c r="A12" s="8" t="s">
        <v>14</v>
      </c>
      <c r="B12" s="25">
        <v>3.7500000000000004</v>
      </c>
      <c r="C12" s="25">
        <v>2.6666666666666665</v>
      </c>
      <c r="D12" s="63" t="s">
        <v>83</v>
      </c>
      <c r="E12" s="32">
        <v>4.2692307692307692</v>
      </c>
      <c r="F12" s="77">
        <v>4.5</v>
      </c>
      <c r="G12" s="25">
        <v>3.7692307692307692</v>
      </c>
      <c r="H12" s="63" t="s">
        <v>83</v>
      </c>
      <c r="I12" s="20">
        <v>4.4000000000000004</v>
      </c>
      <c r="J12" s="63" t="s">
        <v>83</v>
      </c>
      <c r="K12" s="20">
        <v>3.9156626506024095</v>
      </c>
      <c r="L12" s="20">
        <v>4.3793103448275872</v>
      </c>
      <c r="M12" s="20">
        <v>4.4615384615384626</v>
      </c>
      <c r="N12" s="20">
        <v>4.354166666666667</v>
      </c>
      <c r="O12" s="25">
        <v>4.5294117647058822</v>
      </c>
      <c r="P12" s="96">
        <v>4</v>
      </c>
      <c r="Q12" s="77">
        <v>5</v>
      </c>
    </row>
    <row r="13" spans="1:17" s="2" customFormat="1" ht="23.95" customHeight="1">
      <c r="A13" s="8" t="s">
        <v>15</v>
      </c>
      <c r="B13" s="25">
        <v>3.875</v>
      </c>
      <c r="C13" s="25">
        <v>2.3333333333333335</v>
      </c>
      <c r="D13" s="63" t="s">
        <v>83</v>
      </c>
      <c r="E13" s="32">
        <v>4.3461538461538467</v>
      </c>
      <c r="F13" s="77">
        <v>3.833333333333333</v>
      </c>
      <c r="G13" s="25">
        <v>3.9230769230769225</v>
      </c>
      <c r="H13" s="63" t="s">
        <v>83</v>
      </c>
      <c r="I13" s="20">
        <v>4.2</v>
      </c>
      <c r="J13" s="63" t="s">
        <v>83</v>
      </c>
      <c r="K13" s="20">
        <v>4.0843373493975896</v>
      </c>
      <c r="L13" s="20">
        <v>4.4827586206896548</v>
      </c>
      <c r="M13" s="20">
        <v>4.5846153846153843</v>
      </c>
      <c r="N13" s="20">
        <v>4.4583333333333321</v>
      </c>
      <c r="O13" s="25">
        <v>4.6470588235294121</v>
      </c>
      <c r="P13" s="96">
        <v>5</v>
      </c>
      <c r="Q13" s="77">
        <v>5</v>
      </c>
    </row>
    <row r="14" spans="1:17" s="2" customFormat="1" ht="23.95" customHeight="1">
      <c r="A14" s="8" t="s">
        <v>16</v>
      </c>
      <c r="B14" s="25">
        <v>3.875</v>
      </c>
      <c r="C14" s="25">
        <v>2.6666666666666665</v>
      </c>
      <c r="D14" s="63" t="s">
        <v>83</v>
      </c>
      <c r="E14" s="32">
        <v>4.3461538461538458</v>
      </c>
      <c r="F14" s="77">
        <v>4.3333333333333339</v>
      </c>
      <c r="G14" s="25">
        <v>3.5384615384615379</v>
      </c>
      <c r="H14" s="63" t="s">
        <v>83</v>
      </c>
      <c r="I14" s="20">
        <v>4.5999999999999996</v>
      </c>
      <c r="J14" s="63" t="s">
        <v>83</v>
      </c>
      <c r="K14" s="20">
        <v>4.1325301204819294</v>
      </c>
      <c r="L14" s="20">
        <v>4.4137931034482758</v>
      </c>
      <c r="M14" s="20">
        <v>4.4769230769230779</v>
      </c>
      <c r="N14" s="20">
        <v>4.4687500000000018</v>
      </c>
      <c r="O14" s="25">
        <v>4.5882352941176467</v>
      </c>
      <c r="P14" s="96">
        <v>5</v>
      </c>
      <c r="Q14" s="77">
        <v>5</v>
      </c>
    </row>
    <row r="15" spans="1:17" s="2" customFormat="1" ht="23.95" customHeight="1">
      <c r="A15" s="8" t="s">
        <v>17</v>
      </c>
      <c r="B15" s="25">
        <v>3.875</v>
      </c>
      <c r="C15" s="25">
        <v>3</v>
      </c>
      <c r="D15" s="63" t="s">
        <v>83</v>
      </c>
      <c r="E15" s="32">
        <v>4.4615384615384617</v>
      </c>
      <c r="F15" s="77">
        <v>4.3333333333333339</v>
      </c>
      <c r="G15" s="25">
        <v>3.6153846153846145</v>
      </c>
      <c r="H15" s="63" t="s">
        <v>83</v>
      </c>
      <c r="I15" s="20">
        <v>4.2</v>
      </c>
      <c r="J15" s="63" t="s">
        <v>83</v>
      </c>
      <c r="K15" s="20">
        <v>4.0120481927710863</v>
      </c>
      <c r="L15" s="20">
        <v>4.4827586206896557</v>
      </c>
      <c r="M15" s="20">
        <v>4.4461538461538463</v>
      </c>
      <c r="N15" s="20">
        <v>4.364583333333333</v>
      </c>
      <c r="O15" s="25">
        <v>4.5882352941176467</v>
      </c>
      <c r="P15" s="96">
        <v>5</v>
      </c>
      <c r="Q15" s="77">
        <v>5</v>
      </c>
    </row>
    <row r="16" spans="1:17" s="2" customFormat="1" ht="23.95" customHeight="1">
      <c r="A16" s="8" t="s">
        <v>18</v>
      </c>
      <c r="B16" s="25">
        <v>3.875</v>
      </c>
      <c r="C16" s="25">
        <v>3.3333333333333335</v>
      </c>
      <c r="D16" s="63" t="s">
        <v>83</v>
      </c>
      <c r="E16" s="32">
        <v>4.4230769230769242</v>
      </c>
      <c r="F16" s="77">
        <v>4.5</v>
      </c>
      <c r="G16" s="25">
        <v>4.1538461538461533</v>
      </c>
      <c r="H16" s="63" t="s">
        <v>83</v>
      </c>
      <c r="I16" s="20">
        <v>4.5999999999999996</v>
      </c>
      <c r="J16" s="63" t="s">
        <v>83</v>
      </c>
      <c r="K16" s="20">
        <v>4.1204819277108449</v>
      </c>
      <c r="L16" s="20">
        <v>4.3793103448275863</v>
      </c>
      <c r="M16" s="20">
        <v>4.5230769230769248</v>
      </c>
      <c r="N16" s="20">
        <v>4.3958333333333313</v>
      </c>
      <c r="O16" s="25">
        <v>4.7058823529411766</v>
      </c>
      <c r="P16" s="96">
        <v>5</v>
      </c>
      <c r="Q16" s="77">
        <v>5</v>
      </c>
    </row>
    <row r="17" spans="1:17" s="2" customFormat="1" ht="23.95" customHeight="1">
      <c r="A17" s="8" t="s">
        <v>19</v>
      </c>
      <c r="B17" s="25">
        <v>3.7500000000000004</v>
      </c>
      <c r="C17" s="25">
        <v>3</v>
      </c>
      <c r="D17" s="63" t="s">
        <v>83</v>
      </c>
      <c r="E17" s="32">
        <v>4.4615384615384608</v>
      </c>
      <c r="F17" s="77">
        <v>4.5</v>
      </c>
      <c r="G17" s="25">
        <v>3.9230769230769225</v>
      </c>
      <c r="H17" s="63" t="s">
        <v>83</v>
      </c>
      <c r="I17" s="20">
        <v>5</v>
      </c>
      <c r="J17" s="63" t="s">
        <v>83</v>
      </c>
      <c r="K17" s="20">
        <v>4.0602409638554207</v>
      </c>
      <c r="L17" s="20">
        <v>4.4482758620689653</v>
      </c>
      <c r="M17" s="20">
        <v>4.5384615384615401</v>
      </c>
      <c r="N17" s="20">
        <v>4.4270833333333295</v>
      </c>
      <c r="O17" s="25">
        <v>4.6470588235294121</v>
      </c>
      <c r="P17" s="96">
        <v>5</v>
      </c>
      <c r="Q17" s="77">
        <v>5</v>
      </c>
    </row>
    <row r="18" spans="1:17" s="2" customFormat="1" ht="23.95" customHeight="1">
      <c r="A18" s="8" t="s">
        <v>20</v>
      </c>
      <c r="B18" s="25">
        <v>3.875</v>
      </c>
      <c r="C18" s="25">
        <v>3</v>
      </c>
      <c r="D18" s="63" t="s">
        <v>83</v>
      </c>
      <c r="E18" s="32">
        <v>4.4230769230769234</v>
      </c>
      <c r="F18" s="77">
        <v>4.5</v>
      </c>
      <c r="G18" s="25">
        <v>3.9230769230769225</v>
      </c>
      <c r="H18" s="63" t="s">
        <v>83</v>
      </c>
      <c r="I18" s="20">
        <v>5</v>
      </c>
      <c r="J18" s="63" t="s">
        <v>83</v>
      </c>
      <c r="K18" s="20">
        <v>4.1325301204819267</v>
      </c>
      <c r="L18" s="20">
        <v>4.4137931034482758</v>
      </c>
      <c r="M18" s="20">
        <v>4.5230769230769248</v>
      </c>
      <c r="N18" s="20">
        <v>4.3854166666666643</v>
      </c>
      <c r="O18" s="25">
        <v>4.7058823529411766</v>
      </c>
      <c r="P18" s="96">
        <v>5</v>
      </c>
      <c r="Q18" s="77">
        <v>5</v>
      </c>
    </row>
    <row r="19" spans="1:17" s="2" customFormat="1" ht="23.95" customHeight="1">
      <c r="A19" s="8" t="s">
        <v>21</v>
      </c>
      <c r="B19" s="25">
        <v>3.875</v>
      </c>
      <c r="C19" s="25">
        <v>3</v>
      </c>
      <c r="D19" s="63" t="s">
        <v>83</v>
      </c>
      <c r="E19" s="32">
        <v>4.5</v>
      </c>
      <c r="F19" s="77">
        <v>4.6666666666666661</v>
      </c>
      <c r="G19" s="25">
        <v>3.9999999999999991</v>
      </c>
      <c r="H19" s="63" t="s">
        <v>83</v>
      </c>
      <c r="I19" s="20">
        <v>5</v>
      </c>
      <c r="J19" s="63" t="s">
        <v>83</v>
      </c>
      <c r="K19" s="20">
        <v>4.1445783132530138</v>
      </c>
      <c r="L19" s="20">
        <v>4.3448275862068968</v>
      </c>
      <c r="M19" s="20">
        <v>4.5230769230769239</v>
      </c>
      <c r="N19" s="20">
        <v>4.229166666666667</v>
      </c>
      <c r="O19" s="25">
        <v>4.7058823529411766</v>
      </c>
      <c r="P19" s="96">
        <v>5</v>
      </c>
      <c r="Q19" s="77">
        <v>5</v>
      </c>
    </row>
    <row r="20" spans="1:17" s="2" customFormat="1" ht="23.95" customHeight="1">
      <c r="A20" s="8" t="s">
        <v>22</v>
      </c>
      <c r="B20" s="25">
        <v>3.875</v>
      </c>
      <c r="C20" s="25">
        <v>2.6666666666666665</v>
      </c>
      <c r="D20" s="63" t="s">
        <v>83</v>
      </c>
      <c r="E20" s="32">
        <v>4.3461538461538458</v>
      </c>
      <c r="F20" s="77">
        <v>4.5</v>
      </c>
      <c r="G20" s="25">
        <v>3.9230769230769225</v>
      </c>
      <c r="H20" s="63" t="s">
        <v>83</v>
      </c>
      <c r="I20" s="20">
        <v>4.5999999999999996</v>
      </c>
      <c r="J20" s="63" t="s">
        <v>83</v>
      </c>
      <c r="K20" s="20">
        <v>4.1325301204819267</v>
      </c>
      <c r="L20" s="20">
        <v>4.4827586206896557</v>
      </c>
      <c r="M20" s="20">
        <v>4.5999999999999996</v>
      </c>
      <c r="N20" s="20">
        <v>4.3854166666666679</v>
      </c>
      <c r="O20" s="25">
        <v>4.5882352941176467</v>
      </c>
      <c r="P20" s="96">
        <v>5</v>
      </c>
      <c r="Q20" s="77">
        <v>5</v>
      </c>
    </row>
    <row r="21" spans="1:17" s="2" customFormat="1" ht="23.95" customHeight="1">
      <c r="A21" s="16" t="s">
        <v>23</v>
      </c>
      <c r="B21" s="25">
        <v>3.7656250000000009</v>
      </c>
      <c r="C21" s="25">
        <v>3.0208333333333335</v>
      </c>
      <c r="D21" s="63" t="s">
        <v>83</v>
      </c>
      <c r="E21" s="32">
        <v>4.3750000000000009</v>
      </c>
      <c r="F21" s="77">
        <v>4.395833333333333</v>
      </c>
      <c r="G21" s="25">
        <v>3.8076923076923079</v>
      </c>
      <c r="H21" s="63" t="s">
        <v>83</v>
      </c>
      <c r="I21" s="20">
        <v>4.625</v>
      </c>
      <c r="J21" s="63" t="s">
        <v>83</v>
      </c>
      <c r="K21" s="20">
        <v>4.0783132530120492</v>
      </c>
      <c r="L21" s="20">
        <v>4.3879310344827589</v>
      </c>
      <c r="M21" s="20">
        <v>4.5048076923076934</v>
      </c>
      <c r="N21" s="20">
        <v>4.3906249999999991</v>
      </c>
      <c r="O21" s="25">
        <v>4.625</v>
      </c>
      <c r="P21" s="96">
        <v>4.75</v>
      </c>
      <c r="Q21" s="77">
        <v>5</v>
      </c>
    </row>
    <row r="22" spans="1:17" s="2" customFormat="1" ht="24.8" customHeight="1">
      <c r="A22" s="9" t="s">
        <v>24</v>
      </c>
      <c r="B22" s="65">
        <f>B21*20</f>
        <v>75.312500000000014</v>
      </c>
      <c r="C22" s="65">
        <f t="shared" ref="C22" si="0">C21*20</f>
        <v>60.416666666666671</v>
      </c>
      <c r="D22" s="63" t="s">
        <v>83</v>
      </c>
      <c r="E22" s="65">
        <f>E21*20</f>
        <v>87.500000000000014</v>
      </c>
      <c r="F22" s="65">
        <f>F21*20</f>
        <v>87.916666666666657</v>
      </c>
      <c r="G22" s="65">
        <f>G21*20</f>
        <v>76.15384615384616</v>
      </c>
      <c r="H22" s="63" t="s">
        <v>83</v>
      </c>
      <c r="I22" s="65">
        <f t="shared" ref="I22:N22" si="1">I21*20</f>
        <v>92.5</v>
      </c>
      <c r="J22" s="63" t="s">
        <v>83</v>
      </c>
      <c r="K22" s="65">
        <f t="shared" si="1"/>
        <v>81.56626506024098</v>
      </c>
      <c r="L22" s="65">
        <f t="shared" si="1"/>
        <v>87.758620689655174</v>
      </c>
      <c r="M22" s="65">
        <f t="shared" si="1"/>
        <v>90.096153846153868</v>
      </c>
      <c r="N22" s="65">
        <f t="shared" si="1"/>
        <v>87.812499999999986</v>
      </c>
      <c r="O22" s="65">
        <f>O21*20</f>
        <v>92.5</v>
      </c>
      <c r="P22" s="65">
        <f>P21*20</f>
        <v>95</v>
      </c>
      <c r="Q22" s="65">
        <f>Q21*20</f>
        <v>100</v>
      </c>
    </row>
    <row r="23" spans="1:17">
      <c r="A23" s="17" t="s">
        <v>61</v>
      </c>
      <c r="B23" s="64">
        <v>75</v>
      </c>
      <c r="C23" s="80">
        <v>33.33</v>
      </c>
      <c r="D23" s="22" t="s">
        <v>84</v>
      </c>
      <c r="E23" s="64">
        <v>100</v>
      </c>
      <c r="F23" s="64">
        <v>100</v>
      </c>
      <c r="G23" s="64">
        <v>92.31</v>
      </c>
      <c r="H23" s="22" t="s">
        <v>84</v>
      </c>
      <c r="I23" s="64">
        <v>100</v>
      </c>
      <c r="J23" s="22" t="s">
        <v>84</v>
      </c>
      <c r="K23" s="64">
        <v>93.98</v>
      </c>
      <c r="L23" s="64">
        <v>100</v>
      </c>
      <c r="M23" s="64">
        <v>100</v>
      </c>
      <c r="N23" s="64">
        <v>99</v>
      </c>
      <c r="O23" s="79">
        <v>100</v>
      </c>
      <c r="P23" s="79">
        <v>100</v>
      </c>
      <c r="Q23" s="79">
        <v>100</v>
      </c>
    </row>
    <row r="25" spans="1:17" ht="23.95" customHeight="1"/>
    <row r="26" spans="1:17" ht="59.3" customHeight="1">
      <c r="A26" s="6" t="s">
        <v>0</v>
      </c>
      <c r="B26" s="1" t="s">
        <v>71</v>
      </c>
      <c r="C26" s="1" t="s">
        <v>7</v>
      </c>
      <c r="D26" s="1" t="s">
        <v>6</v>
      </c>
      <c r="E26" s="1" t="s">
        <v>8</v>
      </c>
      <c r="F26" s="1" t="s">
        <v>73</v>
      </c>
      <c r="G26" s="1" t="s">
        <v>79</v>
      </c>
      <c r="H26" s="1" t="s">
        <v>76</v>
      </c>
      <c r="I26" s="1" t="s">
        <v>25</v>
      </c>
      <c r="J26" s="1" t="s">
        <v>62</v>
      </c>
      <c r="K26" s="1" t="s">
        <v>88</v>
      </c>
      <c r="L26" s="1" t="s">
        <v>89</v>
      </c>
      <c r="M26" s="1" t="s">
        <v>67</v>
      </c>
      <c r="N26" s="1" t="s">
        <v>72</v>
      </c>
      <c r="O26" s="1" t="s">
        <v>1</v>
      </c>
      <c r="P26" s="1" t="s">
        <v>50</v>
      </c>
    </row>
    <row r="27" spans="1:17" s="28" customFormat="1" ht="23.95" customHeight="1">
      <c r="A27" s="9" t="s">
        <v>9</v>
      </c>
      <c r="B27" s="63" t="s">
        <v>83</v>
      </c>
      <c r="C27" s="63">
        <v>2</v>
      </c>
      <c r="D27" s="63">
        <v>38</v>
      </c>
      <c r="E27" s="26">
        <v>3</v>
      </c>
      <c r="F27" s="26">
        <v>4</v>
      </c>
      <c r="G27" s="27">
        <v>7</v>
      </c>
      <c r="H27" s="26">
        <v>36</v>
      </c>
      <c r="I27" s="63" t="s">
        <v>83</v>
      </c>
      <c r="J27" s="26">
        <v>20</v>
      </c>
      <c r="K27" s="63" t="s">
        <v>83</v>
      </c>
      <c r="L27" s="26">
        <v>4</v>
      </c>
      <c r="M27" s="26">
        <v>26</v>
      </c>
      <c r="N27" s="26">
        <v>23</v>
      </c>
      <c r="O27" s="26">
        <v>3</v>
      </c>
      <c r="P27" s="83">
        <v>29</v>
      </c>
    </row>
    <row r="28" spans="1:17" ht="23.95" customHeight="1">
      <c r="A28" s="8" t="s">
        <v>26</v>
      </c>
      <c r="B28" s="63" t="s">
        <v>83</v>
      </c>
      <c r="C28" s="77">
        <v>5</v>
      </c>
      <c r="D28" s="77">
        <v>4.1842105263157885</v>
      </c>
      <c r="E28" s="20">
        <v>4.666666666666667</v>
      </c>
      <c r="F28" s="20">
        <v>5</v>
      </c>
      <c r="G28" s="20">
        <v>4.1428571428571432</v>
      </c>
      <c r="H28" s="25">
        <v>4.5833333333333339</v>
      </c>
      <c r="I28" s="96" t="s">
        <v>83</v>
      </c>
      <c r="J28" s="20">
        <v>4.25</v>
      </c>
      <c r="K28" s="96" t="s">
        <v>83</v>
      </c>
      <c r="L28" s="77">
        <v>5</v>
      </c>
      <c r="M28" s="25">
        <v>4.615384615384615</v>
      </c>
      <c r="N28" s="20">
        <v>3.7391304347826084</v>
      </c>
      <c r="O28" s="25">
        <v>3</v>
      </c>
      <c r="P28" s="77">
        <v>4.5172413793103434</v>
      </c>
    </row>
    <row r="29" spans="1:17" ht="23.95" customHeight="1">
      <c r="A29" s="8" t="s">
        <v>59</v>
      </c>
      <c r="B29" s="63" t="s">
        <v>83</v>
      </c>
      <c r="C29" s="77">
        <v>5</v>
      </c>
      <c r="D29" s="77">
        <v>4.2631578947368425</v>
      </c>
      <c r="E29" s="20">
        <v>4.333333333333333</v>
      </c>
      <c r="F29" s="20">
        <v>5</v>
      </c>
      <c r="G29" s="20">
        <v>4.1428571428571432</v>
      </c>
      <c r="H29" s="25">
        <v>4.6388888888888884</v>
      </c>
      <c r="I29" s="96" t="s">
        <v>83</v>
      </c>
      <c r="J29" s="20">
        <v>4.0999999999999996</v>
      </c>
      <c r="K29" s="96" t="s">
        <v>83</v>
      </c>
      <c r="L29" s="77">
        <v>5</v>
      </c>
      <c r="M29" s="25">
        <v>4.5769230769230766</v>
      </c>
      <c r="N29" s="20">
        <v>3.6521739130434785</v>
      </c>
      <c r="O29" s="25">
        <v>3</v>
      </c>
      <c r="P29" s="77">
        <v>4.5862068965517242</v>
      </c>
    </row>
    <row r="30" spans="1:17" ht="23.95" customHeight="1">
      <c r="A30" s="8" t="s">
        <v>60</v>
      </c>
      <c r="B30" s="63" t="s">
        <v>83</v>
      </c>
      <c r="C30" s="77">
        <v>5</v>
      </c>
      <c r="D30" s="77">
        <v>4.2368421052631593</v>
      </c>
      <c r="E30" s="20">
        <v>4.666666666666667</v>
      </c>
      <c r="F30" s="20">
        <v>5</v>
      </c>
      <c r="G30" s="20">
        <v>3.9999999999999996</v>
      </c>
      <c r="H30" s="25">
        <v>4.6388888888888884</v>
      </c>
      <c r="I30" s="96" t="s">
        <v>83</v>
      </c>
      <c r="J30" s="20">
        <v>4.05</v>
      </c>
      <c r="K30" s="96" t="s">
        <v>83</v>
      </c>
      <c r="L30" s="77">
        <v>5</v>
      </c>
      <c r="M30" s="25">
        <v>4.5384615384615383</v>
      </c>
      <c r="N30" s="20">
        <v>3.7826086956521738</v>
      </c>
      <c r="O30" s="25">
        <v>3</v>
      </c>
      <c r="P30" s="77">
        <v>4.5172413793103434</v>
      </c>
    </row>
    <row r="31" spans="1:17" ht="23.95" customHeight="1">
      <c r="A31" s="8" t="s">
        <v>10</v>
      </c>
      <c r="B31" s="63" t="s">
        <v>83</v>
      </c>
      <c r="C31" s="77">
        <v>5</v>
      </c>
      <c r="D31" s="77">
        <v>4.1578947368421062</v>
      </c>
      <c r="E31" s="20">
        <v>4.666666666666667</v>
      </c>
      <c r="F31" s="20">
        <v>5</v>
      </c>
      <c r="G31" s="20">
        <v>4.1428571428571432</v>
      </c>
      <c r="H31" s="25">
        <v>4.6388888888888884</v>
      </c>
      <c r="I31" s="96" t="s">
        <v>83</v>
      </c>
      <c r="J31" s="20">
        <v>4.25</v>
      </c>
      <c r="K31" s="96" t="s">
        <v>83</v>
      </c>
      <c r="L31" s="77">
        <v>5</v>
      </c>
      <c r="M31" s="25">
        <v>4.5</v>
      </c>
      <c r="N31" s="20">
        <v>3.8260869565217392</v>
      </c>
      <c r="O31" s="25">
        <v>3</v>
      </c>
      <c r="P31" s="77">
        <v>4.6551724137931041</v>
      </c>
    </row>
    <row r="32" spans="1:17" ht="23.95" customHeight="1">
      <c r="A32" s="8" t="s">
        <v>11</v>
      </c>
      <c r="B32" s="63" t="s">
        <v>83</v>
      </c>
      <c r="C32" s="77">
        <v>5</v>
      </c>
      <c r="D32" s="77">
        <v>4.0263157894736841</v>
      </c>
      <c r="E32" s="20">
        <v>4.333333333333333</v>
      </c>
      <c r="F32" s="20">
        <v>4.75</v>
      </c>
      <c r="G32" s="20">
        <v>4.2857142857142856</v>
      </c>
      <c r="H32" s="25">
        <v>4.4166666666666652</v>
      </c>
      <c r="I32" s="96" t="s">
        <v>83</v>
      </c>
      <c r="J32" s="20">
        <v>4.1499999999999995</v>
      </c>
      <c r="K32" s="96" t="s">
        <v>83</v>
      </c>
      <c r="L32" s="77">
        <v>5</v>
      </c>
      <c r="M32" s="25">
        <v>4.4615384615384608</v>
      </c>
      <c r="N32" s="20">
        <v>3.8695652173913042</v>
      </c>
      <c r="O32" s="25">
        <v>3</v>
      </c>
      <c r="P32" s="77">
        <v>4.5172413793103443</v>
      </c>
    </row>
    <row r="33" spans="1:16" ht="23.95" customHeight="1">
      <c r="A33" s="8" t="s">
        <v>12</v>
      </c>
      <c r="B33" s="63" t="s">
        <v>83</v>
      </c>
      <c r="C33" s="77">
        <v>5</v>
      </c>
      <c r="D33" s="77">
        <v>4.0263157894736841</v>
      </c>
      <c r="E33" s="20">
        <v>4.333333333333333</v>
      </c>
      <c r="F33" s="20">
        <v>5</v>
      </c>
      <c r="G33" s="20">
        <v>4.1428571428571432</v>
      </c>
      <c r="H33" s="25">
        <v>4.5277777777777786</v>
      </c>
      <c r="I33" s="96" t="s">
        <v>83</v>
      </c>
      <c r="J33" s="20">
        <v>4.2</v>
      </c>
      <c r="K33" s="96" t="s">
        <v>83</v>
      </c>
      <c r="L33" s="77">
        <v>5</v>
      </c>
      <c r="M33" s="25">
        <v>4.5384615384615383</v>
      </c>
      <c r="N33" s="20">
        <v>3.7826086956521743</v>
      </c>
      <c r="O33" s="25">
        <v>2.6666666666666665</v>
      </c>
      <c r="P33" s="77">
        <v>4.6206896551724146</v>
      </c>
    </row>
    <row r="34" spans="1:16" ht="23.95" customHeight="1">
      <c r="A34" s="8" t="s">
        <v>13</v>
      </c>
      <c r="B34" s="63" t="s">
        <v>83</v>
      </c>
      <c r="C34" s="77">
        <v>5</v>
      </c>
      <c r="D34" s="77">
        <v>4.0526315789473673</v>
      </c>
      <c r="E34" s="20">
        <v>4.666666666666667</v>
      </c>
      <c r="F34" s="20">
        <v>5</v>
      </c>
      <c r="G34" s="20">
        <v>4.4285714285714288</v>
      </c>
      <c r="H34" s="25">
        <v>4.5277777777777786</v>
      </c>
      <c r="I34" s="96" t="s">
        <v>83</v>
      </c>
      <c r="J34" s="20">
        <v>4.4999999999999982</v>
      </c>
      <c r="K34" s="96" t="s">
        <v>83</v>
      </c>
      <c r="L34" s="77">
        <v>5</v>
      </c>
      <c r="M34" s="25">
        <v>4.5384615384615383</v>
      </c>
      <c r="N34" s="20">
        <v>3.6956521739130435</v>
      </c>
      <c r="O34" s="25">
        <v>2.3333333333333335</v>
      </c>
      <c r="P34" s="77">
        <v>4.6206896551724146</v>
      </c>
    </row>
    <row r="35" spans="1:16" ht="23.95" customHeight="1">
      <c r="A35" s="8" t="s">
        <v>14</v>
      </c>
      <c r="B35" s="63" t="s">
        <v>83</v>
      </c>
      <c r="C35" s="77">
        <v>4</v>
      </c>
      <c r="D35" s="77">
        <v>4.1578947368421053</v>
      </c>
      <c r="E35" s="20">
        <v>4.333333333333333</v>
      </c>
      <c r="F35" s="20">
        <v>4.75</v>
      </c>
      <c r="G35" s="20">
        <v>4.1428571428571432</v>
      </c>
      <c r="H35" s="25">
        <v>4.3055555555555562</v>
      </c>
      <c r="I35" s="96" t="s">
        <v>83</v>
      </c>
      <c r="J35" s="20">
        <v>4.05</v>
      </c>
      <c r="K35" s="96" t="s">
        <v>83</v>
      </c>
      <c r="L35" s="77">
        <v>5</v>
      </c>
      <c r="M35" s="25">
        <v>4.5</v>
      </c>
      <c r="N35" s="20">
        <v>3.7391304347826084</v>
      </c>
      <c r="O35" s="25">
        <v>2.3333333333333335</v>
      </c>
      <c r="P35" s="77">
        <v>4.6206896551724146</v>
      </c>
    </row>
    <row r="36" spans="1:16" ht="23.95" customHeight="1">
      <c r="A36" s="8" t="s">
        <v>15</v>
      </c>
      <c r="B36" s="63" t="s">
        <v>83</v>
      </c>
      <c r="C36" s="77">
        <v>4</v>
      </c>
      <c r="D36" s="77">
        <v>4.1842105263157894</v>
      </c>
      <c r="E36" s="20">
        <v>4.333333333333333</v>
      </c>
      <c r="F36" s="20">
        <v>5</v>
      </c>
      <c r="G36" s="20">
        <v>4.1428571428571432</v>
      </c>
      <c r="H36" s="25">
        <v>4.3333333333333348</v>
      </c>
      <c r="I36" s="96" t="s">
        <v>83</v>
      </c>
      <c r="J36" s="20">
        <v>4.2</v>
      </c>
      <c r="K36" s="96" t="s">
        <v>83</v>
      </c>
      <c r="L36" s="77">
        <v>5</v>
      </c>
      <c r="M36" s="25">
        <v>4.6538461538461533</v>
      </c>
      <c r="N36" s="20">
        <v>3.7826086956521743</v>
      </c>
      <c r="O36" s="25">
        <v>2.3333333333333335</v>
      </c>
      <c r="P36" s="77">
        <v>4.5862068965517242</v>
      </c>
    </row>
    <row r="37" spans="1:16" ht="23.95" customHeight="1">
      <c r="A37" s="8" t="s">
        <v>16</v>
      </c>
      <c r="B37" s="63" t="s">
        <v>83</v>
      </c>
      <c r="C37" s="77">
        <v>4</v>
      </c>
      <c r="D37" s="77">
        <v>4.1842105263157885</v>
      </c>
      <c r="E37" s="20">
        <v>4.333333333333333</v>
      </c>
      <c r="F37" s="20">
        <v>5</v>
      </c>
      <c r="G37" s="20">
        <v>4.1428571428571432</v>
      </c>
      <c r="H37" s="25">
        <v>4.3888888888888893</v>
      </c>
      <c r="I37" s="96" t="s">
        <v>83</v>
      </c>
      <c r="J37" s="20">
        <v>3.9499999999999997</v>
      </c>
      <c r="K37" s="96" t="s">
        <v>83</v>
      </c>
      <c r="L37" s="77">
        <v>5</v>
      </c>
      <c r="M37" s="25">
        <v>4.4615384615384617</v>
      </c>
      <c r="N37" s="20">
        <v>3.7826086956521743</v>
      </c>
      <c r="O37" s="25">
        <v>2.3333333333333335</v>
      </c>
      <c r="P37" s="77">
        <v>4.5862068965517242</v>
      </c>
    </row>
    <row r="38" spans="1:16" ht="23.95" customHeight="1">
      <c r="A38" s="8" t="s">
        <v>17</v>
      </c>
      <c r="B38" s="63" t="s">
        <v>83</v>
      </c>
      <c r="C38" s="77">
        <v>4</v>
      </c>
      <c r="D38" s="77">
        <v>4.1315789473684204</v>
      </c>
      <c r="E38" s="20">
        <v>4.333333333333333</v>
      </c>
      <c r="F38" s="20">
        <v>5</v>
      </c>
      <c r="G38" s="20">
        <v>4.2857142857142856</v>
      </c>
      <c r="H38" s="25">
        <v>4.3611111111111116</v>
      </c>
      <c r="I38" s="96" t="s">
        <v>83</v>
      </c>
      <c r="J38" s="20">
        <v>4.3000000000000007</v>
      </c>
      <c r="K38" s="96" t="s">
        <v>83</v>
      </c>
      <c r="L38" s="77">
        <v>5</v>
      </c>
      <c r="M38" s="25">
        <v>4.3846153846153832</v>
      </c>
      <c r="N38" s="20">
        <v>3.6521739130434785</v>
      </c>
      <c r="O38" s="25">
        <v>2.3333333333333335</v>
      </c>
      <c r="P38" s="77">
        <v>4.5517241379310338</v>
      </c>
    </row>
    <row r="39" spans="1:16" ht="23.95" customHeight="1">
      <c r="A39" s="8" t="s">
        <v>18</v>
      </c>
      <c r="B39" s="63" t="s">
        <v>83</v>
      </c>
      <c r="C39" s="77">
        <v>4.5</v>
      </c>
      <c r="D39" s="77">
        <v>4.2105263157894735</v>
      </c>
      <c r="E39" s="20">
        <v>4.333333333333333</v>
      </c>
      <c r="F39" s="20">
        <v>5</v>
      </c>
      <c r="G39" s="20">
        <v>4.2857142857142856</v>
      </c>
      <c r="H39" s="25">
        <v>4.666666666666667</v>
      </c>
      <c r="I39" s="96" t="s">
        <v>83</v>
      </c>
      <c r="J39" s="20">
        <v>4.05</v>
      </c>
      <c r="K39" s="96" t="s">
        <v>83</v>
      </c>
      <c r="L39" s="77">
        <v>5</v>
      </c>
      <c r="M39" s="25">
        <v>4.4230769230769225</v>
      </c>
      <c r="N39" s="20">
        <v>3.8260869565217392</v>
      </c>
      <c r="O39" s="25">
        <v>2.3333333333333335</v>
      </c>
      <c r="P39" s="77">
        <v>4.4827586206896557</v>
      </c>
    </row>
    <row r="40" spans="1:16" ht="23.95" customHeight="1">
      <c r="A40" s="8" t="s">
        <v>19</v>
      </c>
      <c r="B40" s="63" t="s">
        <v>83</v>
      </c>
      <c r="C40" s="77">
        <v>4.5</v>
      </c>
      <c r="D40" s="77">
        <v>4.3157894736842088</v>
      </c>
      <c r="E40" s="20">
        <v>4.333333333333333</v>
      </c>
      <c r="F40" s="20">
        <v>4.75</v>
      </c>
      <c r="G40" s="20">
        <v>4.1428571428571432</v>
      </c>
      <c r="H40" s="25">
        <v>4.3888888888888893</v>
      </c>
      <c r="I40" s="96" t="s">
        <v>83</v>
      </c>
      <c r="J40" s="20">
        <v>4.2</v>
      </c>
      <c r="K40" s="96" t="s">
        <v>83</v>
      </c>
      <c r="L40" s="77">
        <v>5</v>
      </c>
      <c r="M40" s="25">
        <v>4.5384615384615383</v>
      </c>
      <c r="N40" s="20">
        <v>3.9130434782608692</v>
      </c>
      <c r="O40" s="25">
        <v>2.6666666666666665</v>
      </c>
      <c r="P40" s="77">
        <v>4.5172413793103443</v>
      </c>
    </row>
    <row r="41" spans="1:16" ht="23.95" customHeight="1">
      <c r="A41" s="8" t="s">
        <v>20</v>
      </c>
      <c r="B41" s="63" t="s">
        <v>83</v>
      </c>
      <c r="C41" s="77">
        <v>4.5</v>
      </c>
      <c r="D41" s="77">
        <v>4.2368421052631566</v>
      </c>
      <c r="E41" s="20">
        <v>4.333333333333333</v>
      </c>
      <c r="F41" s="20">
        <v>4.75</v>
      </c>
      <c r="G41" s="20">
        <v>4.1428571428571432</v>
      </c>
      <c r="H41" s="25">
        <v>4.5833333333333339</v>
      </c>
      <c r="I41" s="96" t="s">
        <v>83</v>
      </c>
      <c r="J41" s="20">
        <v>4.1500000000000004</v>
      </c>
      <c r="K41" s="96" t="s">
        <v>83</v>
      </c>
      <c r="L41" s="77">
        <v>5</v>
      </c>
      <c r="M41" s="25">
        <v>4.3076923076923084</v>
      </c>
      <c r="N41" s="20">
        <v>3.6956521739130439</v>
      </c>
      <c r="O41" s="25">
        <v>3</v>
      </c>
      <c r="P41" s="77">
        <v>4.6551724137931041</v>
      </c>
    </row>
    <row r="42" spans="1:16" ht="23.95" customHeight="1">
      <c r="A42" s="8" t="s">
        <v>21</v>
      </c>
      <c r="B42" s="63" t="s">
        <v>83</v>
      </c>
      <c r="C42" s="77">
        <v>4.5</v>
      </c>
      <c r="D42" s="77">
        <v>4.2368421052631566</v>
      </c>
      <c r="E42" s="20">
        <v>4.666666666666667</v>
      </c>
      <c r="F42" s="20">
        <v>5</v>
      </c>
      <c r="G42" s="20">
        <v>4.1428571428571432</v>
      </c>
      <c r="H42" s="25">
        <v>4.666666666666667</v>
      </c>
      <c r="I42" s="96" t="s">
        <v>83</v>
      </c>
      <c r="J42" s="20">
        <v>4.45</v>
      </c>
      <c r="K42" s="96" t="s">
        <v>83</v>
      </c>
      <c r="L42" s="77">
        <v>5</v>
      </c>
      <c r="M42" s="25">
        <v>4.4615384615384608</v>
      </c>
      <c r="N42" s="20">
        <v>3.8695652173913042</v>
      </c>
      <c r="O42" s="25">
        <v>3</v>
      </c>
      <c r="P42" s="77">
        <v>4.5517241379310338</v>
      </c>
    </row>
    <row r="43" spans="1:16" ht="23.95" customHeight="1">
      <c r="A43" s="8" t="s">
        <v>22</v>
      </c>
      <c r="B43" s="63" t="s">
        <v>83</v>
      </c>
      <c r="C43" s="77">
        <v>5</v>
      </c>
      <c r="D43" s="77">
        <v>4.1842105263157885</v>
      </c>
      <c r="E43" s="20">
        <v>4.666666666666667</v>
      </c>
      <c r="F43" s="20">
        <v>5</v>
      </c>
      <c r="G43" s="20">
        <v>4.4285714285714288</v>
      </c>
      <c r="H43" s="25">
        <v>4.6111111111111116</v>
      </c>
      <c r="I43" s="96" t="s">
        <v>83</v>
      </c>
      <c r="J43" s="20">
        <v>4.4000000000000004</v>
      </c>
      <c r="K43" s="96" t="s">
        <v>83</v>
      </c>
      <c r="L43" s="77">
        <v>5</v>
      </c>
      <c r="M43" s="25">
        <v>4.4230769230769225</v>
      </c>
      <c r="N43" s="20">
        <v>3.8260869565217388</v>
      </c>
      <c r="O43" s="25">
        <v>1.6666666666666667</v>
      </c>
      <c r="P43" s="77">
        <v>4.6206896551724137</v>
      </c>
    </row>
    <row r="44" spans="1:16" ht="23.95" customHeight="1">
      <c r="A44" s="9" t="s">
        <v>23</v>
      </c>
      <c r="B44" s="63" t="s">
        <v>83</v>
      </c>
      <c r="C44" s="77">
        <v>4.625</v>
      </c>
      <c r="D44" s="77">
        <v>4.1743421052631566</v>
      </c>
      <c r="E44" s="20">
        <v>4.458333333333333</v>
      </c>
      <c r="F44" s="20">
        <v>4.9375</v>
      </c>
      <c r="G44" s="20">
        <v>4.1964285714285712</v>
      </c>
      <c r="H44" s="25">
        <v>4.5173611111111107</v>
      </c>
      <c r="I44" s="96" t="s">
        <v>83</v>
      </c>
      <c r="J44" s="20">
        <v>4.203125</v>
      </c>
      <c r="K44" s="96" t="s">
        <v>83</v>
      </c>
      <c r="L44" s="77">
        <v>5</v>
      </c>
      <c r="M44" s="25">
        <v>4.4951923076923075</v>
      </c>
      <c r="N44" s="20">
        <v>3.7771739130434785</v>
      </c>
      <c r="O44" s="25">
        <v>2.625</v>
      </c>
      <c r="P44" s="77">
        <v>4.5754310344827598</v>
      </c>
    </row>
    <row r="45" spans="1:16">
      <c r="A45" s="9" t="s">
        <v>24</v>
      </c>
      <c r="B45" s="63" t="s">
        <v>83</v>
      </c>
      <c r="C45" s="90">
        <f t="shared" ref="C45:O45" si="2">C44*20</f>
        <v>92.5</v>
      </c>
      <c r="D45" s="65">
        <f t="shared" si="2"/>
        <v>83.486842105263136</v>
      </c>
      <c r="E45" s="65">
        <f t="shared" si="2"/>
        <v>89.166666666666657</v>
      </c>
      <c r="F45" s="65">
        <f t="shared" ref="F45" si="3">F44*20</f>
        <v>98.75</v>
      </c>
      <c r="G45" s="97">
        <f t="shared" si="2"/>
        <v>83.928571428571416</v>
      </c>
      <c r="H45" s="97">
        <f>H44*20</f>
        <v>90.347222222222214</v>
      </c>
      <c r="I45" s="96" t="s">
        <v>83</v>
      </c>
      <c r="J45" s="97">
        <f t="shared" si="2"/>
        <v>84.0625</v>
      </c>
      <c r="K45" s="96" t="s">
        <v>83</v>
      </c>
      <c r="L45" s="97">
        <f>L44*20</f>
        <v>100</v>
      </c>
      <c r="M45" s="97">
        <f t="shared" si="2"/>
        <v>89.903846153846146</v>
      </c>
      <c r="N45" s="97">
        <f t="shared" si="2"/>
        <v>75.543478260869563</v>
      </c>
      <c r="O45" s="97">
        <f t="shared" si="2"/>
        <v>52.5</v>
      </c>
      <c r="P45" s="97">
        <f>P44*20</f>
        <v>91.508620689655203</v>
      </c>
    </row>
    <row r="46" spans="1:16">
      <c r="A46" s="78" t="s">
        <v>61</v>
      </c>
      <c r="B46" s="81" t="s">
        <v>84</v>
      </c>
      <c r="C46" s="81">
        <v>100</v>
      </c>
      <c r="D46" s="80">
        <v>97.37</v>
      </c>
      <c r="E46" s="79">
        <v>100</v>
      </c>
      <c r="F46" s="79">
        <v>100</v>
      </c>
      <c r="G46" s="79">
        <v>100</v>
      </c>
      <c r="H46" s="79">
        <v>100</v>
      </c>
      <c r="I46" s="81" t="s">
        <v>84</v>
      </c>
      <c r="J46" s="79">
        <v>100</v>
      </c>
      <c r="K46" s="81" t="s">
        <v>84</v>
      </c>
      <c r="L46" s="79">
        <v>100</v>
      </c>
      <c r="M46" s="79">
        <v>84.62</v>
      </c>
      <c r="N46" s="79">
        <v>95.65</v>
      </c>
      <c r="O46" s="80">
        <v>33.33</v>
      </c>
      <c r="P46" s="23">
        <v>93.1</v>
      </c>
    </row>
    <row r="48" spans="1:16" ht="23.95" customHeight="1"/>
    <row r="49" spans="1:14" s="15" customFormat="1" ht="23.95" customHeight="1">
      <c r="A49" s="6" t="s">
        <v>0</v>
      </c>
      <c r="B49" s="5" t="s">
        <v>63</v>
      </c>
      <c r="C49" s="5" t="s">
        <v>27</v>
      </c>
      <c r="D49" s="5" t="s">
        <v>65</v>
      </c>
      <c r="E49" s="5" t="s">
        <v>29</v>
      </c>
      <c r="F49" s="18" t="s">
        <v>69</v>
      </c>
      <c r="G49" s="5" t="s">
        <v>30</v>
      </c>
      <c r="H49" s="5" t="s">
        <v>31</v>
      </c>
      <c r="I49" s="5" t="s">
        <v>32</v>
      </c>
      <c r="J49" s="5" t="s">
        <v>33</v>
      </c>
      <c r="K49" s="5" t="s">
        <v>34</v>
      </c>
      <c r="L49" s="5" t="s">
        <v>64</v>
      </c>
      <c r="M49" s="5" t="s">
        <v>35</v>
      </c>
      <c r="N49" s="5" t="s">
        <v>36</v>
      </c>
    </row>
    <row r="50" spans="1:14" s="28" customFormat="1" ht="23.95" customHeight="1">
      <c r="A50" s="9" t="s">
        <v>9</v>
      </c>
      <c r="B50" s="26">
        <v>28</v>
      </c>
      <c r="C50" s="33">
        <v>50</v>
      </c>
      <c r="D50" s="26">
        <v>24</v>
      </c>
      <c r="E50" s="26">
        <v>20</v>
      </c>
      <c r="F50" s="63" t="s">
        <v>83</v>
      </c>
      <c r="G50" s="26">
        <v>100</v>
      </c>
      <c r="H50" s="26">
        <v>69</v>
      </c>
      <c r="I50" s="63" t="s">
        <v>83</v>
      </c>
      <c r="J50" s="29">
        <v>52</v>
      </c>
      <c r="K50" s="30">
        <v>43</v>
      </c>
      <c r="L50" s="26">
        <v>49</v>
      </c>
      <c r="M50" s="26">
        <v>50</v>
      </c>
      <c r="N50" s="26">
        <v>89</v>
      </c>
    </row>
    <row r="51" spans="1:14" ht="23.95" customHeight="1">
      <c r="A51" s="8" t="s">
        <v>26</v>
      </c>
      <c r="B51" s="21">
        <v>4.5714285714285712</v>
      </c>
      <c r="C51" s="34">
        <v>4.3199999999999994</v>
      </c>
      <c r="D51" s="21">
        <v>4.5833333333333339</v>
      </c>
      <c r="E51" s="21">
        <v>4.6499999999999995</v>
      </c>
      <c r="F51" s="63" t="s">
        <v>83</v>
      </c>
      <c r="G51" s="21">
        <v>4.339999999999999</v>
      </c>
      <c r="H51" s="21">
        <v>4.6666666666666679</v>
      </c>
      <c r="I51" s="63" t="s">
        <v>83</v>
      </c>
      <c r="J51" s="21">
        <v>4.4615384615384599</v>
      </c>
      <c r="K51" s="21">
        <v>4.4418604651162781</v>
      </c>
      <c r="L51" s="21">
        <v>4.5102040816326525</v>
      </c>
      <c r="M51" s="21">
        <v>4.26</v>
      </c>
      <c r="N51" s="24">
        <v>4.6516853932584272</v>
      </c>
    </row>
    <row r="52" spans="1:14" ht="23.95" customHeight="1">
      <c r="A52" s="8" t="s">
        <v>59</v>
      </c>
      <c r="B52" s="21">
        <v>4.5357142857142856</v>
      </c>
      <c r="C52" s="34">
        <v>4.4599999999999982</v>
      </c>
      <c r="D52" s="21">
        <v>4.5000000000000009</v>
      </c>
      <c r="E52" s="21">
        <v>4.5</v>
      </c>
      <c r="F52" s="63" t="s">
        <v>83</v>
      </c>
      <c r="G52" s="21">
        <v>4.4199999999999982</v>
      </c>
      <c r="H52" s="21">
        <v>4.6521739130434803</v>
      </c>
      <c r="I52" s="63" t="s">
        <v>83</v>
      </c>
      <c r="J52" s="21">
        <v>4.4807692307692308</v>
      </c>
      <c r="K52" s="21">
        <v>4.5116279069767442</v>
      </c>
      <c r="L52" s="21">
        <v>4.3877551020408161</v>
      </c>
      <c r="M52" s="21">
        <v>4.299999999999998</v>
      </c>
      <c r="N52" s="24">
        <v>4.6853932584269664</v>
      </c>
    </row>
    <row r="53" spans="1:14" ht="23.95" customHeight="1">
      <c r="A53" s="8" t="s">
        <v>60</v>
      </c>
      <c r="B53" s="21">
        <v>4.4285714285714279</v>
      </c>
      <c r="C53" s="34">
        <v>4.4999999999999991</v>
      </c>
      <c r="D53" s="21">
        <v>4.541666666666667</v>
      </c>
      <c r="E53" s="21">
        <v>4.5500000000000007</v>
      </c>
      <c r="F53" s="63" t="s">
        <v>83</v>
      </c>
      <c r="G53" s="21">
        <v>4.3899999999999988</v>
      </c>
      <c r="H53" s="21">
        <v>4.5942028985507246</v>
      </c>
      <c r="I53" s="63" t="s">
        <v>83</v>
      </c>
      <c r="J53" s="21">
        <v>4.4423076923076916</v>
      </c>
      <c r="K53" s="21">
        <v>4.5348837209302335</v>
      </c>
      <c r="L53" s="21">
        <v>4.4693877551020407</v>
      </c>
      <c r="M53" s="21">
        <v>4.2799999999999994</v>
      </c>
      <c r="N53" s="24">
        <v>4.6516853932584281</v>
      </c>
    </row>
    <row r="54" spans="1:14" ht="23.95" customHeight="1">
      <c r="A54" s="8" t="s">
        <v>10</v>
      </c>
      <c r="B54" s="21">
        <v>4.5357142857142838</v>
      </c>
      <c r="C54" s="34">
        <v>4.5599999999999987</v>
      </c>
      <c r="D54" s="21">
        <v>4.5000000000000009</v>
      </c>
      <c r="E54" s="21">
        <v>4.55</v>
      </c>
      <c r="F54" s="63" t="s">
        <v>83</v>
      </c>
      <c r="G54" s="21">
        <v>4.4400000000000013</v>
      </c>
      <c r="H54" s="21">
        <v>4.6086956521739131</v>
      </c>
      <c r="I54" s="63" t="s">
        <v>83</v>
      </c>
      <c r="J54" s="21">
        <v>4.5000000000000009</v>
      </c>
      <c r="K54" s="21">
        <v>4.6046511627906979</v>
      </c>
      <c r="L54" s="21">
        <v>4.3673469387755111</v>
      </c>
      <c r="M54" s="21">
        <v>4.299999999999998</v>
      </c>
      <c r="N54" s="24">
        <v>4.6629213483146108</v>
      </c>
    </row>
    <row r="55" spans="1:14" ht="23.95" customHeight="1">
      <c r="A55" s="8" t="s">
        <v>11</v>
      </c>
      <c r="B55" s="21">
        <v>4.6071428571428585</v>
      </c>
      <c r="C55" s="34">
        <v>4.4799999999999986</v>
      </c>
      <c r="D55" s="21">
        <v>4.583333333333333</v>
      </c>
      <c r="E55" s="21">
        <v>4.6500000000000012</v>
      </c>
      <c r="F55" s="63" t="s">
        <v>83</v>
      </c>
      <c r="G55" s="21">
        <v>4.370000000000001</v>
      </c>
      <c r="H55" s="21">
        <v>4.5942028985507246</v>
      </c>
      <c r="I55" s="63" t="s">
        <v>83</v>
      </c>
      <c r="J55" s="21">
        <v>4.3269230769230784</v>
      </c>
      <c r="K55" s="21">
        <v>4.5581395348837219</v>
      </c>
      <c r="L55" s="21">
        <v>4.3673469387755102</v>
      </c>
      <c r="M55" s="21">
        <v>4.379999999999999</v>
      </c>
      <c r="N55" s="24">
        <v>4.5955056179775271</v>
      </c>
    </row>
    <row r="56" spans="1:14" ht="23.95" customHeight="1">
      <c r="A56" s="8" t="s">
        <v>12</v>
      </c>
      <c r="B56" s="21">
        <v>4.5</v>
      </c>
      <c r="C56" s="34">
        <v>4.5</v>
      </c>
      <c r="D56" s="21">
        <v>4.5416666666666661</v>
      </c>
      <c r="E56" s="21">
        <v>4.45</v>
      </c>
      <c r="F56" s="63" t="s">
        <v>83</v>
      </c>
      <c r="G56" s="21">
        <v>4.4400000000000004</v>
      </c>
      <c r="H56" s="21">
        <v>4.5652173913043477</v>
      </c>
      <c r="I56" s="63" t="s">
        <v>83</v>
      </c>
      <c r="J56" s="21">
        <v>4.4038461538461551</v>
      </c>
      <c r="K56" s="21">
        <v>4.5348837209302326</v>
      </c>
      <c r="L56" s="21">
        <v>4.3877551020408143</v>
      </c>
      <c r="M56" s="21">
        <v>4.32</v>
      </c>
      <c r="N56" s="24">
        <v>4.6067415730337089</v>
      </c>
    </row>
    <row r="57" spans="1:14" ht="23.95" customHeight="1">
      <c r="A57" s="8" t="s">
        <v>13</v>
      </c>
      <c r="B57" s="21">
        <v>4.5</v>
      </c>
      <c r="C57" s="34">
        <v>4.4799999999999995</v>
      </c>
      <c r="D57" s="21">
        <v>4.5</v>
      </c>
      <c r="E57" s="21">
        <v>4.7</v>
      </c>
      <c r="F57" s="63" t="s">
        <v>83</v>
      </c>
      <c r="G57" s="21">
        <v>4.4200000000000035</v>
      </c>
      <c r="H57" s="21">
        <v>4.6376811594202891</v>
      </c>
      <c r="I57" s="63" t="s">
        <v>83</v>
      </c>
      <c r="J57" s="21">
        <v>4.4615384615384617</v>
      </c>
      <c r="K57" s="21">
        <v>4.6511627906976756</v>
      </c>
      <c r="L57" s="21">
        <v>4.3877551020408143</v>
      </c>
      <c r="M57" s="21">
        <v>4.339999999999999</v>
      </c>
      <c r="N57" s="24">
        <v>4.5730337078651706</v>
      </c>
    </row>
    <row r="58" spans="1:14" ht="23.95" customHeight="1">
      <c r="A58" s="8" t="s">
        <v>14</v>
      </c>
      <c r="B58" s="21">
        <v>4.678571428571427</v>
      </c>
      <c r="C58" s="34">
        <v>4.339999999999999</v>
      </c>
      <c r="D58" s="21">
        <v>4.4166666666666679</v>
      </c>
      <c r="E58" s="21">
        <v>4.6000000000000005</v>
      </c>
      <c r="F58" s="63" t="s">
        <v>83</v>
      </c>
      <c r="G58" s="21">
        <v>4.3799999999999981</v>
      </c>
      <c r="H58" s="21">
        <v>4.5652173913043486</v>
      </c>
      <c r="I58" s="63" t="s">
        <v>83</v>
      </c>
      <c r="J58" s="21">
        <v>4.4038461538461542</v>
      </c>
      <c r="K58" s="21">
        <v>4.5348837209302335</v>
      </c>
      <c r="L58" s="21">
        <v>4.2653061224489788</v>
      </c>
      <c r="M58" s="21">
        <v>4.3199999999999994</v>
      </c>
      <c r="N58" s="24">
        <v>4.5730337078651688</v>
      </c>
    </row>
    <row r="59" spans="1:14" ht="23.95" customHeight="1">
      <c r="A59" s="8" t="s">
        <v>15</v>
      </c>
      <c r="B59" s="21">
        <v>4.5357142857142856</v>
      </c>
      <c r="C59" s="34">
        <v>4.5</v>
      </c>
      <c r="D59" s="21">
        <v>4.541666666666667</v>
      </c>
      <c r="E59" s="21">
        <v>4.55</v>
      </c>
      <c r="F59" s="63" t="s">
        <v>83</v>
      </c>
      <c r="G59" s="21">
        <v>4.4799999999999995</v>
      </c>
      <c r="H59" s="21">
        <v>4.6231884057971007</v>
      </c>
      <c r="I59" s="63" t="s">
        <v>83</v>
      </c>
      <c r="J59" s="21">
        <v>4.4615384615384608</v>
      </c>
      <c r="K59" s="21">
        <v>4.6046511627906961</v>
      </c>
      <c r="L59" s="21">
        <v>4.4897959183673457</v>
      </c>
      <c r="M59" s="21">
        <v>4.3599999999999994</v>
      </c>
      <c r="N59" s="24">
        <v>4.6629213483146064</v>
      </c>
    </row>
    <row r="60" spans="1:14" ht="23.95" customHeight="1">
      <c r="A60" s="8" t="s">
        <v>16</v>
      </c>
      <c r="B60" s="21">
        <v>4.3928571428571432</v>
      </c>
      <c r="C60" s="34">
        <v>4.4200000000000008</v>
      </c>
      <c r="D60" s="21">
        <v>4.5833333333333339</v>
      </c>
      <c r="E60" s="21">
        <v>4.55</v>
      </c>
      <c r="F60" s="63" t="s">
        <v>83</v>
      </c>
      <c r="G60" s="21">
        <v>4.4699999999999971</v>
      </c>
      <c r="H60" s="21">
        <v>4.5652173913043512</v>
      </c>
      <c r="I60" s="63" t="s">
        <v>83</v>
      </c>
      <c r="J60" s="21">
        <v>4.4038461538461542</v>
      </c>
      <c r="K60" s="21">
        <v>4.5348837209302326</v>
      </c>
      <c r="L60" s="21">
        <v>4.4285714285714288</v>
      </c>
      <c r="M60" s="21">
        <v>4.379999999999999</v>
      </c>
      <c r="N60" s="24">
        <v>4.6404494382022481</v>
      </c>
    </row>
    <row r="61" spans="1:14" ht="23.95" customHeight="1">
      <c r="A61" s="8" t="s">
        <v>17</v>
      </c>
      <c r="B61" s="21">
        <v>4.5714285714285703</v>
      </c>
      <c r="C61" s="34">
        <v>4.419999999999999</v>
      </c>
      <c r="D61" s="21">
        <v>4.4583333333333339</v>
      </c>
      <c r="E61" s="21">
        <v>4.8</v>
      </c>
      <c r="F61" s="63" t="s">
        <v>83</v>
      </c>
      <c r="G61" s="21">
        <v>4.3699999999999974</v>
      </c>
      <c r="H61" s="21">
        <v>4.5797101449275353</v>
      </c>
      <c r="I61" s="63" t="s">
        <v>83</v>
      </c>
      <c r="J61" s="21">
        <v>4.4038461538461533</v>
      </c>
      <c r="K61" s="21">
        <v>4.6046511627906979</v>
      </c>
      <c r="L61" s="21">
        <v>4.4285714285714279</v>
      </c>
      <c r="M61" s="21">
        <v>4.32</v>
      </c>
      <c r="N61" s="24">
        <v>4.6966292134831482</v>
      </c>
    </row>
    <row r="62" spans="1:14" ht="23.95" customHeight="1">
      <c r="A62" s="8" t="s">
        <v>18</v>
      </c>
      <c r="B62" s="21">
        <v>4.6071428571428585</v>
      </c>
      <c r="C62" s="34">
        <v>4.379999999999999</v>
      </c>
      <c r="D62" s="21">
        <v>4.4583333333333339</v>
      </c>
      <c r="E62" s="21">
        <v>4.7500000000000009</v>
      </c>
      <c r="F62" s="63" t="s">
        <v>83</v>
      </c>
      <c r="G62" s="21">
        <v>4.4399999999999995</v>
      </c>
      <c r="H62" s="21">
        <v>4.5942028985507255</v>
      </c>
      <c r="I62" s="63" t="s">
        <v>83</v>
      </c>
      <c r="J62" s="21">
        <v>4.3846153846153841</v>
      </c>
      <c r="K62" s="21">
        <v>4.5348837209302335</v>
      </c>
      <c r="L62" s="21">
        <v>4.3877551020408161</v>
      </c>
      <c r="M62" s="21">
        <v>4.3800000000000008</v>
      </c>
      <c r="N62" s="24">
        <v>4.617977528089888</v>
      </c>
    </row>
    <row r="63" spans="1:14" ht="23.95" customHeight="1">
      <c r="A63" s="8" t="s">
        <v>19</v>
      </c>
      <c r="B63" s="21">
        <v>4.4642857142857144</v>
      </c>
      <c r="C63" s="34">
        <v>4.419999999999999</v>
      </c>
      <c r="D63" s="21">
        <v>4.4166666666666679</v>
      </c>
      <c r="E63" s="21">
        <v>4.6500000000000004</v>
      </c>
      <c r="F63" s="63" t="s">
        <v>83</v>
      </c>
      <c r="G63" s="21">
        <v>4.4300000000000006</v>
      </c>
      <c r="H63" s="21">
        <v>4.5942028985507237</v>
      </c>
      <c r="I63" s="63" t="s">
        <v>83</v>
      </c>
      <c r="J63" s="21">
        <v>4.4038461538461551</v>
      </c>
      <c r="K63" s="21">
        <v>4.5813953488372094</v>
      </c>
      <c r="L63" s="21">
        <v>4.3265306122448983</v>
      </c>
      <c r="M63" s="21">
        <v>4.3400000000000007</v>
      </c>
      <c r="N63" s="24">
        <v>4.6516853932584263</v>
      </c>
    </row>
    <row r="64" spans="1:14" ht="23.95" customHeight="1">
      <c r="A64" s="8" t="s">
        <v>20</v>
      </c>
      <c r="B64" s="21">
        <v>4.4285714285714279</v>
      </c>
      <c r="C64" s="34">
        <v>4.339999999999999</v>
      </c>
      <c r="D64" s="21">
        <v>4.4583333333333339</v>
      </c>
      <c r="E64" s="21">
        <v>4.5999999999999996</v>
      </c>
      <c r="F64" s="63" t="s">
        <v>83</v>
      </c>
      <c r="G64" s="21">
        <v>4.469999999999998</v>
      </c>
      <c r="H64" s="21">
        <v>4.579710144927537</v>
      </c>
      <c r="I64" s="63" t="s">
        <v>83</v>
      </c>
      <c r="J64" s="21">
        <v>4.4230769230769234</v>
      </c>
      <c r="K64" s="21">
        <v>4.5813953488372094</v>
      </c>
      <c r="L64" s="21">
        <v>4.408163265306122</v>
      </c>
      <c r="M64" s="21">
        <v>4.2799999999999985</v>
      </c>
      <c r="N64" s="24">
        <v>4.7191011235955056</v>
      </c>
    </row>
    <row r="65" spans="1:16" ht="23.95" customHeight="1">
      <c r="A65" s="8" t="s">
        <v>21</v>
      </c>
      <c r="B65" s="21">
        <v>4.5</v>
      </c>
      <c r="C65" s="34">
        <v>4.38</v>
      </c>
      <c r="D65" s="21">
        <v>4.5</v>
      </c>
      <c r="E65" s="21">
        <v>4.7500000000000009</v>
      </c>
      <c r="F65" s="63" t="s">
        <v>83</v>
      </c>
      <c r="G65" s="21">
        <v>4.4799999999999995</v>
      </c>
      <c r="H65" s="21">
        <v>4.6231884057971016</v>
      </c>
      <c r="I65" s="63" t="s">
        <v>83</v>
      </c>
      <c r="J65" s="21">
        <v>4.4038461538461551</v>
      </c>
      <c r="K65" s="21">
        <v>4.6511627906976747</v>
      </c>
      <c r="L65" s="21">
        <v>4.4285714285714279</v>
      </c>
      <c r="M65" s="21">
        <v>4.3599999999999994</v>
      </c>
      <c r="N65" s="24">
        <v>4.7303370786516847</v>
      </c>
    </row>
    <row r="66" spans="1:16" ht="23.95" customHeight="1">
      <c r="A66" s="8" t="s">
        <v>22</v>
      </c>
      <c r="B66" s="21">
        <v>4.5714285714285703</v>
      </c>
      <c r="C66" s="34">
        <v>4.3999999999999995</v>
      </c>
      <c r="D66" s="21">
        <v>4.541666666666667</v>
      </c>
      <c r="E66" s="21">
        <v>4.9000000000000004</v>
      </c>
      <c r="F66" s="63" t="s">
        <v>83</v>
      </c>
      <c r="G66" s="21">
        <v>4.5500000000000016</v>
      </c>
      <c r="H66" s="21">
        <v>4.7246376811594191</v>
      </c>
      <c r="I66" s="63" t="s">
        <v>83</v>
      </c>
      <c r="J66" s="21">
        <v>4.6346153846153859</v>
      </c>
      <c r="K66" s="21">
        <v>4.6744186046511631</v>
      </c>
      <c r="L66" s="21">
        <v>4.5306122448979584</v>
      </c>
      <c r="M66" s="21">
        <v>4.3999999999999995</v>
      </c>
      <c r="N66" s="24">
        <v>4.7415730337078656</v>
      </c>
    </row>
    <row r="67" spans="1:16" ht="23.95" customHeight="1">
      <c r="A67" s="9" t="s">
        <v>23</v>
      </c>
      <c r="B67" s="21">
        <v>4.5267857142857153</v>
      </c>
      <c r="C67" s="76">
        <v>4.4312500000000012</v>
      </c>
      <c r="D67" s="21">
        <v>4.5078125</v>
      </c>
      <c r="E67" s="21">
        <v>4.6375000000000011</v>
      </c>
      <c r="F67" s="63" t="s">
        <v>83</v>
      </c>
      <c r="G67" s="21">
        <v>4.4306249999999974</v>
      </c>
      <c r="H67" s="21">
        <v>4.6105072463768133</v>
      </c>
      <c r="I67" s="63" t="s">
        <v>83</v>
      </c>
      <c r="J67" s="21">
        <v>4.4374999999999991</v>
      </c>
      <c r="K67" s="21">
        <v>4.5712209302325588</v>
      </c>
      <c r="L67" s="21">
        <v>4.4107142857142838</v>
      </c>
      <c r="M67" s="21">
        <v>4.3324999999999987</v>
      </c>
      <c r="N67" s="24">
        <v>4.653792134831459</v>
      </c>
    </row>
    <row r="68" spans="1:16">
      <c r="A68" s="9" t="s">
        <v>24</v>
      </c>
      <c r="B68" s="65">
        <f t="shared" ref="B68:N68" si="4">B67*20</f>
        <v>90.535714285714306</v>
      </c>
      <c r="C68" s="65">
        <f t="shared" si="4"/>
        <v>88.625000000000028</v>
      </c>
      <c r="D68" s="65">
        <f t="shared" si="4"/>
        <v>90.15625</v>
      </c>
      <c r="E68" s="65">
        <f t="shared" si="4"/>
        <v>92.750000000000028</v>
      </c>
      <c r="F68" s="63" t="s">
        <v>83</v>
      </c>
      <c r="G68" s="65">
        <f t="shared" si="4"/>
        <v>88.612499999999955</v>
      </c>
      <c r="H68" s="65">
        <f t="shared" si="4"/>
        <v>92.210144927536263</v>
      </c>
      <c r="I68" s="63" t="s">
        <v>83</v>
      </c>
      <c r="J68" s="65">
        <f t="shared" si="4"/>
        <v>88.749999999999986</v>
      </c>
      <c r="K68" s="65">
        <f t="shared" si="4"/>
        <v>91.42441860465118</v>
      </c>
      <c r="L68" s="65">
        <f t="shared" si="4"/>
        <v>88.21428571428568</v>
      </c>
      <c r="M68" s="65">
        <f t="shared" si="4"/>
        <v>86.649999999999977</v>
      </c>
      <c r="N68" s="65">
        <f t="shared" si="4"/>
        <v>93.075842696629181</v>
      </c>
    </row>
    <row r="69" spans="1:16">
      <c r="A69" s="17" t="s">
        <v>61</v>
      </c>
      <c r="B69" s="64">
        <v>92.86</v>
      </c>
      <c r="C69" s="64">
        <v>100</v>
      </c>
      <c r="D69" s="64">
        <v>91.67</v>
      </c>
      <c r="E69" s="64">
        <v>100</v>
      </c>
      <c r="F69" s="22" t="s">
        <v>84</v>
      </c>
      <c r="G69" s="64">
        <v>95</v>
      </c>
      <c r="H69" s="66">
        <v>97.1</v>
      </c>
      <c r="I69" s="22" t="s">
        <v>84</v>
      </c>
      <c r="J69" s="64">
        <v>92.31</v>
      </c>
      <c r="K69" s="64">
        <v>95.35</v>
      </c>
      <c r="L69" s="64">
        <v>95.92</v>
      </c>
      <c r="M69" s="64">
        <v>86</v>
      </c>
      <c r="N69" s="64">
        <v>98.88</v>
      </c>
    </row>
    <row r="71" spans="1:16" ht="23.95" customHeight="1"/>
    <row r="72" spans="1:16" s="15" customFormat="1" ht="23.95" customHeight="1">
      <c r="A72" s="7" t="s">
        <v>0</v>
      </c>
      <c r="B72" s="5" t="s">
        <v>37</v>
      </c>
      <c r="C72" s="5" t="s">
        <v>38</v>
      </c>
      <c r="D72" s="5" t="s">
        <v>39</v>
      </c>
      <c r="E72" s="10" t="s">
        <v>40</v>
      </c>
      <c r="F72" s="5" t="s">
        <v>41</v>
      </c>
      <c r="G72" s="5" t="s">
        <v>42</v>
      </c>
      <c r="H72" s="5" t="s">
        <v>43</v>
      </c>
      <c r="I72" s="5" t="s">
        <v>44</v>
      </c>
      <c r="J72" s="5" t="s">
        <v>45</v>
      </c>
      <c r="K72" s="5" t="s">
        <v>46</v>
      </c>
      <c r="L72" s="5" t="s">
        <v>47</v>
      </c>
      <c r="M72" s="5" t="s">
        <v>28</v>
      </c>
      <c r="N72" s="5" t="s">
        <v>81</v>
      </c>
      <c r="O72" s="28"/>
      <c r="P72" s="3"/>
    </row>
    <row r="73" spans="1:16" s="28" customFormat="1" ht="23.95" customHeight="1">
      <c r="A73" s="9" t="s">
        <v>9</v>
      </c>
      <c r="B73" s="26">
        <v>8</v>
      </c>
      <c r="C73" s="26">
        <v>18</v>
      </c>
      <c r="D73" s="26">
        <v>44</v>
      </c>
      <c r="E73" s="26">
        <v>44</v>
      </c>
      <c r="F73" s="26">
        <v>82</v>
      </c>
      <c r="G73" s="26">
        <v>60</v>
      </c>
      <c r="H73" s="26">
        <v>37</v>
      </c>
      <c r="I73" s="26">
        <v>62</v>
      </c>
      <c r="J73" s="26">
        <v>90</v>
      </c>
      <c r="K73" s="63" t="s">
        <v>83</v>
      </c>
      <c r="L73" s="63">
        <v>75</v>
      </c>
      <c r="M73" s="19">
        <v>33</v>
      </c>
      <c r="N73" s="63" t="s">
        <v>83</v>
      </c>
      <c r="O73" s="3"/>
      <c r="P73" s="68"/>
    </row>
    <row r="74" spans="1:16" ht="23.95" customHeight="1">
      <c r="A74" s="8" t="s">
        <v>26</v>
      </c>
      <c r="B74" s="21">
        <v>4.125</v>
      </c>
      <c r="C74" s="21">
        <v>4.4444444444444455</v>
      </c>
      <c r="D74" s="21">
        <v>4.4318181818181808</v>
      </c>
      <c r="E74" s="21">
        <v>4.3181818181818175</v>
      </c>
      <c r="F74" s="21">
        <v>4.51219512195122</v>
      </c>
      <c r="G74" s="21">
        <v>4.6333333333333337</v>
      </c>
      <c r="H74" s="21">
        <v>4.8108108108108114</v>
      </c>
      <c r="I74" s="21">
        <v>4.6451612903225818</v>
      </c>
      <c r="J74" s="21">
        <v>4.6111111111111125</v>
      </c>
      <c r="K74" s="63" t="s">
        <v>83</v>
      </c>
      <c r="L74" s="21">
        <v>4.7066666666666661</v>
      </c>
      <c r="M74" s="21">
        <v>4.3030303030303028</v>
      </c>
      <c r="N74" s="63" t="s">
        <v>83</v>
      </c>
    </row>
    <row r="75" spans="1:16" ht="23.95" customHeight="1">
      <c r="A75" s="8" t="s">
        <v>59</v>
      </c>
      <c r="B75" s="21">
        <v>4.25</v>
      </c>
      <c r="C75" s="21">
        <v>4.4444444444444455</v>
      </c>
      <c r="D75" s="21">
        <v>4.4090909090909092</v>
      </c>
      <c r="E75" s="21">
        <v>4.2045454545454541</v>
      </c>
      <c r="F75" s="21">
        <v>4.5121951219512191</v>
      </c>
      <c r="G75" s="21">
        <v>4.6999999999999993</v>
      </c>
      <c r="H75" s="21">
        <v>4.8378378378378386</v>
      </c>
      <c r="I75" s="21">
        <v>4.612903225806452</v>
      </c>
      <c r="J75" s="21">
        <v>4.6111111111111107</v>
      </c>
      <c r="K75" s="63" t="s">
        <v>83</v>
      </c>
      <c r="L75" s="21">
        <v>4.6933333333333325</v>
      </c>
      <c r="M75" s="21">
        <v>4.333333333333333</v>
      </c>
      <c r="N75" s="63" t="s">
        <v>83</v>
      </c>
    </row>
    <row r="76" spans="1:16" ht="23.95" customHeight="1">
      <c r="A76" s="8" t="s">
        <v>60</v>
      </c>
      <c r="B76" s="21">
        <v>4.25</v>
      </c>
      <c r="C76" s="21">
        <v>4.4444444444444455</v>
      </c>
      <c r="D76" s="21">
        <v>4.3863636363636367</v>
      </c>
      <c r="E76" s="21">
        <v>4.1590909090909092</v>
      </c>
      <c r="F76" s="21">
        <v>4.5121951219512191</v>
      </c>
      <c r="G76" s="21">
        <v>4.6500000000000012</v>
      </c>
      <c r="H76" s="21">
        <v>4.7837837837837842</v>
      </c>
      <c r="I76" s="21">
        <v>4.5483870967741939</v>
      </c>
      <c r="J76" s="21">
        <v>4.6444444444444439</v>
      </c>
      <c r="K76" s="63" t="s">
        <v>83</v>
      </c>
      <c r="L76" s="21">
        <v>4.7066666666666643</v>
      </c>
      <c r="M76" s="21">
        <v>4.3030303030303028</v>
      </c>
      <c r="N76" s="63" t="s">
        <v>83</v>
      </c>
    </row>
    <row r="77" spans="1:16" ht="23.95" customHeight="1">
      <c r="A77" s="8" t="s">
        <v>10</v>
      </c>
      <c r="B77" s="21">
        <v>4.125</v>
      </c>
      <c r="C77" s="21">
        <v>4.4444444444444455</v>
      </c>
      <c r="D77" s="21">
        <v>4.3409090909090891</v>
      </c>
      <c r="E77" s="21">
        <v>4.1818181818181817</v>
      </c>
      <c r="F77" s="21">
        <v>4.597560975609758</v>
      </c>
      <c r="G77" s="21">
        <v>4.6833333333333336</v>
      </c>
      <c r="H77" s="21">
        <v>4.729729729729728</v>
      </c>
      <c r="I77" s="21">
        <v>4.5645161290322589</v>
      </c>
      <c r="J77" s="21">
        <v>4.6444444444444457</v>
      </c>
      <c r="K77" s="63" t="s">
        <v>83</v>
      </c>
      <c r="L77" s="21">
        <v>4.7599999999999989</v>
      </c>
      <c r="M77" s="21">
        <v>4.333333333333333</v>
      </c>
      <c r="N77" s="63" t="s">
        <v>83</v>
      </c>
    </row>
    <row r="78" spans="1:16" ht="23.95" customHeight="1">
      <c r="A78" s="8" t="s">
        <v>11</v>
      </c>
      <c r="B78" s="21">
        <v>4.3749999999999991</v>
      </c>
      <c r="C78" s="21">
        <v>4.3333333333333321</v>
      </c>
      <c r="D78" s="21">
        <v>4.4090909090909092</v>
      </c>
      <c r="E78" s="21">
        <v>4.1136363636363642</v>
      </c>
      <c r="F78" s="21">
        <v>4.548780487804879</v>
      </c>
      <c r="G78" s="21">
        <v>4.6500000000000012</v>
      </c>
      <c r="H78" s="21">
        <v>4.7297297297297289</v>
      </c>
      <c r="I78" s="21">
        <v>4.4838709677419359</v>
      </c>
      <c r="J78" s="21">
        <v>4.6111111111111125</v>
      </c>
      <c r="K78" s="63" t="s">
        <v>83</v>
      </c>
      <c r="L78" s="21">
        <v>4.666666666666667</v>
      </c>
      <c r="M78" s="21">
        <v>4.4848484848484835</v>
      </c>
      <c r="N78" s="63" t="s">
        <v>83</v>
      </c>
    </row>
    <row r="79" spans="1:16" ht="23.95" customHeight="1">
      <c r="A79" s="8" t="s">
        <v>12</v>
      </c>
      <c r="B79" s="21">
        <v>4.5</v>
      </c>
      <c r="C79" s="21">
        <v>4.2222222222222223</v>
      </c>
      <c r="D79" s="21">
        <v>4.4318181818181808</v>
      </c>
      <c r="E79" s="21">
        <v>4.1818181818181817</v>
      </c>
      <c r="F79" s="21">
        <v>4.548780487804879</v>
      </c>
      <c r="G79" s="21">
        <v>4.6500000000000012</v>
      </c>
      <c r="H79" s="21">
        <v>4.7837837837837824</v>
      </c>
      <c r="I79" s="21">
        <v>4.467741935483871</v>
      </c>
      <c r="J79" s="21">
        <v>4.5555555555555562</v>
      </c>
      <c r="K79" s="63" t="s">
        <v>83</v>
      </c>
      <c r="L79" s="21">
        <v>4.6533333333333351</v>
      </c>
      <c r="M79" s="21">
        <v>4.4242424242424239</v>
      </c>
      <c r="N79" s="63" t="s">
        <v>83</v>
      </c>
    </row>
    <row r="80" spans="1:16" ht="23.95" customHeight="1">
      <c r="A80" s="8" t="s">
        <v>13</v>
      </c>
      <c r="B80" s="21">
        <v>4.5</v>
      </c>
      <c r="C80" s="21">
        <v>4.3888888888888893</v>
      </c>
      <c r="D80" s="21">
        <v>4.3636363636363633</v>
      </c>
      <c r="E80" s="21">
        <v>4.2727272727272725</v>
      </c>
      <c r="F80" s="21">
        <v>4.5365853658536599</v>
      </c>
      <c r="G80" s="21">
        <v>4.6500000000000021</v>
      </c>
      <c r="H80" s="21">
        <v>4.7837837837837824</v>
      </c>
      <c r="I80" s="21">
        <v>4.5322580645161308</v>
      </c>
      <c r="J80" s="21">
        <v>4.6444444444444448</v>
      </c>
      <c r="K80" s="63" t="s">
        <v>83</v>
      </c>
      <c r="L80" s="21">
        <v>4.7866666666666671</v>
      </c>
      <c r="M80" s="21">
        <v>4.5151515151515138</v>
      </c>
      <c r="N80" s="63" t="s">
        <v>83</v>
      </c>
    </row>
    <row r="81" spans="1:16" ht="23.95" customHeight="1">
      <c r="A81" s="8" t="s">
        <v>14</v>
      </c>
      <c r="B81" s="21">
        <v>4.25</v>
      </c>
      <c r="C81" s="21">
        <v>4.3888888888888902</v>
      </c>
      <c r="D81" s="21">
        <v>4.3863636363636376</v>
      </c>
      <c r="E81" s="21">
        <v>4.1363636363636358</v>
      </c>
      <c r="F81" s="21">
        <v>4.4999999999999982</v>
      </c>
      <c r="G81" s="21">
        <v>4.5999999999999996</v>
      </c>
      <c r="H81" s="21">
        <v>4.7567567567567561</v>
      </c>
      <c r="I81" s="21">
        <v>4.5161290322580649</v>
      </c>
      <c r="J81" s="21">
        <v>4.5000000000000009</v>
      </c>
      <c r="K81" s="63" t="s">
        <v>83</v>
      </c>
      <c r="L81" s="21">
        <v>4.7066666666666688</v>
      </c>
      <c r="M81" s="21">
        <v>4.3636363636363633</v>
      </c>
      <c r="N81" s="63" t="s">
        <v>83</v>
      </c>
    </row>
    <row r="82" spans="1:16" ht="23.95" customHeight="1">
      <c r="A82" s="8" t="s">
        <v>15</v>
      </c>
      <c r="B82" s="21">
        <v>4.375</v>
      </c>
      <c r="C82" s="21">
        <v>4.4444444444444455</v>
      </c>
      <c r="D82" s="21">
        <v>4.5</v>
      </c>
      <c r="E82" s="21">
        <v>4.2500000000000009</v>
      </c>
      <c r="F82" s="21">
        <v>4.548780487804879</v>
      </c>
      <c r="G82" s="21">
        <v>4.7166666666666677</v>
      </c>
      <c r="H82" s="21">
        <v>4.7837837837837833</v>
      </c>
      <c r="I82" s="21">
        <v>4.5322580645161299</v>
      </c>
      <c r="J82" s="21">
        <v>4.6222222222222236</v>
      </c>
      <c r="K82" s="63" t="s">
        <v>83</v>
      </c>
      <c r="L82" s="21">
        <v>4.786666666666668</v>
      </c>
      <c r="M82" s="21">
        <v>4.4848484848484844</v>
      </c>
      <c r="N82" s="63" t="s">
        <v>83</v>
      </c>
    </row>
    <row r="83" spans="1:16" ht="23.95" customHeight="1">
      <c r="A83" s="8" t="s">
        <v>16</v>
      </c>
      <c r="B83" s="21">
        <v>4.375</v>
      </c>
      <c r="C83" s="21">
        <v>4.5000000000000009</v>
      </c>
      <c r="D83" s="21">
        <v>4.4318181818181808</v>
      </c>
      <c r="E83" s="21">
        <v>4.2727272727272734</v>
      </c>
      <c r="F83" s="21">
        <v>4.5731707317073162</v>
      </c>
      <c r="G83" s="21">
        <v>4.7333333333333352</v>
      </c>
      <c r="H83" s="21">
        <v>4.7837837837837842</v>
      </c>
      <c r="I83" s="21">
        <v>4.5322580645161317</v>
      </c>
      <c r="J83" s="21">
        <v>4.5999999999999996</v>
      </c>
      <c r="K83" s="63" t="s">
        <v>83</v>
      </c>
      <c r="L83" s="21">
        <v>4.786666666666668</v>
      </c>
      <c r="M83" s="21">
        <v>4.3636363636363633</v>
      </c>
      <c r="N83" s="63" t="s">
        <v>83</v>
      </c>
    </row>
    <row r="84" spans="1:16" ht="23.95" customHeight="1">
      <c r="A84" s="8" t="s">
        <v>17</v>
      </c>
      <c r="B84" s="21">
        <v>4.125</v>
      </c>
      <c r="C84" s="21">
        <v>4.5000000000000009</v>
      </c>
      <c r="D84" s="21">
        <v>4.4545454545454533</v>
      </c>
      <c r="E84" s="21">
        <v>4.3181818181818183</v>
      </c>
      <c r="F84" s="21">
        <v>4.5487804878048763</v>
      </c>
      <c r="G84" s="21">
        <v>4.7</v>
      </c>
      <c r="H84" s="21">
        <v>4.729729729729728</v>
      </c>
      <c r="I84" s="21">
        <v>4.5483870967741948</v>
      </c>
      <c r="J84" s="21">
        <v>4.6444444444444457</v>
      </c>
      <c r="K84" s="63" t="s">
        <v>83</v>
      </c>
      <c r="L84" s="21">
        <v>4.7999999999999989</v>
      </c>
      <c r="M84" s="21">
        <v>4.3939393939393936</v>
      </c>
      <c r="N84" s="63" t="s">
        <v>83</v>
      </c>
    </row>
    <row r="85" spans="1:16" ht="23.95" customHeight="1">
      <c r="A85" s="8" t="s">
        <v>18</v>
      </c>
      <c r="B85" s="21">
        <v>4.4999999999999991</v>
      </c>
      <c r="C85" s="21">
        <v>4.5555555555555554</v>
      </c>
      <c r="D85" s="21">
        <v>4.4318181818181817</v>
      </c>
      <c r="E85" s="21">
        <v>4.25</v>
      </c>
      <c r="F85" s="21">
        <v>4.5609756097560972</v>
      </c>
      <c r="G85" s="21">
        <v>4.6666666666666661</v>
      </c>
      <c r="H85" s="21">
        <v>4.729729729729728</v>
      </c>
      <c r="I85" s="21">
        <v>4.5483870967741948</v>
      </c>
      <c r="J85" s="21">
        <v>4.6777777777777798</v>
      </c>
      <c r="K85" s="63" t="s">
        <v>83</v>
      </c>
      <c r="L85" s="21">
        <v>4.7733333333333334</v>
      </c>
      <c r="M85" s="21">
        <v>4.3030303030303028</v>
      </c>
      <c r="N85" s="63" t="s">
        <v>83</v>
      </c>
    </row>
    <row r="86" spans="1:16" ht="23.95" customHeight="1">
      <c r="A86" s="8" t="s">
        <v>19</v>
      </c>
      <c r="B86" s="21">
        <v>4.375</v>
      </c>
      <c r="C86" s="21">
        <v>4.5000000000000009</v>
      </c>
      <c r="D86" s="21">
        <v>4.4545454545454541</v>
      </c>
      <c r="E86" s="21">
        <v>4.2045454545454559</v>
      </c>
      <c r="F86" s="21">
        <v>4.5365853658536581</v>
      </c>
      <c r="G86" s="21">
        <v>4.6333333333333329</v>
      </c>
      <c r="H86" s="21">
        <v>4.7837837837837833</v>
      </c>
      <c r="I86" s="21">
        <v>4.5322580645161308</v>
      </c>
      <c r="J86" s="21">
        <v>4.6222222222222227</v>
      </c>
      <c r="K86" s="63" t="s">
        <v>83</v>
      </c>
      <c r="L86" s="21">
        <v>4.7600000000000007</v>
      </c>
      <c r="M86" s="21">
        <v>4.4242424242424239</v>
      </c>
      <c r="N86" s="63" t="s">
        <v>83</v>
      </c>
    </row>
    <row r="87" spans="1:16" ht="23.95" customHeight="1">
      <c r="A87" s="8" t="s">
        <v>20</v>
      </c>
      <c r="B87" s="21">
        <v>4.2500000000000009</v>
      </c>
      <c r="C87" s="21">
        <v>4.5000000000000009</v>
      </c>
      <c r="D87" s="21">
        <v>4.4772727272727275</v>
      </c>
      <c r="E87" s="21">
        <v>4.1590909090909092</v>
      </c>
      <c r="F87" s="21">
        <v>4.5243902439024408</v>
      </c>
      <c r="G87" s="21">
        <v>4.6499999999999995</v>
      </c>
      <c r="H87" s="21">
        <v>4.729729729729728</v>
      </c>
      <c r="I87" s="21">
        <v>4.5967741935483888</v>
      </c>
      <c r="J87" s="21">
        <v>4.5666666666666664</v>
      </c>
      <c r="K87" s="63" t="s">
        <v>83</v>
      </c>
      <c r="L87" s="21">
        <v>4.6800000000000006</v>
      </c>
      <c r="M87" s="21">
        <v>4.4848484848484844</v>
      </c>
      <c r="N87" s="63" t="s">
        <v>83</v>
      </c>
    </row>
    <row r="88" spans="1:16" ht="23.95" customHeight="1">
      <c r="A88" s="8" t="s">
        <v>21</v>
      </c>
      <c r="B88" s="21">
        <v>4.125</v>
      </c>
      <c r="C88" s="21">
        <v>4.5000000000000009</v>
      </c>
      <c r="D88" s="21">
        <v>4.4090909090909101</v>
      </c>
      <c r="E88" s="21">
        <v>4.2954545454545441</v>
      </c>
      <c r="F88" s="21">
        <v>4.5731707317073171</v>
      </c>
      <c r="G88" s="21">
        <v>4.6833333333333345</v>
      </c>
      <c r="H88" s="21">
        <v>4.7837837837837833</v>
      </c>
      <c r="I88" s="21">
        <v>4.6290322580645178</v>
      </c>
      <c r="J88" s="21">
        <v>4.6333333333333337</v>
      </c>
      <c r="K88" s="63" t="s">
        <v>83</v>
      </c>
      <c r="L88" s="21">
        <v>4.7733333333333334</v>
      </c>
      <c r="M88" s="21">
        <v>4.4545454545454533</v>
      </c>
      <c r="N88" s="63" t="s">
        <v>83</v>
      </c>
    </row>
    <row r="89" spans="1:16" ht="23.95" customHeight="1">
      <c r="A89" s="8" t="s">
        <v>22</v>
      </c>
      <c r="B89" s="21">
        <v>4.4999999999999991</v>
      </c>
      <c r="C89" s="21">
        <v>4.5555555555555562</v>
      </c>
      <c r="D89" s="21">
        <v>4.5454545454545459</v>
      </c>
      <c r="E89" s="21">
        <v>4.3181818181818175</v>
      </c>
      <c r="F89" s="21">
        <v>4.6707317073170724</v>
      </c>
      <c r="G89" s="21">
        <v>4.6666666666666661</v>
      </c>
      <c r="H89" s="21">
        <v>4.8108108108108114</v>
      </c>
      <c r="I89" s="21">
        <v>4.5967741935483897</v>
      </c>
      <c r="J89" s="21">
        <v>4.6777777777777816</v>
      </c>
      <c r="K89" s="63" t="s">
        <v>83</v>
      </c>
      <c r="L89" s="21">
        <v>4.8399999999999981</v>
      </c>
      <c r="M89" s="21">
        <v>4.545454545454545</v>
      </c>
      <c r="N89" s="63" t="s">
        <v>83</v>
      </c>
    </row>
    <row r="90" spans="1:16" ht="23.95" customHeight="1">
      <c r="A90" s="9" t="s">
        <v>23</v>
      </c>
      <c r="B90" s="21">
        <v>4.3125</v>
      </c>
      <c r="C90" s="21">
        <v>4.447916666666667</v>
      </c>
      <c r="D90" s="21">
        <v>4.4289772727272725</v>
      </c>
      <c r="E90" s="21">
        <v>4.2272727272727257</v>
      </c>
      <c r="F90" s="21">
        <v>4.5503048780487818</v>
      </c>
      <c r="G90" s="21">
        <v>4.6666666666666679</v>
      </c>
      <c r="H90" s="21">
        <v>4.7719594594594588</v>
      </c>
      <c r="I90" s="21">
        <v>4.5554435483870979</v>
      </c>
      <c r="J90" s="21">
        <v>4.6166666666666654</v>
      </c>
      <c r="K90" s="63" t="s">
        <v>83</v>
      </c>
      <c r="L90" s="21">
        <v>4.7424999999999988</v>
      </c>
      <c r="M90" s="21">
        <v>4.4071969696969688</v>
      </c>
      <c r="N90" s="63" t="s">
        <v>83</v>
      </c>
    </row>
    <row r="91" spans="1:16" s="68" customFormat="1">
      <c r="A91" s="67" t="s">
        <v>24</v>
      </c>
      <c r="B91" s="70">
        <f>B90*20</f>
        <v>86.25</v>
      </c>
      <c r="C91" s="65">
        <f>C90*20</f>
        <v>88.958333333333343</v>
      </c>
      <c r="D91" s="65">
        <f>D90*20</f>
        <v>88.579545454545453</v>
      </c>
      <c r="E91" s="65">
        <f t="shared" ref="E91:M91" si="5">E90*20</f>
        <v>84.545454545454518</v>
      </c>
      <c r="F91" s="65">
        <f t="shared" si="5"/>
        <v>91.006097560975633</v>
      </c>
      <c r="G91" s="65">
        <f t="shared" si="5"/>
        <v>93.333333333333357</v>
      </c>
      <c r="H91" s="65">
        <f t="shared" si="5"/>
        <v>95.439189189189179</v>
      </c>
      <c r="I91" s="65">
        <f t="shared" si="5"/>
        <v>91.10887096774195</v>
      </c>
      <c r="J91" s="65">
        <f t="shared" si="5"/>
        <v>92.333333333333314</v>
      </c>
      <c r="K91" s="63" t="s">
        <v>83</v>
      </c>
      <c r="L91" s="65">
        <f t="shared" ref="L91" si="6">L90*20</f>
        <v>94.84999999999998</v>
      </c>
      <c r="M91" s="65">
        <f t="shared" si="5"/>
        <v>88.143939393939377</v>
      </c>
      <c r="N91" s="63" t="s">
        <v>83</v>
      </c>
      <c r="P91" s="3"/>
    </row>
    <row r="92" spans="1:16">
      <c r="A92" s="17" t="s">
        <v>61</v>
      </c>
      <c r="B92" s="64">
        <v>100</v>
      </c>
      <c r="C92" s="64">
        <v>100</v>
      </c>
      <c r="D92" s="64">
        <v>100</v>
      </c>
      <c r="E92" s="64">
        <v>90.91</v>
      </c>
      <c r="F92" s="64">
        <v>97.56</v>
      </c>
      <c r="G92" s="64">
        <v>96.67</v>
      </c>
      <c r="H92" s="64">
        <v>100</v>
      </c>
      <c r="I92" s="64">
        <v>87.1</v>
      </c>
      <c r="J92" s="64">
        <v>95.56</v>
      </c>
      <c r="K92" s="22" t="s">
        <v>84</v>
      </c>
      <c r="L92" s="23">
        <v>94.67</v>
      </c>
      <c r="M92" s="64">
        <v>97.97</v>
      </c>
      <c r="N92" s="22" t="s">
        <v>84</v>
      </c>
    </row>
    <row r="93" spans="1:16" ht="23.95" customHeight="1"/>
    <row r="94" spans="1:16" ht="23.95" customHeight="1"/>
    <row r="95" spans="1:16">
      <c r="B95" s="3"/>
      <c r="E95" s="11"/>
      <c r="F95" s="11"/>
    </row>
    <row r="96" spans="1:16">
      <c r="B96" s="3"/>
      <c r="E96" s="12"/>
      <c r="F96" s="12"/>
    </row>
    <row r="97" spans="2:6">
      <c r="B97" s="3"/>
      <c r="E97" s="12"/>
      <c r="F97" s="12"/>
    </row>
    <row r="98" spans="2:6">
      <c r="B98" s="3"/>
      <c r="E98" s="12"/>
      <c r="F98" s="12"/>
    </row>
    <row r="99" spans="2:6">
      <c r="B99" s="3"/>
      <c r="E99" s="12"/>
      <c r="F99" s="12"/>
    </row>
    <row r="100" spans="2:6">
      <c r="B100" s="3"/>
      <c r="E100" s="12"/>
      <c r="F100" s="12"/>
    </row>
    <row r="101" spans="2:6">
      <c r="B101" s="3"/>
      <c r="E101" s="12"/>
      <c r="F101" s="12"/>
    </row>
    <row r="102" spans="2:6">
      <c r="B102" s="3"/>
      <c r="E102" s="12"/>
      <c r="F102" s="12"/>
    </row>
    <row r="103" spans="2:6" ht="23.95" customHeight="1">
      <c r="B103" s="3"/>
      <c r="E103" s="12"/>
      <c r="F103" s="12"/>
    </row>
    <row r="104" spans="2:6" ht="23.95" customHeight="1">
      <c r="B104" s="3"/>
      <c r="E104" s="12"/>
      <c r="F104" s="12"/>
    </row>
    <row r="105" spans="2:6">
      <c r="B105" s="3"/>
      <c r="E105" s="12"/>
      <c r="F105" s="12"/>
    </row>
    <row r="106" spans="2:6">
      <c r="B106" s="3"/>
      <c r="E106" s="12"/>
      <c r="F106" s="12"/>
    </row>
    <row r="107" spans="2:6">
      <c r="B107" s="3"/>
      <c r="E107" s="12"/>
      <c r="F107" s="12"/>
    </row>
    <row r="108" spans="2:6">
      <c r="B108" s="3"/>
      <c r="E108" s="12"/>
      <c r="F108" s="12"/>
    </row>
    <row r="109" spans="2:6">
      <c r="B109" s="3"/>
      <c r="E109" s="12"/>
      <c r="F109" s="12"/>
    </row>
    <row r="110" spans="2:6">
      <c r="B110" s="3"/>
      <c r="E110" s="12"/>
      <c r="F110" s="12"/>
    </row>
    <row r="111" spans="2:6" ht="23.95" customHeight="1">
      <c r="B111" s="3"/>
      <c r="E111" s="12"/>
      <c r="F111" s="12"/>
    </row>
    <row r="112" spans="2:6" ht="23.95" customHeight="1">
      <c r="B112" s="3"/>
      <c r="E112" s="12"/>
      <c r="F112" s="12"/>
    </row>
    <row r="113" spans="2:6">
      <c r="B113" s="3"/>
      <c r="E113" s="13"/>
      <c r="F113" s="13"/>
    </row>
    <row r="114" spans="2:6">
      <c r="B114" s="3"/>
      <c r="E114" s="13"/>
      <c r="F114" s="13"/>
    </row>
    <row r="115" spans="2:6">
      <c r="B115" s="3"/>
    </row>
  </sheetData>
  <mergeCells count="1">
    <mergeCell ref="A1:P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4" max="16383" man="1"/>
    <brk id="47" max="16383" man="1"/>
    <brk id="70" max="16383" man="1"/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145"/>
  <sheetViews>
    <sheetView tabSelected="1" view="pageBreakPreview" topLeftCell="B108" zoomScale="110" zoomScaleNormal="100" zoomScaleSheetLayoutView="110" workbookViewId="0">
      <selection activeCell="B121" sqref="B121"/>
    </sheetView>
  </sheetViews>
  <sheetFormatPr defaultColWidth="9" defaultRowHeight="21.1"/>
  <cols>
    <col min="1" max="1" width="4.75" style="36" customWidth="1"/>
    <col min="2" max="2" width="27.625" style="36" customWidth="1"/>
    <col min="3" max="7" width="12" style="36" customWidth="1"/>
    <col min="8" max="8" width="30.125" style="36" customWidth="1"/>
    <col min="9" max="9" width="14.75" style="36" customWidth="1"/>
    <col min="10" max="10" width="7.25" style="36" customWidth="1"/>
    <col min="11" max="16384" width="9" style="36"/>
  </cols>
  <sheetData>
    <row r="1" spans="1:9" s="50" customFormat="1" ht="43.5" customHeight="1">
      <c r="A1" s="100" t="s">
        <v>91</v>
      </c>
      <c r="B1" s="101"/>
      <c r="C1" s="101"/>
      <c r="D1" s="101"/>
      <c r="E1" s="101"/>
      <c r="F1" s="101"/>
      <c r="G1" s="101"/>
      <c r="H1" s="101"/>
      <c r="I1" s="101"/>
    </row>
    <row r="2" spans="1:9" s="50" customFormat="1">
      <c r="A2" s="99" t="s">
        <v>95</v>
      </c>
      <c r="B2" s="99"/>
      <c r="C2" s="99"/>
      <c r="D2" s="99"/>
      <c r="E2" s="99"/>
      <c r="F2" s="99"/>
      <c r="G2" s="99"/>
      <c r="H2" s="99"/>
    </row>
    <row r="3" spans="1:9" s="38" customFormat="1">
      <c r="A3" s="99" t="s">
        <v>94</v>
      </c>
      <c r="B3" s="99"/>
      <c r="C3" s="99"/>
      <c r="D3" s="99"/>
      <c r="E3" s="99"/>
      <c r="F3" s="99"/>
      <c r="G3" s="99"/>
      <c r="H3" s="99"/>
      <c r="I3" s="50"/>
    </row>
    <row r="4" spans="1:9" s="50" customFormat="1">
      <c r="A4" s="52" t="s">
        <v>70</v>
      </c>
      <c r="B4" s="52"/>
      <c r="C4" s="52"/>
      <c r="D4" s="52"/>
      <c r="E4" s="52"/>
      <c r="F4" s="53"/>
      <c r="G4" s="53"/>
      <c r="H4" s="53"/>
      <c r="I4" s="38"/>
    </row>
    <row r="5" spans="1:9" s="50" customFormat="1">
      <c r="B5" s="103" t="s">
        <v>196</v>
      </c>
      <c r="C5" s="103"/>
      <c r="D5" s="103"/>
      <c r="E5" s="103"/>
      <c r="F5" s="103"/>
      <c r="G5" s="103"/>
      <c r="H5" s="103"/>
    </row>
    <row r="6" spans="1:9" s="88" customFormat="1">
      <c r="A6" s="50"/>
      <c r="B6" s="103" t="s">
        <v>189</v>
      </c>
      <c r="C6" s="103"/>
      <c r="D6" s="103"/>
      <c r="E6" s="103"/>
      <c r="F6" s="103"/>
      <c r="G6" s="103"/>
      <c r="H6" s="103"/>
      <c r="I6" s="50"/>
    </row>
    <row r="7" spans="1:9" s="38" customFormat="1" ht="21.75" customHeight="1">
      <c r="A7" s="88"/>
      <c r="B7" s="104" t="s">
        <v>195</v>
      </c>
      <c r="C7" s="104"/>
      <c r="D7" s="104"/>
      <c r="E7" s="104"/>
      <c r="F7" s="104"/>
      <c r="G7" s="104"/>
      <c r="H7" s="104"/>
      <c r="I7" s="88"/>
    </row>
    <row r="8" spans="1:9" s="38" customFormat="1" ht="21.75" customHeight="1">
      <c r="B8" s="54" t="s">
        <v>0</v>
      </c>
      <c r="C8" s="55" t="s">
        <v>48</v>
      </c>
      <c r="D8" s="55" t="s">
        <v>49</v>
      </c>
      <c r="E8" s="55" t="s">
        <v>50</v>
      </c>
      <c r="F8" s="55" t="s">
        <v>51</v>
      </c>
      <c r="G8" s="55" t="s">
        <v>52</v>
      </c>
    </row>
    <row r="9" spans="1:9" s="38" customFormat="1" ht="21.75" customHeight="1">
      <c r="B9" s="56" t="s">
        <v>9</v>
      </c>
      <c r="C9" s="57" t="s">
        <v>92</v>
      </c>
      <c r="D9" s="57" t="s">
        <v>96</v>
      </c>
      <c r="E9" s="69">
        <v>29</v>
      </c>
      <c r="F9" s="58" t="s">
        <v>190</v>
      </c>
      <c r="G9" s="58" t="s">
        <v>93</v>
      </c>
    </row>
    <row r="10" spans="1:9" s="38" customFormat="1" ht="21.75" customHeight="1">
      <c r="B10" s="56" t="s">
        <v>23</v>
      </c>
      <c r="C10" s="31">
        <v>4.3097627737226327</v>
      </c>
      <c r="D10" s="31">
        <v>4.5331632653061238</v>
      </c>
      <c r="E10" s="77">
        <v>4.5754310344827598</v>
      </c>
      <c r="F10" s="86">
        <v>4.83</v>
      </c>
      <c r="G10" s="25">
        <v>4.5173611111111107</v>
      </c>
    </row>
    <row r="11" spans="1:9" s="38" customFormat="1" ht="21.75" customHeight="1">
      <c r="B11" s="56" t="s">
        <v>24</v>
      </c>
      <c r="C11" s="31">
        <v>86.195255474452651</v>
      </c>
      <c r="D11" s="31">
        <v>90.663265306122469</v>
      </c>
      <c r="E11" s="65">
        <f>E10*20</f>
        <v>91.508620689655203</v>
      </c>
      <c r="F11" s="87">
        <v>91.31</v>
      </c>
      <c r="G11" s="65">
        <f>G10*20</f>
        <v>90.347222222222214</v>
      </c>
    </row>
    <row r="12" spans="1:9" s="38" customFormat="1" ht="23.95" customHeight="1">
      <c r="B12" s="60"/>
      <c r="C12" s="61"/>
      <c r="D12" s="61"/>
      <c r="E12" s="61"/>
      <c r="F12" s="74"/>
      <c r="G12" s="74"/>
    </row>
    <row r="13" spans="1:9" s="38" customFormat="1" ht="23.95" customHeight="1">
      <c r="A13" s="102" t="s">
        <v>53</v>
      </c>
      <c r="B13" s="102"/>
      <c r="H13" s="38" t="s">
        <v>68</v>
      </c>
    </row>
    <row r="14" spans="1:9" s="38" customFormat="1" ht="23.95" customHeight="1">
      <c r="B14" s="41" t="s">
        <v>54</v>
      </c>
    </row>
    <row r="15" spans="1:9" s="38" customFormat="1" ht="23.95" customHeight="1">
      <c r="B15" s="38" t="s">
        <v>125</v>
      </c>
    </row>
    <row r="16" spans="1:9" s="38" customFormat="1" ht="23.95" customHeight="1">
      <c r="B16" s="94" t="s">
        <v>133</v>
      </c>
    </row>
    <row r="17" spans="1:9" s="38" customFormat="1" ht="23.95" customHeight="1">
      <c r="B17" s="92" t="s">
        <v>132</v>
      </c>
    </row>
    <row r="18" spans="1:9" s="38" customFormat="1" ht="23.95" customHeight="1">
      <c r="B18" s="92" t="s">
        <v>128</v>
      </c>
    </row>
    <row r="19" spans="1:9" s="38" customFormat="1" ht="23.95" customHeight="1">
      <c r="B19" s="38" t="s">
        <v>118</v>
      </c>
    </row>
    <row r="20" spans="1:9" s="38" customFormat="1" ht="23.95" customHeight="1">
      <c r="B20" s="92" t="s">
        <v>119</v>
      </c>
    </row>
    <row r="21" spans="1:9" s="38" customFormat="1" ht="23.95" customHeight="1">
      <c r="B21" s="92" t="s">
        <v>104</v>
      </c>
    </row>
    <row r="22" spans="1:9" s="38" customFormat="1" ht="23.95" customHeight="1">
      <c r="B22" s="92" t="s">
        <v>117</v>
      </c>
    </row>
    <row r="23" spans="1:9" s="38" customFormat="1" ht="23.95" customHeight="1">
      <c r="B23" s="94" t="s">
        <v>106</v>
      </c>
    </row>
    <row r="24" spans="1:9" s="38" customFormat="1" ht="23.95" customHeight="1">
      <c r="B24" s="92" t="s">
        <v>113</v>
      </c>
    </row>
    <row r="25" spans="1:9" s="73" customFormat="1" ht="23.95" customHeight="1">
      <c r="A25" s="93"/>
      <c r="B25" s="91" t="s">
        <v>97</v>
      </c>
      <c r="C25" s="39"/>
      <c r="D25" s="39"/>
      <c r="E25" s="39"/>
      <c r="F25" s="39"/>
      <c r="G25" s="39"/>
      <c r="H25" s="39"/>
      <c r="I25" s="36"/>
    </row>
    <row r="26" spans="1:9" s="73" customFormat="1" ht="23.95" customHeight="1">
      <c r="A26" s="93"/>
      <c r="B26" s="92" t="s">
        <v>98</v>
      </c>
      <c r="C26" s="39"/>
      <c r="D26" s="39"/>
      <c r="E26" s="39"/>
      <c r="F26" s="39"/>
      <c r="G26" s="39"/>
      <c r="H26" s="39"/>
      <c r="I26" s="36"/>
    </row>
    <row r="27" spans="1:9" s="73" customFormat="1" ht="23.95" customHeight="1">
      <c r="A27" s="93"/>
      <c r="B27" s="92" t="s">
        <v>100</v>
      </c>
      <c r="C27" s="39"/>
      <c r="D27" s="39"/>
      <c r="E27" s="39"/>
      <c r="F27" s="39"/>
      <c r="G27" s="39"/>
      <c r="H27" s="39"/>
      <c r="I27" s="36"/>
    </row>
    <row r="28" spans="1:9" s="73" customFormat="1" ht="23.95" customHeight="1">
      <c r="A28" s="93"/>
      <c r="B28" s="105" t="s">
        <v>101</v>
      </c>
      <c r="C28" s="105"/>
      <c r="D28" s="105"/>
      <c r="E28" s="105"/>
      <c r="F28" s="39"/>
      <c r="G28" s="39"/>
      <c r="H28" s="39"/>
      <c r="I28" s="36"/>
    </row>
    <row r="29" spans="1:9" s="73" customFormat="1" ht="23.95" customHeight="1">
      <c r="A29" s="93"/>
      <c r="B29" s="92" t="s">
        <v>102</v>
      </c>
      <c r="C29" s="39"/>
      <c r="D29" s="39"/>
      <c r="E29" s="39"/>
      <c r="F29" s="39"/>
      <c r="G29" s="39"/>
      <c r="H29" s="39"/>
      <c r="I29" s="36"/>
    </row>
    <row r="30" spans="1:9" s="73" customFormat="1" ht="23.95" customHeight="1">
      <c r="A30" s="93"/>
      <c r="B30" s="73" t="s">
        <v>115</v>
      </c>
      <c r="C30" s="39"/>
      <c r="D30" s="39"/>
      <c r="E30" s="39"/>
      <c r="F30" s="39"/>
      <c r="G30" s="39"/>
      <c r="H30" s="39"/>
      <c r="I30" s="36"/>
    </row>
    <row r="31" spans="1:9" s="73" customFormat="1" ht="23.95" customHeight="1">
      <c r="A31" s="93"/>
      <c r="B31" s="92" t="s">
        <v>197</v>
      </c>
      <c r="C31" s="39"/>
      <c r="D31" s="39"/>
      <c r="E31" s="39"/>
      <c r="F31" s="39"/>
      <c r="G31" s="39"/>
      <c r="H31" s="39"/>
      <c r="I31" s="36"/>
    </row>
    <row r="32" spans="1:9" s="73" customFormat="1" ht="23.95" customHeight="1">
      <c r="A32" s="93"/>
      <c r="B32" s="92" t="s">
        <v>198</v>
      </c>
      <c r="C32" s="39"/>
      <c r="D32" s="39"/>
      <c r="E32" s="39"/>
      <c r="F32" s="39"/>
      <c r="G32" s="39"/>
      <c r="H32" s="39"/>
      <c r="I32" s="36"/>
    </row>
    <row r="33" spans="1:12" s="73" customFormat="1" ht="23.95" customHeight="1">
      <c r="A33" s="93"/>
      <c r="B33" s="92" t="s">
        <v>105</v>
      </c>
      <c r="C33" s="39"/>
      <c r="D33" s="39"/>
      <c r="E33" s="39"/>
      <c r="F33" s="39"/>
      <c r="G33" s="39"/>
      <c r="H33" s="39"/>
      <c r="I33" s="36"/>
    </row>
    <row r="34" spans="1:12" s="73" customFormat="1" ht="23.95" customHeight="1">
      <c r="A34" s="93"/>
      <c r="B34" s="106" t="s">
        <v>107</v>
      </c>
      <c r="C34" s="106"/>
      <c r="D34" s="106"/>
      <c r="E34" s="106"/>
      <c r="F34" s="106"/>
      <c r="G34" s="106"/>
      <c r="H34" s="106"/>
      <c r="I34" s="106"/>
      <c r="J34" s="106"/>
    </row>
    <row r="35" spans="1:12" s="73" customFormat="1" ht="23.95" customHeight="1">
      <c r="A35" s="93"/>
      <c r="B35" s="106" t="s">
        <v>108</v>
      </c>
      <c r="C35" s="106"/>
      <c r="D35" s="106"/>
      <c r="E35" s="106"/>
      <c r="F35" s="106"/>
      <c r="G35" s="106"/>
      <c r="H35" s="106"/>
      <c r="I35" s="106"/>
    </row>
    <row r="36" spans="1:12" s="73" customFormat="1" ht="23.95" customHeight="1">
      <c r="A36" s="93"/>
      <c r="B36" s="92" t="s">
        <v>109</v>
      </c>
      <c r="C36" s="39"/>
      <c r="D36" s="39"/>
      <c r="E36" s="39"/>
      <c r="F36" s="39"/>
      <c r="G36" s="39"/>
      <c r="H36" s="39"/>
      <c r="I36" s="36"/>
    </row>
    <row r="37" spans="1:12" s="73" customFormat="1" ht="23.95" customHeight="1">
      <c r="A37" s="93"/>
      <c r="B37" s="106" t="s">
        <v>178</v>
      </c>
      <c r="C37" s="106"/>
      <c r="D37" s="106"/>
      <c r="E37" s="106"/>
      <c r="F37" s="106"/>
      <c r="G37" s="106"/>
      <c r="H37" s="106"/>
      <c r="I37" s="106"/>
    </row>
    <row r="38" spans="1:12" s="73" customFormat="1" ht="23.95" customHeight="1">
      <c r="A38" s="93"/>
      <c r="B38" s="106" t="s">
        <v>179</v>
      </c>
      <c r="C38" s="106"/>
      <c r="D38" s="106"/>
      <c r="E38" s="106"/>
      <c r="F38" s="106"/>
      <c r="G38" s="106"/>
      <c r="H38" s="106"/>
      <c r="I38" s="106"/>
      <c r="J38" s="106"/>
      <c r="K38" s="106"/>
      <c r="L38" s="106"/>
    </row>
    <row r="39" spans="1:12" s="73" customFormat="1" ht="23.95" customHeight="1">
      <c r="A39" s="93"/>
      <c r="B39" s="92" t="s">
        <v>121</v>
      </c>
      <c r="C39" s="39"/>
      <c r="D39" s="39"/>
      <c r="E39" s="39"/>
      <c r="F39" s="39"/>
      <c r="G39" s="39"/>
      <c r="H39" s="39"/>
      <c r="I39" s="36"/>
    </row>
    <row r="40" spans="1:12" s="73" customFormat="1" ht="23.95" customHeight="1">
      <c r="A40" s="93"/>
      <c r="B40" s="92" t="s">
        <v>122</v>
      </c>
      <c r="C40" s="39"/>
      <c r="D40" s="39"/>
      <c r="E40" s="39"/>
      <c r="F40" s="39"/>
      <c r="G40" s="39"/>
      <c r="H40" s="39"/>
      <c r="I40" s="36"/>
    </row>
    <row r="41" spans="1:12" s="73" customFormat="1" ht="23.95" customHeight="1">
      <c r="A41" s="93"/>
      <c r="B41" s="92" t="s">
        <v>123</v>
      </c>
      <c r="C41" s="39"/>
      <c r="D41" s="39"/>
      <c r="E41" s="39"/>
      <c r="F41" s="39"/>
      <c r="G41" s="39"/>
      <c r="H41" s="39"/>
      <c r="I41" s="36"/>
    </row>
    <row r="42" spans="1:12" s="73" customFormat="1" ht="23.95" customHeight="1">
      <c r="A42" s="93"/>
      <c r="B42" s="92" t="s">
        <v>124</v>
      </c>
      <c r="C42" s="39"/>
      <c r="D42" s="39"/>
      <c r="E42" s="39"/>
      <c r="F42" s="39"/>
      <c r="G42" s="39"/>
      <c r="H42" s="39"/>
      <c r="I42" s="36"/>
    </row>
    <row r="43" spans="1:12" s="73" customFormat="1" ht="23.95" customHeight="1">
      <c r="A43" s="93"/>
      <c r="B43" s="92" t="s">
        <v>129</v>
      </c>
      <c r="C43" s="39"/>
      <c r="D43" s="39"/>
      <c r="E43" s="39"/>
      <c r="F43" s="39"/>
      <c r="G43" s="39"/>
      <c r="H43" s="39"/>
      <c r="I43" s="36"/>
    </row>
    <row r="44" spans="1:12" s="73" customFormat="1" ht="23.95" customHeight="1">
      <c r="A44" s="93"/>
      <c r="B44" s="92" t="s">
        <v>180</v>
      </c>
      <c r="C44" s="39"/>
      <c r="D44" s="39"/>
      <c r="E44" s="39"/>
      <c r="F44" s="39"/>
      <c r="G44" s="39"/>
      <c r="H44" s="39"/>
      <c r="I44" s="36"/>
    </row>
    <row r="45" spans="1:12" s="73" customFormat="1" ht="23.95" customHeight="1">
      <c r="A45" s="93"/>
      <c r="B45" s="92" t="s">
        <v>168</v>
      </c>
      <c r="C45" s="92"/>
      <c r="D45" s="92"/>
      <c r="E45" s="92"/>
      <c r="F45" s="92"/>
      <c r="G45" s="92"/>
      <c r="H45" s="92"/>
      <c r="I45" s="92"/>
      <c r="J45" s="92"/>
    </row>
    <row r="46" spans="1:12" s="73" customFormat="1" ht="23.95" customHeight="1">
      <c r="A46" s="93"/>
      <c r="B46" s="106" t="s">
        <v>130</v>
      </c>
      <c r="C46" s="106"/>
      <c r="D46" s="106"/>
      <c r="E46" s="106"/>
      <c r="F46" s="39"/>
      <c r="G46" s="39"/>
      <c r="H46" s="39"/>
      <c r="I46" s="36"/>
    </row>
    <row r="47" spans="1:12" s="73" customFormat="1" ht="23.95" customHeight="1">
      <c r="A47" s="93"/>
      <c r="B47" s="92" t="s">
        <v>131</v>
      </c>
      <c r="C47" s="39"/>
      <c r="D47" s="39"/>
      <c r="E47" s="39"/>
      <c r="F47" s="39"/>
      <c r="G47" s="39"/>
      <c r="H47" s="39"/>
      <c r="I47" s="36"/>
    </row>
    <row r="48" spans="1:12" s="73" customFormat="1" ht="23.95" customHeight="1">
      <c r="A48" s="93"/>
      <c r="B48" s="92" t="s">
        <v>140</v>
      </c>
      <c r="C48" s="39"/>
      <c r="D48" s="39"/>
      <c r="E48" s="39"/>
      <c r="F48" s="39"/>
      <c r="G48" s="39"/>
      <c r="H48" s="39"/>
      <c r="I48" s="36"/>
    </row>
    <row r="49" spans="1:11" s="73" customFormat="1" ht="23.95" customHeight="1">
      <c r="A49" s="93"/>
      <c r="B49" s="92"/>
      <c r="C49" s="39"/>
      <c r="D49" s="39"/>
      <c r="E49" s="39"/>
      <c r="F49" s="39"/>
      <c r="G49" s="39"/>
      <c r="H49" s="39"/>
      <c r="I49" s="36"/>
    </row>
    <row r="50" spans="1:11" s="73" customFormat="1" ht="23.95" customHeight="1">
      <c r="A50" s="75"/>
      <c r="B50" s="41" t="s">
        <v>55</v>
      </c>
      <c r="C50" s="40"/>
      <c r="D50" s="40"/>
      <c r="E50" s="40"/>
      <c r="F50" s="40"/>
      <c r="G50" s="40"/>
      <c r="H50" s="40"/>
    </row>
    <row r="51" spans="1:11" s="73" customFormat="1" ht="23.95" customHeight="1">
      <c r="A51" s="75"/>
      <c r="B51" s="36" t="s">
        <v>112</v>
      </c>
      <c r="C51" s="40"/>
      <c r="D51" s="40"/>
      <c r="E51" s="40"/>
      <c r="F51" s="40"/>
      <c r="G51" s="40"/>
      <c r="H51" s="40"/>
    </row>
    <row r="52" spans="1:11" s="43" customFormat="1" ht="23.95" customHeight="1">
      <c r="A52" s="36"/>
      <c r="B52" s="36" t="s">
        <v>99</v>
      </c>
      <c r="C52" s="39"/>
      <c r="D52" s="39"/>
      <c r="E52" s="39"/>
      <c r="F52" s="39"/>
      <c r="G52" s="39"/>
      <c r="H52" s="39"/>
      <c r="I52" s="36"/>
    </row>
    <row r="53" spans="1:11" s="43" customFormat="1" ht="23.95" customHeight="1">
      <c r="A53" s="36"/>
      <c r="B53" s="36" t="s">
        <v>120</v>
      </c>
      <c r="C53" s="39"/>
      <c r="D53" s="39"/>
      <c r="E53" s="39"/>
      <c r="F53" s="39"/>
      <c r="G53" s="39"/>
      <c r="H53" s="39"/>
      <c r="I53" s="36"/>
    </row>
    <row r="54" spans="1:11" s="43" customFormat="1" ht="23.95" customHeight="1">
      <c r="A54" s="36"/>
      <c r="B54" s="36" t="s">
        <v>126</v>
      </c>
      <c r="C54" s="39"/>
      <c r="D54" s="39"/>
      <c r="E54" s="39"/>
      <c r="F54" s="39"/>
      <c r="G54" s="39"/>
      <c r="H54" s="39"/>
      <c r="I54" s="36"/>
    </row>
    <row r="55" spans="1:11" s="43" customFormat="1" ht="23.95" customHeight="1">
      <c r="A55" s="36"/>
      <c r="B55" s="35" t="s">
        <v>164</v>
      </c>
      <c r="C55" s="35"/>
      <c r="D55" s="35"/>
      <c r="E55" s="35"/>
      <c r="F55" s="35"/>
      <c r="G55" s="35"/>
      <c r="H55" s="35"/>
      <c r="I55" s="35"/>
      <c r="J55" s="35"/>
      <c r="K55" s="35"/>
    </row>
    <row r="56" spans="1:11" s="43" customFormat="1" ht="23.95" customHeight="1">
      <c r="A56" s="36"/>
      <c r="B56" s="108" t="s">
        <v>191</v>
      </c>
      <c r="C56" s="108"/>
      <c r="D56" s="108"/>
      <c r="E56" s="108"/>
      <c r="F56" s="108"/>
      <c r="G56" s="108"/>
      <c r="H56" s="108"/>
      <c r="I56" s="36"/>
    </row>
    <row r="57" spans="1:11" s="43" customFormat="1" ht="23.95" customHeight="1">
      <c r="A57" s="36"/>
      <c r="B57" s="36"/>
      <c r="C57" s="39"/>
      <c r="D57" s="39"/>
      <c r="E57" s="39"/>
      <c r="F57" s="39"/>
      <c r="G57" s="39"/>
      <c r="H57" s="39"/>
      <c r="I57" s="36"/>
    </row>
    <row r="58" spans="1:11" ht="23.95" customHeight="1">
      <c r="A58" s="59"/>
      <c r="B58" s="51" t="s">
        <v>56</v>
      </c>
      <c r="C58" s="51"/>
      <c r="D58" s="51"/>
      <c r="E58" s="51"/>
      <c r="F58" s="38"/>
      <c r="G58" s="38"/>
      <c r="H58" s="38"/>
      <c r="I58" s="43"/>
    </row>
    <row r="59" spans="1:11" ht="23.95" customHeight="1">
      <c r="A59" s="73"/>
      <c r="B59" s="35" t="s">
        <v>192</v>
      </c>
      <c r="C59" s="35"/>
      <c r="D59" s="40"/>
      <c r="E59" s="42"/>
      <c r="F59" s="42"/>
      <c r="G59" s="42"/>
      <c r="H59" s="42"/>
      <c r="I59" s="73"/>
    </row>
    <row r="60" spans="1:11" ht="23.95" customHeight="1">
      <c r="A60" s="73"/>
      <c r="B60" s="36" t="s">
        <v>127</v>
      </c>
      <c r="C60" s="35"/>
      <c r="D60" s="40"/>
      <c r="E60" s="42"/>
      <c r="F60" s="42"/>
      <c r="G60" s="42"/>
      <c r="H60" s="42"/>
      <c r="I60" s="73"/>
    </row>
    <row r="61" spans="1:11" ht="23.95" customHeight="1">
      <c r="A61" s="73"/>
      <c r="B61" s="35" t="s">
        <v>114</v>
      </c>
      <c r="C61" s="35"/>
      <c r="D61" s="40"/>
      <c r="E61" s="42"/>
      <c r="F61" s="42"/>
      <c r="G61" s="42"/>
      <c r="H61" s="42"/>
      <c r="I61" s="73"/>
    </row>
    <row r="62" spans="1:11" ht="23.95" customHeight="1">
      <c r="A62" s="73"/>
      <c r="B62" s="35" t="s">
        <v>110</v>
      </c>
      <c r="C62" s="35"/>
      <c r="D62" s="40"/>
      <c r="E62" s="42"/>
      <c r="F62" s="42"/>
      <c r="G62" s="42"/>
      <c r="H62" s="42"/>
      <c r="I62" s="73"/>
    </row>
    <row r="63" spans="1:11" ht="23.95" customHeight="1">
      <c r="A63" s="73"/>
      <c r="B63" s="35" t="s">
        <v>169</v>
      </c>
      <c r="C63" s="35"/>
      <c r="D63" s="40"/>
      <c r="E63" s="42"/>
      <c r="F63" s="42"/>
      <c r="G63" s="42"/>
      <c r="H63" s="42"/>
      <c r="I63" s="73"/>
    </row>
    <row r="64" spans="1:11" ht="23.95" customHeight="1">
      <c r="A64" s="73"/>
      <c r="B64" s="35" t="s">
        <v>111</v>
      </c>
      <c r="C64" s="35"/>
      <c r="D64" s="40"/>
      <c r="E64" s="42"/>
      <c r="F64" s="42"/>
      <c r="G64" s="42"/>
      <c r="H64" s="42"/>
      <c r="I64" s="73"/>
    </row>
    <row r="65" spans="1:9" ht="23.95" customHeight="1">
      <c r="A65" s="73"/>
      <c r="B65" s="35" t="s">
        <v>116</v>
      </c>
      <c r="C65" s="35"/>
      <c r="D65" s="40"/>
      <c r="E65" s="42"/>
      <c r="F65" s="42"/>
      <c r="G65" s="42"/>
      <c r="H65" s="42"/>
      <c r="I65" s="73"/>
    </row>
    <row r="66" spans="1:9" ht="23.95" customHeight="1">
      <c r="A66" s="73"/>
      <c r="B66" s="35" t="s">
        <v>170</v>
      </c>
      <c r="C66" s="35"/>
      <c r="D66" s="40"/>
      <c r="E66" s="42"/>
      <c r="F66" s="42"/>
      <c r="G66" s="42"/>
      <c r="H66" s="42"/>
      <c r="I66" s="73"/>
    </row>
    <row r="67" spans="1:9" ht="23.95" customHeight="1">
      <c r="A67" s="73"/>
      <c r="B67" s="35" t="s">
        <v>103</v>
      </c>
      <c r="C67" s="35"/>
      <c r="D67" s="40"/>
      <c r="E67" s="42"/>
      <c r="F67" s="42"/>
      <c r="G67" s="42"/>
      <c r="H67" s="42"/>
      <c r="I67" s="73"/>
    </row>
    <row r="68" spans="1:9" ht="23.95" customHeight="1">
      <c r="A68" s="73"/>
      <c r="B68" s="35" t="s">
        <v>167</v>
      </c>
      <c r="C68" s="35"/>
      <c r="D68" s="40"/>
      <c r="E68" s="42"/>
      <c r="F68" s="42"/>
      <c r="G68" s="42"/>
      <c r="H68" s="42"/>
      <c r="I68" s="73"/>
    </row>
    <row r="69" spans="1:9" ht="23.95" customHeight="1">
      <c r="A69" s="73"/>
      <c r="C69" s="35"/>
      <c r="D69" s="40"/>
      <c r="E69" s="42"/>
      <c r="F69" s="42"/>
      <c r="G69" s="42"/>
      <c r="H69" s="42"/>
      <c r="I69" s="73"/>
    </row>
    <row r="70" spans="1:9" ht="23.95" customHeight="1">
      <c r="A70" s="71" t="s">
        <v>57</v>
      </c>
      <c r="B70" s="35"/>
      <c r="C70" s="38"/>
      <c r="D70" s="38"/>
      <c r="E70" s="38"/>
      <c r="F70" s="38"/>
      <c r="G70" s="38"/>
      <c r="H70" s="38"/>
    </row>
    <row r="71" spans="1:9" s="73" customFormat="1" ht="23.95" customHeight="1">
      <c r="B71" s="41" t="s">
        <v>54</v>
      </c>
    </row>
    <row r="72" spans="1:9" s="73" customFormat="1" ht="23.95" customHeight="1">
      <c r="B72" s="73" t="s">
        <v>171</v>
      </c>
    </row>
    <row r="73" spans="1:9" s="73" customFormat="1" ht="23.95" customHeight="1">
      <c r="B73" s="73" t="s">
        <v>162</v>
      </c>
    </row>
    <row r="74" spans="1:9" s="73" customFormat="1" ht="23.95" customHeight="1">
      <c r="B74" s="73" t="s">
        <v>147</v>
      </c>
    </row>
    <row r="75" spans="1:9" ht="23.95" customHeight="1">
      <c r="A75" s="73"/>
      <c r="B75" s="73" t="s">
        <v>141</v>
      </c>
      <c r="C75" s="42"/>
      <c r="D75" s="42"/>
      <c r="E75" s="42"/>
      <c r="F75" s="42"/>
      <c r="G75" s="42"/>
      <c r="H75" s="42"/>
      <c r="I75" s="73"/>
    </row>
    <row r="76" spans="1:9" ht="23.95" customHeight="1">
      <c r="A76" s="73"/>
      <c r="B76" s="73" t="s">
        <v>134</v>
      </c>
      <c r="C76" s="42"/>
      <c r="D76" s="42"/>
      <c r="E76" s="42"/>
      <c r="F76" s="42"/>
      <c r="G76" s="42"/>
      <c r="H76" s="42"/>
      <c r="I76" s="73"/>
    </row>
    <row r="77" spans="1:9" ht="23.95" customHeight="1">
      <c r="A77" s="73"/>
      <c r="B77" s="36" t="s">
        <v>181</v>
      </c>
      <c r="C77" s="42"/>
      <c r="D77" s="42"/>
      <c r="E77" s="42"/>
      <c r="F77" s="42"/>
      <c r="G77" s="42"/>
      <c r="H77" s="42"/>
      <c r="I77" s="73"/>
    </row>
    <row r="78" spans="1:9" ht="23.95" customHeight="1">
      <c r="A78" s="73"/>
      <c r="B78" s="73" t="s">
        <v>142</v>
      </c>
      <c r="C78" s="42"/>
      <c r="D78" s="42"/>
      <c r="E78" s="42"/>
      <c r="F78" s="42"/>
      <c r="G78" s="42"/>
      <c r="H78" s="42"/>
      <c r="I78" s="73"/>
    </row>
    <row r="79" spans="1:9" ht="23.95" customHeight="1">
      <c r="A79" s="73"/>
      <c r="B79" s="35" t="s">
        <v>143</v>
      </c>
      <c r="C79" s="42"/>
      <c r="D79" s="42"/>
      <c r="E79" s="42"/>
      <c r="F79" s="42"/>
      <c r="G79" s="42"/>
      <c r="H79" s="42"/>
      <c r="I79" s="73"/>
    </row>
    <row r="80" spans="1:9" ht="23.95" customHeight="1">
      <c r="A80" s="73"/>
      <c r="B80" s="73" t="s">
        <v>145</v>
      </c>
      <c r="C80" s="42"/>
      <c r="D80" s="42"/>
      <c r="E80" s="42"/>
      <c r="F80" s="42"/>
      <c r="G80" s="42"/>
      <c r="H80" s="42"/>
      <c r="I80" s="73"/>
    </row>
    <row r="81" spans="1:11" ht="23.95" customHeight="1">
      <c r="A81" s="73"/>
      <c r="B81" s="36" t="s">
        <v>149</v>
      </c>
      <c r="C81" s="42"/>
      <c r="D81" s="42"/>
      <c r="E81" s="42"/>
      <c r="F81" s="42"/>
      <c r="G81" s="42"/>
      <c r="H81" s="42"/>
      <c r="I81" s="73"/>
    </row>
    <row r="82" spans="1:11" ht="23.95" customHeight="1">
      <c r="A82" s="73"/>
      <c r="B82" s="73" t="s">
        <v>150</v>
      </c>
      <c r="C82" s="42"/>
      <c r="D82" s="42"/>
      <c r="E82" s="42"/>
      <c r="F82" s="42"/>
      <c r="G82" s="42"/>
      <c r="H82" s="42"/>
      <c r="I82" s="73"/>
    </row>
    <row r="83" spans="1:11" ht="23.95" customHeight="1">
      <c r="A83" s="73"/>
      <c r="B83" s="73" t="s">
        <v>146</v>
      </c>
      <c r="C83" s="42"/>
      <c r="D83" s="42"/>
      <c r="E83" s="42"/>
      <c r="F83" s="42"/>
      <c r="G83" s="42"/>
      <c r="H83" s="42"/>
      <c r="I83" s="73"/>
    </row>
    <row r="84" spans="1:11" ht="23.95" customHeight="1">
      <c r="A84" s="73"/>
      <c r="B84" s="73" t="s">
        <v>151</v>
      </c>
      <c r="C84" s="42"/>
      <c r="D84" s="42"/>
      <c r="E84" s="42"/>
      <c r="F84" s="42"/>
      <c r="G84" s="42"/>
      <c r="H84" s="42"/>
      <c r="I84" s="73"/>
    </row>
    <row r="85" spans="1:11" ht="23.95" customHeight="1">
      <c r="A85" s="73"/>
      <c r="B85" s="73" t="s">
        <v>153</v>
      </c>
      <c r="C85" s="42"/>
      <c r="D85" s="42"/>
      <c r="E85" s="42"/>
      <c r="F85" s="42"/>
      <c r="G85" s="42"/>
      <c r="H85" s="42"/>
      <c r="I85" s="73"/>
    </row>
    <row r="86" spans="1:11" ht="23.95" customHeight="1">
      <c r="A86" s="73"/>
      <c r="B86" s="73" t="s">
        <v>155</v>
      </c>
      <c r="C86" s="42"/>
      <c r="D86" s="42"/>
      <c r="E86" s="42"/>
      <c r="F86" s="42"/>
      <c r="G86" s="42"/>
      <c r="H86" s="42"/>
      <c r="I86" s="73"/>
    </row>
    <row r="87" spans="1:11" ht="23.95" customHeight="1">
      <c r="A87" s="73"/>
      <c r="B87" s="73" t="s">
        <v>182</v>
      </c>
      <c r="C87" s="42"/>
      <c r="D87" s="42"/>
      <c r="E87" s="42"/>
      <c r="F87" s="42"/>
      <c r="G87" s="42"/>
      <c r="H87" s="42"/>
      <c r="I87" s="73"/>
    </row>
    <row r="88" spans="1:11" ht="23.95" customHeight="1">
      <c r="A88" s="73"/>
      <c r="B88" s="73" t="s">
        <v>157</v>
      </c>
      <c r="C88" s="42"/>
      <c r="D88" s="42"/>
      <c r="E88" s="42"/>
      <c r="F88" s="42"/>
      <c r="G88" s="42"/>
      <c r="H88" s="42"/>
      <c r="I88" s="73"/>
    </row>
    <row r="89" spans="1:11" ht="23.95" customHeight="1">
      <c r="A89" s="73"/>
      <c r="B89" s="109" t="s">
        <v>172</v>
      </c>
      <c r="C89" s="109"/>
      <c r="D89" s="109"/>
      <c r="E89" s="109"/>
      <c r="F89" s="109"/>
      <c r="G89" s="109"/>
      <c r="H89" s="109"/>
      <c r="I89" s="109"/>
      <c r="J89" s="109"/>
    </row>
    <row r="90" spans="1:11" ht="23.95" customHeight="1">
      <c r="A90" s="73"/>
      <c r="B90" s="107" t="s">
        <v>183</v>
      </c>
      <c r="C90" s="107"/>
      <c r="D90" s="107"/>
      <c r="E90" s="107"/>
      <c r="F90" s="107"/>
      <c r="G90" s="107"/>
      <c r="H90" s="107"/>
      <c r="I90" s="107"/>
    </row>
    <row r="91" spans="1:11" ht="23.95" customHeight="1">
      <c r="A91" s="73"/>
      <c r="B91" s="73" t="s">
        <v>193</v>
      </c>
      <c r="C91" s="42"/>
      <c r="D91" s="42"/>
      <c r="E91" s="42"/>
      <c r="F91" s="42"/>
      <c r="G91" s="42"/>
      <c r="H91" s="42"/>
      <c r="I91" s="73"/>
    </row>
    <row r="92" spans="1:11" ht="23.95" customHeight="1">
      <c r="A92" s="73"/>
      <c r="B92" s="35" t="s">
        <v>174</v>
      </c>
      <c r="C92" s="95"/>
      <c r="D92" s="95"/>
      <c r="E92" s="95"/>
      <c r="F92" s="95"/>
      <c r="G92" s="95"/>
      <c r="H92" s="95"/>
      <c r="I92" s="95"/>
      <c r="J92" s="95"/>
      <c r="K92" s="95"/>
    </row>
    <row r="93" spans="1:11" ht="23.95" customHeight="1">
      <c r="A93" s="73"/>
      <c r="B93" s="35" t="s">
        <v>199</v>
      </c>
      <c r="C93" s="95"/>
      <c r="D93" s="95"/>
      <c r="E93" s="95"/>
      <c r="F93" s="95"/>
      <c r="G93" s="95"/>
      <c r="H93" s="95"/>
      <c r="I93" s="95"/>
      <c r="J93" s="95"/>
      <c r="K93" s="95"/>
    </row>
    <row r="94" spans="1:11" ht="23.95" customHeight="1">
      <c r="A94" s="73"/>
      <c r="B94" s="35" t="s">
        <v>200</v>
      </c>
      <c r="C94" s="95"/>
      <c r="D94" s="95"/>
      <c r="E94" s="95"/>
      <c r="F94" s="95"/>
      <c r="G94" s="95"/>
      <c r="H94" s="95"/>
      <c r="I94" s="95"/>
      <c r="J94" s="95"/>
      <c r="K94" s="95"/>
    </row>
    <row r="95" spans="1:11" ht="23.95" customHeight="1">
      <c r="A95" s="73"/>
      <c r="B95" s="35"/>
      <c r="C95" s="95"/>
      <c r="D95" s="95"/>
      <c r="E95" s="95"/>
      <c r="F95" s="95"/>
      <c r="G95" s="95"/>
      <c r="H95" s="95"/>
      <c r="I95" s="95"/>
      <c r="J95" s="95"/>
      <c r="K95" s="95"/>
    </row>
    <row r="96" spans="1:11" s="75" customFormat="1" ht="23.95" customHeight="1">
      <c r="B96" s="45" t="s">
        <v>55</v>
      </c>
      <c r="C96" s="72"/>
      <c r="D96" s="72"/>
      <c r="E96" s="42"/>
      <c r="F96" s="42"/>
      <c r="G96" s="42"/>
      <c r="H96" s="42"/>
      <c r="I96" s="72"/>
    </row>
    <row r="97" spans="2:9" s="75" customFormat="1" ht="23.95" customHeight="1">
      <c r="B97" s="35" t="s">
        <v>166</v>
      </c>
      <c r="C97" s="72"/>
      <c r="D97" s="72"/>
      <c r="E97" s="42"/>
      <c r="F97" s="42"/>
      <c r="G97" s="42"/>
      <c r="H97" s="42"/>
      <c r="I97" s="72"/>
    </row>
    <row r="98" spans="2:9" s="75" customFormat="1" ht="23.95" customHeight="1">
      <c r="B98" s="35" t="s">
        <v>136</v>
      </c>
      <c r="C98" s="40"/>
      <c r="D98" s="40"/>
      <c r="E98" s="40"/>
      <c r="F98" s="40"/>
      <c r="G98" s="40"/>
      <c r="H98" s="40"/>
    </row>
    <row r="99" spans="2:9" s="75" customFormat="1" ht="23.95" customHeight="1">
      <c r="B99" s="35" t="s">
        <v>185</v>
      </c>
      <c r="C99" s="40"/>
      <c r="D99" s="40"/>
      <c r="E99" s="40"/>
      <c r="F99" s="40"/>
      <c r="G99" s="40"/>
      <c r="H99" s="40"/>
    </row>
    <row r="100" spans="2:9" s="75" customFormat="1" ht="23.95" customHeight="1">
      <c r="B100" s="35" t="s">
        <v>156</v>
      </c>
      <c r="C100" s="40"/>
      <c r="D100" s="40"/>
      <c r="E100" s="40"/>
      <c r="F100" s="40"/>
      <c r="G100" s="40"/>
      <c r="H100" s="40"/>
    </row>
    <row r="101" spans="2:9" s="75" customFormat="1" ht="23.95" customHeight="1">
      <c r="B101" s="35" t="s">
        <v>138</v>
      </c>
      <c r="C101" s="40"/>
      <c r="D101" s="40"/>
      <c r="E101" s="40"/>
      <c r="F101" s="40"/>
      <c r="G101" s="40"/>
      <c r="H101" s="40"/>
    </row>
    <row r="102" spans="2:9" s="75" customFormat="1" ht="23.95" customHeight="1">
      <c r="B102" s="73" t="s">
        <v>194</v>
      </c>
      <c r="C102" s="40"/>
      <c r="D102" s="40"/>
      <c r="E102" s="40"/>
      <c r="F102" s="40"/>
      <c r="G102" s="40"/>
      <c r="H102" s="40"/>
    </row>
    <row r="103" spans="2:9" s="75" customFormat="1" ht="23.95" customHeight="1">
      <c r="B103" s="35" t="s">
        <v>144</v>
      </c>
      <c r="C103" s="40"/>
      <c r="D103" s="40"/>
      <c r="E103" s="40"/>
      <c r="F103" s="40"/>
      <c r="G103" s="40"/>
      <c r="H103" s="40"/>
    </row>
    <row r="104" spans="2:9" s="75" customFormat="1" ht="23.95" customHeight="1">
      <c r="B104" s="35" t="s">
        <v>175</v>
      </c>
      <c r="C104" s="40"/>
      <c r="D104" s="40"/>
      <c r="E104" s="40"/>
      <c r="F104" s="40"/>
      <c r="G104" s="40"/>
      <c r="H104" s="40"/>
    </row>
    <row r="105" spans="2:9" s="75" customFormat="1" ht="23.95" customHeight="1">
      <c r="C105" s="40"/>
      <c r="D105" s="40"/>
      <c r="E105" s="40"/>
      <c r="F105" s="40"/>
      <c r="G105" s="40"/>
      <c r="H105" s="40"/>
    </row>
    <row r="106" spans="2:9" s="75" customFormat="1" ht="23.95" customHeight="1">
      <c r="B106" s="48" t="s">
        <v>56</v>
      </c>
      <c r="C106" s="40"/>
      <c r="D106" s="40"/>
      <c r="E106" s="40"/>
      <c r="F106" s="40"/>
      <c r="G106" s="40"/>
      <c r="H106" s="40"/>
    </row>
    <row r="107" spans="2:9" s="75" customFormat="1" ht="23.95" customHeight="1">
      <c r="B107" s="35" t="s">
        <v>186</v>
      </c>
      <c r="C107" s="40"/>
      <c r="D107" s="40"/>
      <c r="E107" s="40"/>
      <c r="F107" s="40"/>
      <c r="G107" s="40"/>
      <c r="H107" s="40"/>
    </row>
    <row r="108" spans="2:9" s="75" customFormat="1" ht="23.95" customHeight="1">
      <c r="B108" s="95" t="s">
        <v>135</v>
      </c>
      <c r="C108" s="40"/>
      <c r="D108" s="40"/>
      <c r="E108" s="40"/>
      <c r="F108" s="40"/>
      <c r="G108" s="40"/>
      <c r="H108" s="40"/>
    </row>
    <row r="109" spans="2:9" s="75" customFormat="1" ht="23.95" customHeight="1">
      <c r="B109" s="95" t="s">
        <v>187</v>
      </c>
      <c r="C109" s="40"/>
      <c r="D109" s="40"/>
      <c r="E109" s="40"/>
      <c r="F109" s="40"/>
      <c r="G109" s="40"/>
      <c r="H109" s="40"/>
    </row>
    <row r="110" spans="2:9" s="75" customFormat="1" ht="23.95" customHeight="1">
      <c r="B110" s="95" t="s">
        <v>137</v>
      </c>
      <c r="C110" s="40"/>
      <c r="D110" s="40"/>
      <c r="E110" s="40"/>
      <c r="F110" s="40"/>
      <c r="G110" s="40"/>
      <c r="H110" s="40"/>
    </row>
    <row r="111" spans="2:9" s="75" customFormat="1" ht="23.95" customHeight="1">
      <c r="B111" s="95" t="s">
        <v>176</v>
      </c>
      <c r="C111" s="40"/>
      <c r="D111" s="40"/>
      <c r="E111" s="40"/>
      <c r="F111" s="40"/>
      <c r="G111" s="40"/>
      <c r="H111" s="40"/>
    </row>
    <row r="112" spans="2:9" s="75" customFormat="1" ht="23.95" customHeight="1">
      <c r="B112" s="73" t="s">
        <v>139</v>
      </c>
      <c r="C112" s="37"/>
      <c r="D112" s="37"/>
      <c r="E112" s="37"/>
      <c r="F112" s="37"/>
      <c r="G112" s="37"/>
      <c r="H112" s="37"/>
    </row>
    <row r="113" spans="1:11" s="75" customFormat="1" ht="23.95" customHeight="1">
      <c r="B113" s="35" t="s">
        <v>148</v>
      </c>
      <c r="C113" s="37"/>
      <c r="D113" s="37"/>
      <c r="E113" s="37"/>
      <c r="F113" s="37"/>
      <c r="G113" s="37"/>
      <c r="H113" s="37"/>
    </row>
    <row r="114" spans="1:11" s="75" customFormat="1" ht="23.95" customHeight="1">
      <c r="B114" s="38" t="s">
        <v>152</v>
      </c>
      <c r="C114" s="40"/>
      <c r="D114" s="40"/>
      <c r="E114" s="40"/>
      <c r="F114" s="40"/>
      <c r="G114" s="40"/>
      <c r="H114" s="40"/>
    </row>
    <row r="115" spans="1:11" s="75" customFormat="1" ht="23.95" customHeight="1">
      <c r="B115" s="35" t="s">
        <v>154</v>
      </c>
      <c r="C115" s="40"/>
      <c r="D115" s="40"/>
      <c r="E115" s="40"/>
      <c r="F115" s="40"/>
      <c r="G115" s="40"/>
      <c r="H115" s="40"/>
    </row>
    <row r="116" spans="1:11" s="75" customFormat="1" ht="23.95" customHeight="1">
      <c r="A116" s="73"/>
      <c r="B116" s="35" t="s">
        <v>159</v>
      </c>
      <c r="C116" s="40"/>
      <c r="D116" s="40"/>
      <c r="E116" s="40"/>
      <c r="F116" s="40"/>
      <c r="G116" s="40"/>
      <c r="H116" s="40"/>
    </row>
    <row r="117" spans="1:11" ht="23.95" customHeight="1">
      <c r="A117" s="73"/>
      <c r="B117" s="73" t="s">
        <v>158</v>
      </c>
      <c r="C117" s="40"/>
      <c r="D117" s="40"/>
      <c r="E117" s="40"/>
      <c r="F117" s="40"/>
      <c r="G117" s="40"/>
      <c r="H117" s="40"/>
      <c r="I117" s="75"/>
    </row>
    <row r="118" spans="1:11" s="73" customFormat="1" ht="23.95" customHeight="1">
      <c r="B118" s="35" t="s">
        <v>161</v>
      </c>
      <c r="C118" s="46"/>
      <c r="D118" s="46"/>
      <c r="E118" s="49"/>
      <c r="F118" s="49"/>
      <c r="G118" s="49"/>
      <c r="H118" s="46"/>
      <c r="I118" s="36"/>
    </row>
    <row r="119" spans="1:11" s="73" customFormat="1" ht="23.95" customHeight="1">
      <c r="A119" s="75"/>
      <c r="B119" s="36" t="s">
        <v>160</v>
      </c>
      <c r="C119" s="42"/>
      <c r="D119" s="42"/>
      <c r="E119" s="42"/>
      <c r="F119" s="42"/>
      <c r="G119" s="42"/>
      <c r="H119" s="42"/>
    </row>
    <row r="120" spans="1:11" s="75" customFormat="1" ht="23.95" customHeight="1">
      <c r="A120" s="73"/>
      <c r="B120" s="73" t="s">
        <v>163</v>
      </c>
      <c r="C120" s="42"/>
      <c r="D120" s="42"/>
      <c r="E120" s="42"/>
      <c r="F120" s="42"/>
      <c r="G120" s="42"/>
      <c r="H120" s="42"/>
      <c r="I120" s="73"/>
    </row>
    <row r="121" spans="1:11" s="75" customFormat="1" ht="23.95" customHeight="1">
      <c r="A121" s="73"/>
      <c r="B121" s="73" t="s">
        <v>188</v>
      </c>
      <c r="C121" s="40"/>
      <c r="D121" s="40"/>
      <c r="E121" s="40"/>
      <c r="F121" s="40"/>
      <c r="G121" s="40"/>
      <c r="H121" s="40"/>
    </row>
    <row r="122" spans="1:11" s="73" customFormat="1" ht="23.95" customHeight="1">
      <c r="B122" s="73" t="s">
        <v>165</v>
      </c>
      <c r="C122" s="42"/>
      <c r="D122" s="40"/>
      <c r="E122" s="40"/>
      <c r="F122" s="40"/>
      <c r="G122" s="40"/>
      <c r="H122" s="40"/>
      <c r="I122" s="75"/>
    </row>
    <row r="123" spans="1:11" s="73" customFormat="1" ht="23.95" customHeight="1">
      <c r="B123" s="35" t="s">
        <v>177</v>
      </c>
      <c r="C123" s="42"/>
      <c r="D123" s="42"/>
      <c r="E123" s="42"/>
      <c r="F123" s="42"/>
      <c r="G123" s="42"/>
      <c r="H123" s="42"/>
    </row>
    <row r="124" spans="1:11" s="73" customFormat="1" ht="23.95" customHeight="1">
      <c r="A124" s="75"/>
      <c r="B124" s="73" t="s">
        <v>173</v>
      </c>
      <c r="C124" s="42"/>
      <c r="D124" s="42"/>
      <c r="E124" s="42"/>
      <c r="F124" s="42"/>
      <c r="G124" s="42"/>
      <c r="H124" s="42"/>
      <c r="J124" s="36"/>
      <c r="K124" s="36"/>
    </row>
    <row r="125" spans="1:11" s="73" customFormat="1" ht="23.95" customHeight="1">
      <c r="B125" s="109" t="s">
        <v>184</v>
      </c>
      <c r="C125" s="109"/>
      <c r="D125" s="109"/>
      <c r="E125" s="109"/>
      <c r="F125" s="109"/>
      <c r="G125" s="109"/>
      <c r="H125" s="109"/>
      <c r="I125" s="109"/>
      <c r="J125" s="109"/>
      <c r="K125" s="109"/>
    </row>
    <row r="126" spans="1:11" s="75" customFormat="1" ht="23.95" customHeight="1">
      <c r="A126" s="73"/>
      <c r="B126" s="47"/>
      <c r="C126" s="42"/>
      <c r="D126" s="42"/>
      <c r="E126" s="42"/>
      <c r="F126" s="42"/>
      <c r="G126" s="42"/>
      <c r="H126" s="42"/>
      <c r="I126" s="73"/>
    </row>
    <row r="127" spans="1:11" s="73" customFormat="1" ht="23.95" customHeight="1">
      <c r="B127" s="44"/>
      <c r="C127" s="42"/>
      <c r="D127" s="42"/>
      <c r="E127" s="42"/>
      <c r="F127" s="42"/>
      <c r="G127" s="42"/>
      <c r="H127" s="42"/>
    </row>
    <row r="128" spans="1:11" s="73" customFormat="1" ht="23.95" customHeight="1">
      <c r="B128" s="44"/>
      <c r="C128" s="42"/>
      <c r="D128" s="42"/>
      <c r="E128" s="42"/>
      <c r="F128" s="42"/>
      <c r="G128" s="42"/>
      <c r="H128" s="42"/>
    </row>
    <row r="129" spans="1:8" s="73" customFormat="1" ht="23.95" customHeight="1">
      <c r="B129" s="47"/>
      <c r="C129" s="42"/>
      <c r="D129" s="42"/>
      <c r="E129" s="42"/>
      <c r="F129" s="42"/>
      <c r="G129" s="42"/>
      <c r="H129" s="42"/>
    </row>
    <row r="130" spans="1:8" s="73" customFormat="1" ht="23.95" customHeight="1">
      <c r="B130" s="47"/>
      <c r="C130" s="42"/>
      <c r="D130" s="42"/>
      <c r="E130" s="42"/>
      <c r="F130" s="42"/>
      <c r="G130" s="42"/>
      <c r="H130" s="42"/>
    </row>
    <row r="131" spans="1:8" s="73" customFormat="1" ht="23.95" customHeight="1">
      <c r="B131" s="47"/>
      <c r="C131" s="42"/>
      <c r="D131" s="42"/>
      <c r="E131" s="42"/>
      <c r="F131" s="42"/>
      <c r="G131" s="42"/>
      <c r="H131" s="42"/>
    </row>
    <row r="132" spans="1:8" s="73" customFormat="1" ht="23.95" customHeight="1">
      <c r="B132" s="47"/>
      <c r="C132" s="42"/>
      <c r="D132" s="42"/>
      <c r="E132" s="42"/>
      <c r="F132" s="42"/>
      <c r="G132" s="42"/>
      <c r="H132" s="42"/>
    </row>
    <row r="133" spans="1:8" s="73" customFormat="1" ht="23.95" customHeight="1">
      <c r="B133" s="47"/>
      <c r="C133" s="42"/>
      <c r="D133" s="42"/>
      <c r="E133" s="42"/>
      <c r="F133" s="42"/>
      <c r="G133" s="42"/>
      <c r="H133" s="42"/>
    </row>
    <row r="134" spans="1:8" s="73" customFormat="1" ht="23.95" customHeight="1">
      <c r="B134" s="47"/>
      <c r="C134" s="42"/>
      <c r="D134" s="42"/>
      <c r="E134" s="42"/>
      <c r="F134" s="42"/>
      <c r="G134" s="42"/>
      <c r="H134" s="42"/>
    </row>
    <row r="135" spans="1:8" s="73" customFormat="1" ht="23.95" customHeight="1">
      <c r="B135" s="47"/>
      <c r="C135" s="42"/>
      <c r="D135" s="42"/>
      <c r="E135" s="42"/>
      <c r="F135" s="42"/>
      <c r="G135" s="42"/>
      <c r="H135" s="42"/>
    </row>
    <row r="136" spans="1:8" s="73" customFormat="1" ht="23.95" customHeight="1">
      <c r="B136" s="47"/>
      <c r="C136" s="42"/>
      <c r="D136" s="42"/>
      <c r="E136" s="42"/>
      <c r="F136" s="42"/>
      <c r="G136" s="42"/>
      <c r="H136" s="42"/>
    </row>
    <row r="137" spans="1:8" s="73" customFormat="1" ht="23.95" customHeight="1">
      <c r="B137" s="47"/>
      <c r="C137" s="42"/>
      <c r="D137" s="42"/>
      <c r="E137" s="42"/>
      <c r="F137" s="42"/>
      <c r="G137" s="42"/>
      <c r="H137" s="42"/>
    </row>
    <row r="138" spans="1:8" s="73" customFormat="1" ht="23.95" customHeight="1">
      <c r="B138" s="47"/>
      <c r="C138" s="42"/>
      <c r="D138" s="42"/>
      <c r="E138" s="42"/>
      <c r="F138" s="42"/>
      <c r="G138" s="42"/>
      <c r="H138" s="42"/>
    </row>
    <row r="139" spans="1:8" s="73" customFormat="1" ht="23.95" customHeight="1">
      <c r="B139" s="47"/>
      <c r="C139" s="42"/>
      <c r="D139" s="42"/>
      <c r="E139" s="42"/>
      <c r="F139" s="42"/>
      <c r="G139" s="42"/>
      <c r="H139" s="42"/>
    </row>
    <row r="140" spans="1:8" s="73" customFormat="1" ht="23.95" customHeight="1">
      <c r="B140" s="36"/>
      <c r="C140" s="42"/>
      <c r="D140" s="42"/>
      <c r="E140" s="42"/>
      <c r="F140" s="42"/>
      <c r="G140" s="42"/>
      <c r="H140" s="42"/>
    </row>
    <row r="141" spans="1:8" s="73" customFormat="1" ht="23.95" customHeight="1">
      <c r="B141" s="36"/>
      <c r="C141" s="42"/>
      <c r="D141" s="42"/>
      <c r="E141" s="42"/>
      <c r="F141" s="42"/>
      <c r="G141" s="42"/>
      <c r="H141" s="42"/>
    </row>
    <row r="142" spans="1:8" s="73" customFormat="1" ht="23.95" customHeight="1">
      <c r="B142" s="36"/>
      <c r="C142" s="42"/>
      <c r="D142" s="42"/>
      <c r="E142" s="42"/>
      <c r="F142" s="42"/>
      <c r="G142" s="42"/>
      <c r="H142" s="42"/>
    </row>
    <row r="143" spans="1:8" s="73" customFormat="1" ht="23.95" customHeight="1">
      <c r="A143" s="36"/>
      <c r="B143" s="36"/>
      <c r="C143" s="42"/>
      <c r="D143" s="42"/>
      <c r="E143" s="42"/>
      <c r="F143" s="42"/>
      <c r="G143" s="42"/>
      <c r="H143" s="42"/>
    </row>
    <row r="144" spans="1:8" s="73" customFormat="1" ht="23.95" customHeight="1">
      <c r="A144" s="36"/>
      <c r="B144" s="36"/>
      <c r="C144" s="42"/>
      <c r="D144" s="42"/>
      <c r="E144" s="42"/>
      <c r="F144" s="42"/>
      <c r="G144" s="42"/>
      <c r="H144" s="42"/>
    </row>
    <row r="145" spans="3:9">
      <c r="C145" s="42"/>
      <c r="D145" s="42"/>
      <c r="E145" s="42"/>
      <c r="F145" s="42"/>
      <c r="G145" s="42"/>
      <c r="H145" s="42"/>
      <c r="I145" s="73"/>
    </row>
  </sheetData>
  <mergeCells count="15">
    <mergeCell ref="B90:I90"/>
    <mergeCell ref="B46:E46"/>
    <mergeCell ref="B56:H56"/>
    <mergeCell ref="B28:E28"/>
    <mergeCell ref="B34:J34"/>
    <mergeCell ref="B35:I35"/>
    <mergeCell ref="B37:I37"/>
    <mergeCell ref="B38:L38"/>
    <mergeCell ref="A3:H3"/>
    <mergeCell ref="A1:I1"/>
    <mergeCell ref="A13:B13"/>
    <mergeCell ref="A2:H2"/>
    <mergeCell ref="B5:H5"/>
    <mergeCell ref="B7:H7"/>
    <mergeCell ref="B6:H6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Total Table</vt:lpstr>
      <vt:lpstr>Summary</vt:lpstr>
      <vt:lpstr>Summary!Print_Area</vt:lpstr>
      <vt:lpstr>'Total Table'!Print_Area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5384334</cp:lastModifiedBy>
  <cp:lastPrinted>2024-05-20T07:51:08Z</cp:lastPrinted>
  <dcterms:created xsi:type="dcterms:W3CDTF">2023-02-02T03:43:01Z</dcterms:created>
  <dcterms:modified xsi:type="dcterms:W3CDTF">2024-07-25T08:34:04Z</dcterms:modified>
</cp:coreProperties>
</file>