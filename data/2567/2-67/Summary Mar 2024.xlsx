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8678" yWindow="-122" windowWidth="21953" windowHeight="12444" activeTab="1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0">'Total Table'!$A$1:$N$116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2"/>
  <c r="G11"/>
  <c r="L45" i="1" l="1"/>
  <c r="K45"/>
  <c r="L91" l="1"/>
  <c r="D45"/>
  <c r="F45"/>
  <c r="G22" l="1"/>
  <c r="N22"/>
  <c r="B45"/>
  <c r="E45"/>
  <c r="G45"/>
  <c r="H45"/>
  <c r="J45"/>
  <c r="M45"/>
  <c r="N45"/>
  <c r="O45"/>
  <c r="J68"/>
  <c r="K68"/>
  <c r="L68"/>
  <c r="M68"/>
  <c r="N68"/>
  <c r="M91"/>
  <c r="N91"/>
  <c r="B91"/>
  <c r="C91"/>
  <c r="D91"/>
  <c r="E91"/>
  <c r="F91"/>
  <c r="G91"/>
  <c r="H91"/>
  <c r="I91"/>
  <c r="J91"/>
  <c r="B68"/>
  <c r="C68"/>
  <c r="D68"/>
  <c r="E68"/>
  <c r="F68"/>
  <c r="G68"/>
  <c r="H68"/>
  <c r="B22"/>
  <c r="D22"/>
  <c r="F22"/>
  <c r="H22"/>
  <c r="I22"/>
  <c r="J22"/>
  <c r="K22"/>
  <c r="L22"/>
  <c r="M22"/>
</calcChain>
</file>

<file path=xl/sharedStrings.xml><?xml version="1.0" encoding="utf-8"?>
<sst xmlns="http://schemas.openxmlformats.org/spreadsheetml/2006/main" count="455" uniqueCount="226">
  <si>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</si>
  <si>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</si>
  <si>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</si>
  <si>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</si>
  <si>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</si>
  <si>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</si>
  <si>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</si>
  <si>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เคมีบำบัด</t>
  </si>
  <si>
    <t>จักษุ</t>
  </si>
  <si>
    <t>จำนวนใบประเมิน</t>
  </si>
  <si>
    <t>4. แพทย์ให้ความสำคัญกับการตรวจร่างกายเพื่อวินิจฉัยโรค</t>
  </si>
  <si>
    <t>5. แพทย์ให้ข้อมูล/แนะนำวิธีการและทางเลือกในการรักษา</t>
  </si>
  <si>
    <t>6. คำถามและข้อสงสัย ได้รับคำตอบที่ชัดเจนจากแพทย์</t>
  </si>
  <si>
    <t>7. แพทย์รับฟัง/พูดคุยให้ท่านคลายความกังวลในอาการเจ็บป่วย</t>
  </si>
  <si>
    <t>8. ท่านได้มีโอกาสพูดคุยกับพยาบาลหรือเจ้าหน้าที่เรื่องอาการเจ็บป่วย</t>
  </si>
  <si>
    <t>9. พยาบาลเจ้าหน้าที่สามารถตอบข้อสงสัยได้ชัดเจน</t>
  </si>
  <si>
    <t>10. ท่านได้รับการดูแลเอาใจใส่</t>
  </si>
  <si>
    <t>11. ท่านมีส่วนร่วมในการตัดสินใจเรื่องการรักษาพยาบาล</t>
  </si>
  <si>
    <t>12. ท่านได้รับการดูแลอย่างเท่าเทียม ไม่เลือกปฏิบัติ</t>
  </si>
  <si>
    <t>13. ท่านได้รับคำแนะนำและขั้นตอนในการรับบริการโรงพยาบาล</t>
  </si>
  <si>
    <t>14. อาการเจ็บป่วยทางกายและใจได้รับการดูแลอย่างดี</t>
  </si>
  <si>
    <t>15. แพทย์เปิดโอกาสให้ผู้ป่วย/ญาติได้ซักถาม</t>
  </si>
  <si>
    <t>16. ผู้ป่วยและญาติได้รับข้อมูลการรักษาที่เป็นประโยชน์ สามารถดูแลตัวเองได้</t>
  </si>
  <si>
    <t>ระดับคะแนนเฉลี่ย</t>
  </si>
  <si>
    <t>คิดเป็นร้อยละ</t>
  </si>
  <si>
    <t>ไตเทียม</t>
  </si>
  <si>
    <t>1. เจ้าหน้าที่ให้การต้อนรับด้วยใบหน้ายิ้มแย้ม กล่าวคำว่าสวัสดีฯ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</si>
  <si>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</si>
  <si>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</si>
  <si>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</si>
  <si>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</si>
  <si>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</si>
  <si>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</si>
  <si>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</si>
  <si>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</si>
  <si>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</si>
  <si>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</si>
  <si>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</si>
  <si>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</si>
  <si>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</si>
  <si>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</si>
  <si>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</si>
  <si>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</si>
  <si>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</si>
  <si>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</si>
  <si>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</si>
  <si>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</si>
  <si>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</si>
  <si>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</si>
  <si>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</si>
  <si>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</si>
  <si>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</si>
  <si>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</si>
  <si>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</si>
  <si>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</si>
  <si>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</si>
  <si>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</si>
  <si>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</si>
  <si>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</si>
  <si>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2. เจ้าหน้าที่พูดจาไพเราะ กิริยาสุภาพ อ่อนน้อม</t>
  </si>
  <si>
    <t>3. เจ้าหน้าที่พยายามให้ความสะดวกรวดเร็วในการบริการ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</si>
  <si>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</si>
  <si>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</si>
  <si>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</si>
  <si>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</si>
  <si>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</si>
  <si>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</si>
  <si>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</si>
  <si>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</si>
  <si>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</si>
  <si>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</si>
  <si>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</si>
  <si>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</si>
  <si>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</si>
  <si>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</si>
  <si>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</si>
  <si>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</si>
  <si>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</si>
  <si>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</si>
  <si>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</si>
  <si>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</si>
  <si>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</si>
  <si>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ผิวหนัง</t>
  </si>
  <si>
    <t>สรุปการประเมินผล OP-IP VOICE เดือนมีนาคม 2567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</si>
  <si>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</si>
  <si>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</si>
  <si>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</si>
  <si>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</si>
  <si>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</si>
  <si>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โรคเลือด</t>
  </si>
  <si>
    <t>หัตถการ</t>
  </si>
  <si>
    <t xml:space="preserve"> - เจ้าหน้าที่ห้องฉุกเฉินในจุดคัดกรองบางท่านใจร้อนเกินไป ดุมาก</t>
  </si>
  <si>
    <t xml:space="preserve"> - ห้องล้างแผลควรมีเตียงที่มีขนาดเตี้ย  บางครั้งคนไข้ตัวเล็กไม่สามารถปีนขึ้นเตียงได้ หรือบาดเจ็บที่ขา เท้า การมีเตียงขนาดขนาดเล็กจะสะดวกกว่า</t>
  </si>
  <si>
    <t xml:space="preserve"> - เวลาในการรอคอยทำหัตถการนานเกินไป </t>
  </si>
  <si>
    <t xml:space="preserve"> - พูดจา น้ำเสียง เจ้าหน้าที่ที่ต้อนรับควรพูดจาให้นุ่มนวลขึ้นหน่อยค่ะ </t>
  </si>
  <si>
    <t xml:space="preserve"> - ควรจัดการเรื่องลิฟต์ ช้ามาก ๆ รอจนท้อ </t>
  </si>
  <si>
    <t xml:space="preserve"> - ควรมีระบบออนไลน์รองรับสำหรับผู้ป่วยที่มีใบนัดแล้วให้สามารถลงคิวออนไลน์ได้ และติดตามสถานะตามลำดับคิวผ่านทางสมาร์ทโฟน เพื่อลดความแออัดในพื้นที่การรักษา </t>
  </si>
  <si>
    <t xml:space="preserve"> - เรื่องการจัดคิว ควรแยกคิวพบหมอปกติ กับคิวการนัดฟันผลตรวจ </t>
  </si>
  <si>
    <t xml:space="preserve"> - เรื่องของบัตรคิวให้มีความซ้ำซ้อนในหลายหลายส่วน </t>
  </si>
  <si>
    <t xml:space="preserve"> - การยื่นเอกสารก่อนน่าจะยื่นแค่จุดเดียวเพื่อความสะดวกรวดเร็ว </t>
  </si>
  <si>
    <t xml:space="preserve"> - อยากให้การตรวจใช้เวลาน้อยลงกว่านี้ </t>
  </si>
  <si>
    <t xml:space="preserve"> - ควรรักษาคนป่วยให้รวดเร็วกว่าเดิม </t>
  </si>
  <si>
    <t xml:space="preserve"> - เจ้าหน้าที่ที่ให้บริการเกี่ยวกับการแนะนำการใช้ช่องทางการใช้สิทธิ์ </t>
  </si>
  <si>
    <t xml:space="preserve"> - สถานที่จอดรถ (2)</t>
  </si>
  <si>
    <t xml:space="preserve"> - ขอที่นั่งเพิ่มสำหรับคนไข้ (Meta Clinic)</t>
  </si>
  <si>
    <t xml:space="preserve"> - อาหารไม่อร่อยมาก ควรเปลี่ยน</t>
  </si>
  <si>
    <t xml:space="preserve"> - อยากให้เพิ่มแพทย์ เพื่อความรวดเร็ว</t>
  </si>
  <si>
    <t xml:space="preserve"> - โต๊ะในบริเวณที่ให้นั่งรอควรสูงขึ้น เพื่อเขียนหนังสือ หรือทำงานได้ (คลินิกศัลยกรรม)</t>
  </si>
  <si>
    <t xml:space="preserve"> - อยากให้ญาติเข้าเยี่ยมได้ 3 คน</t>
  </si>
  <si>
    <t xml:space="preserve"> - สำหรับผม พยาบาลพูดดังได้นะคับ หูผมตึงครับ</t>
  </si>
  <si>
    <t xml:space="preserve"> - มีมาหาหมอ 3 นัด ใน 1 วัน ต้องวัดความดันใหม่ทุกรอบ</t>
  </si>
  <si>
    <t xml:space="preserve"> - การเรียกคิว ควรใช้เครื่องขยายเสียง คนไข้รอคิวอยู่ข้างนอกห้องเยอะมาก (2)</t>
  </si>
  <si>
    <t xml:space="preserve"> - ระบบการคัดกรอง แย่มาก ๆ</t>
  </si>
  <si>
    <t xml:space="preserve"> - ใช้เวลาในการรอพบแพทย์นานเกินไปควรแก้ไข (6)</t>
  </si>
  <si>
    <t xml:space="preserve"> - ควรเพิ่มความสะดวก เช่น  ร้านสะดวกซื้อ หรือตู้บริการน้ำดื่ม ทางโรงพยาบาลควรมีให้บริการประชาชน (คลินิกกุมารเวชกรรม)</t>
  </si>
  <si>
    <t xml:space="preserve"> - ค่าจอดรถให้ถูกลง (5)</t>
  </si>
  <si>
    <t xml:space="preserve"> - ห้องน้ำชั้น 8 สกปรก</t>
  </si>
  <si>
    <t xml:space="preserve"> - การสื่อสาร</t>
  </si>
  <si>
    <t xml:space="preserve"> - อยากให้การตรวจเร็วกว่านี้ (2)</t>
  </si>
  <si>
    <t xml:space="preserve"> - ล่าช้าในบางจุด เช่นห้องจ่ายยา ถึงจะมีพนักงานมากก็ยังล่าช้า รอยาเป็นชั่วโมง (3)</t>
  </si>
  <si>
    <t xml:space="preserve"> - มารยาทของเจ้าหน้าที่ (2)</t>
  </si>
  <si>
    <t xml:space="preserve"> - ควรเพิ่มแพทย์ให้มากขึ้น (2)</t>
  </si>
  <si>
    <t xml:space="preserve"> - ควรเพิ่มเก้าอี้หน้าห้องผ่าตัด (ห้องผ่าตัด/วิสัญญี) (2)</t>
  </si>
  <si>
    <t xml:space="preserve"> - ในกรณีที่เป็นห้องน้ำรวม (ชาย หญิง) ควรมีโถปัสสาวะชายด้วย</t>
  </si>
  <si>
    <t xml:space="preserve"> - ทางขึ้นที่จอดรถควรมีไฟกระพริบ </t>
  </si>
  <si>
    <t xml:space="preserve"> - ระยะเวลาในการรอคิว (2)</t>
  </si>
  <si>
    <t xml:space="preserve"> - ควรเพิ่มจำนวนเจ้าหน้าที่ (2)</t>
  </si>
  <si>
    <t xml:space="preserve"> - การจัดการเข้ารับการรักษาการแยกคิว  ประเภทของคิว </t>
  </si>
  <si>
    <t xml:space="preserve"> - การติดต่อประสานงานล่าช้า</t>
  </si>
  <si>
    <t xml:space="preserve"> - ควรมีเครื่องผลิตออกซิเจนสำรองไว้ให้เด็กทารก หลังจากที่ออกจากโรงพยาบาล (NICU)</t>
  </si>
  <si>
    <t xml:space="preserve"> - อยากให้เจ้าหน้าที่พยาบาลจับเด็กทารกให้เบามือลงสักนิดครับ บางครั้งเห็นแล้วเจ็บแทนน้อง (NICU)</t>
  </si>
  <si>
    <t xml:space="preserve"> - ห้องน้ำน้อย (Burn Unit)</t>
  </si>
  <si>
    <t xml:space="preserve"> - ไม่ควรปล่อยให้ผู้ป่วยอึเรี่ยราด (18B)</t>
  </si>
  <si>
    <t xml:space="preserve"> - บางแผนกรอนานไม่มีที่นั่งเพียงพอ เช่น แผนกอายุรกรรม</t>
  </si>
  <si>
    <t xml:space="preserve"> - พยาบาลคุยกันเสียงดังไปหน่อยในช่วงเช้า (05.00-.6.00) (18B)</t>
  </si>
  <si>
    <t xml:space="preserve"> - อยากให้มีห้องอาบน้ำเพิ่ม (18B)</t>
  </si>
  <si>
    <t xml:space="preserve"> - ห้องน้ำบางห้องสายฉีดชำระใช้ไม่ค่อยได้ ชักโครกบางตัวก็กดน้ำแล้วน้ำทะลักตามขอบชักโครก น้ำล้นออกมาทำให้พื้นเปียกมาก (18B)</t>
  </si>
  <si>
    <t xml:space="preserve"> - ควรเพิ่มจำนวนเตียงผู้ป่วย (18D)</t>
  </si>
  <si>
    <t xml:space="preserve"> - ผู้ช่วยพยาบาลพูดจาเหมือนอารมณ์เสียตลอดเวลา (18D)</t>
  </si>
  <si>
    <t xml:space="preserve"> - ห้องน้ำไกลเกินไป (18D)</t>
  </si>
  <si>
    <t xml:space="preserve"> - เวลาในการรอคิวการตรวจอาจจะล่าช้าบ้างในบางจังหวะ  บางขั้นตอน</t>
  </si>
  <si>
    <t xml:space="preserve"> - การเจาะเลือดในเวลาเช้าตรู่ การติดเทปใสบริเวณใกล้ข้อพับมากจนเกินไปทำให้รู้สึกเจ็บเวลาที่มีการขยับแขน</t>
  </si>
  <si>
    <r>
      <t xml:space="preserve"> - </t>
    </r>
    <r>
      <rPr>
        <sz val="16"/>
        <color theme="1"/>
        <rFont val="TH SarabunPSK"/>
        <family val="2"/>
      </rPr>
      <t xml:space="preserve">รอคิวผ่าตัดนาน </t>
    </r>
  </si>
  <si>
    <t xml:space="preserve"> - อยากให้ปรับปรุงเรื่องอาหาร  ภาพรวมดีแต่ปลาเค็มมีรสชาติที่เค็มมากจนเกินไป</t>
  </si>
  <si>
    <t xml:space="preserve"> - ในส่วนของค่าที่จอดรถกรณีมาเป็นผู้ป่วยในอยากให้มีส่วนลดค่าที่จอดรถใต้อาคาร  150 ปี สัก 50% ก็ยังดีครับ </t>
  </si>
  <si>
    <t xml:space="preserve"> - บางครั้งผู้ป่วยบอกถึงความต้องการเกี่ยวกับของใช้  เจ้าหน้าที่บอกให้รอก่อนเดี๋ยวเอามาให้ แล้วก็ลืม</t>
  </si>
  <si>
    <t xml:space="preserve"> - ค่าที่จอดรถ</t>
  </si>
  <si>
    <t xml:space="preserve"> - คำถามในแบบประเมินเยอะจนเกินไป</t>
  </si>
  <si>
    <t xml:space="preserve"> - อยากให้เจ้าหน้าที่ที่อยู่ในโรงพยาบาลคุยกับผู้ป่วยด้วยความยิ้มแย้ม  ไม่ควรหน้าบูด</t>
  </si>
  <si>
    <t xml:space="preserve"> - ติดกระจกในแต่ละแผนก ไม่ให้มีเสียงรบกวน</t>
  </si>
  <si>
    <t xml:space="preserve"> - น้ำที่ฝักบัวในห้องน้ำร้อนจนเกินไป ทำให้อาบน้ำลำบาก (19B)</t>
  </si>
  <si>
    <t xml:space="preserve"> - เบาะรองนอนชำรุด น่าจะมีการตรวจสอบ ซ่อมแซม บำรุง (19B)</t>
  </si>
  <si>
    <t xml:space="preserve"> - ลิฟต์ช้า</t>
  </si>
  <si>
    <t xml:space="preserve"> - เอากุ้งมาให้ทาน ทั้งที่แจ้งว่าแพ้กุ้ง (19D)</t>
  </si>
  <si>
    <t xml:space="preserve"> - ที่นั่งรอ ของญาติผู้ป่วย (19D)</t>
  </si>
  <si>
    <t xml:space="preserve"> - อยากให้โรงพยาบาลอนุญาติให้ญาติเฝ้าไข้ได้สักคน  (19D)</t>
  </si>
  <si>
    <t xml:space="preserve"> - ที่จอดรถ (2)</t>
  </si>
  <si>
    <t xml:space="preserve"> - ข้าวน้อย กับข้าวเยอะ อยากให้เพิ่มข้าวอีกนิดครับ</t>
  </si>
  <si>
    <t xml:space="preserve"> - ควรติดตั้งตู้น้ำดื่ม สำหรับประชาชน ญาติผู้ป่วยที่มาเยี่ยม (22B)</t>
  </si>
  <si>
    <t xml:space="preserve"> - เจ้าหน้าที่บางท่านพูดจาเสียงดังไปค่ะ</t>
  </si>
  <si>
    <t xml:space="preserve"> - อยากแนะนำให้มีโรงพยาบาลรัฐที่รองรับผู้ป่วยด้านจิตเวชเพิ่มขึ้น</t>
  </si>
  <si>
    <t xml:space="preserve"> - กิริยาพยาบาลบางท่านอาจดูแรง (อาจเกิดจากการเหนื่อย เพราะเจอคนไข้ดื้อ)</t>
  </si>
  <si>
    <t xml:space="preserve"> - บางครั้งที่คนไข้ลงจากเตียงไม่ได้ แต่ไม่ค่อยมีเจ้าหน้าที่มารช่วยเหลือ </t>
  </si>
  <si>
    <t xml:space="preserve"> - ER ควรเพิ่มบุคลากร ในตอนกลางคืน</t>
  </si>
  <si>
    <t xml:space="preserve"> - การบริการของพยาบาล บางท่าน ชั้น 18D พูดจาห้วน ส่งสายตาแทบจะกลืนกิน พฤติกรรมไม่ค่อยดี </t>
  </si>
  <si>
    <t xml:space="preserve"> - ควรพัฒนาเกี่ยวกับความสะอาดในห้องผู้ป่วย </t>
  </si>
  <si>
    <t xml:space="preserve"> - ประตูห้องน้ำเลื่อนแล้วมีเสียง (25A)</t>
  </si>
  <si>
    <t xml:space="preserve"> - ระยะเวลาในการรับเป็นผู้ป่วยใช้เวลาค่อนข้างนาน  มา 9.00 น. ได้ห้อง 15.00 น.(25A)</t>
  </si>
  <si>
    <t xml:space="preserve"> - อยากให้ปรับปรุงเรื่องระยะเวลารอพบแพทย์ </t>
  </si>
  <si>
    <t xml:space="preserve"> - ชุดอาบน้ำให้แค่ครั้งเดียวตอนเข้าแต่ต้องอยู่หลายวัน (25A)</t>
  </si>
  <si>
    <t xml:space="preserve"> - มีน้ำขังในห้องน้ำ  พื้น มีจานน้อย และควรให้บริการที่จอดรถอาคารสำหรับห้องพักพิเศษ (25B)</t>
  </si>
  <si>
    <t xml:space="preserve"> - สายชำระในห้องน้ำและชักโครกน้ำเบามาก ๆ  (25B)</t>
  </si>
  <si>
    <t xml:space="preserve"> - อาหารไม่ค่อยโอเค </t>
  </si>
  <si>
    <t xml:space="preserve"> - แมลงสาบเยอะมาก ในห้องเตรียมอาหารและห้องผู้ป่วยก็มีแมลงสาบ (25B)</t>
  </si>
  <si>
    <t xml:space="preserve"> - ในห้องพักอยากให้มีทีวี ที่สามารถเชื่อมต่ออินเตอร์เน็ต Netflix หรือ YouTube ได้ค่ะ นอนโรงพยาบาลนานน่าเบื่อ ส่วนทีวีก็ไม่มีอะไรจะดู </t>
  </si>
  <si>
    <t xml:space="preserve"> - ไม่มีการเติมอุปกรณ์อาบน้ำในห้องน้ำเมื่อมาทำความสะอาด  ไม่พอใช้ (25B)</t>
  </si>
  <si>
    <t xml:space="preserve"> - น้ำในห้องอาบน้ำมีกลิ่นน้ำประปาที่ไม่สะอาด  มีกลิ่นคล้ายหญ้า (25B)</t>
  </si>
  <si>
    <t xml:space="preserve"> - ควรทำความสะอาดห้องบ้างอย่างน้อยสองครั้งต่อวัน  (25B)</t>
  </si>
  <si>
    <t xml:space="preserve"> - ประตูห้องเปิดปิดเสียงดัง (25A)</t>
  </si>
  <si>
    <t xml:space="preserve"> - เรื่องยากลับบ้านช้ามากรอคอยจนถึง  11.55 ของวันที่ 29 มีนาคม 2567</t>
  </si>
  <si>
    <t xml:space="preserve"> - อาหารจืดจนเกินไป </t>
  </si>
  <si>
    <t xml:space="preserve"> - สายชำระในห้องน้ำชำรุด (สว่างวัฒนา)</t>
  </si>
  <si>
    <t>35</t>
  </si>
  <si>
    <t>อันดับ 1 การให้บริการโดยรวม (OPD : 27 IPD : 26 )</t>
  </si>
  <si>
    <t>764</t>
  </si>
  <si>
    <t>663</t>
  </si>
  <si>
    <t xml:space="preserve">ค่าเฉลี่ยการแนะนำญาติหรือคนรู้จักให้มาใช้บริการที่โรงพยาบาล  OPD = 94.24% IPD = 98.55%  </t>
  </si>
  <si>
    <t xml:space="preserve">ค่าเฉลี่ยความพึงพอใจการใช้บริการของโรงพยาบาล OPD =  86.38% IPD = 91.18%  </t>
  </si>
  <si>
    <t xml:space="preserve"> - ชั้น 3 ห้องทำแผลเคยใช้บริการ ซึ่งพบว่าไม่มีบัตรคิว ไม่มีเจ้าหน้าที่มาถามไถ่ผู้ป่วย ต้องคอยมองหาเจ้าหน้าที่เองอยากให้จัดระบบบริการให้ชัดเจนมากยิ่งขึ้น </t>
  </si>
  <si>
    <t xml:space="preserve"> - อยากให้ใช้ข้อมูลในใบวัดความดันได้ทุกโต๊ะซักประวัติ หลายหมอนัดวันเดียวกัน หรือวัด 1 ครั้ง แล้วถ่ายรูปไว้แสดงให้โต๊ะซักประวัติแผนกอื่นดู</t>
  </si>
  <si>
    <t xml:space="preserve"> - อยากให้เจ้าหน้าที่ต้อนรับด้วยใบหน้าที่ยิ้มแย้ม บอกจุดที่ต้องติดต่ออย่างชัดเจน </t>
  </si>
  <si>
    <t xml:space="preserve"> - บุคลากรในบางส่วนไม่เพียงพอ  ห้องรับยาช้ามากเพราะคนป่วยมากกว่า </t>
  </si>
  <si>
    <t xml:space="preserve"> - เจ้าหน้าที่ประตู 2 พูดจาไม่ดี มีสีหน้าบึ้งตึง </t>
  </si>
  <si>
    <t xml:space="preserve"> - ไม่ประทับใจเจ้าหน้าที่ ER ค่ะ มารถฉุกเฉิน แต่เจ้าหน้าที่ไม่รีบมารับผู้ป่วย</t>
  </si>
  <si>
    <t xml:space="preserve"> - พยาบาลบางท่านควรมีความคิดและความพร้อมที่จะทำงานด้านการบริการมากกว่านี้  ควรปรับปรุงเรื่องคำพูด</t>
  </si>
  <si>
    <t xml:space="preserve"> - ข้อมูลล่าช้าคนไข้เข้าใหม่แล้ว พยาบาลยังมาตามผลข้อมูลกับคนไข้เก่า อาหารคนไข้เปลี่ยนแปลงข้อมูลช้าอยากให้ส่งข้อมูลต่ออย่างรวดเร็วถูกต้องและควรตรวจสอบก่อน </t>
  </si>
  <si>
    <t xml:space="preserve"> - ห้องน้ำควรปรับปรุง  เช่น สายชำระชำรุด (18B)</t>
  </si>
  <si>
    <t xml:space="preserve"> - จุดคัดกรองผู้ป่วยฉุกเฉิน  (คุณพ่อเลือดออกในสมองแต่บอกว่าไม่ฉุกเฉิน) </t>
  </si>
  <si>
    <t xml:space="preserve"> - อาหารเมื่อมาถึงคนไข้เย็นจนชืด อยากให้ทางโรงพยาบาลเสิร์ฟแบบอุ่น - ร้อน  (3)</t>
  </si>
  <si>
    <t xml:space="preserve"> - ปรับปรุง คือ การยิ้ม (คลินิกทันตกรรม)</t>
  </si>
  <si>
    <t xml:space="preserve"> - รอนาน (4)</t>
  </si>
  <si>
    <t xml:space="preserve"> - ชุดผ้าถุงสำหรับผู้หญิงควรทำสายรัด หรือเชือกไว้ที่บริเวณเอว เพราะผู้ป่วยบางท่านใส่ผ้าถุงไม่เป็นทำให้ผ้าถุงหลุดบ่อย</t>
  </si>
  <si>
    <t xml:space="preserve"> - อาหารว่างควรลดของเชื่อมสักหน่อยนะคะ</t>
  </si>
  <si>
    <t xml:space="preserve"> - รอรับยาที่จะรักษา นานจนเกินไป</t>
  </si>
  <si>
    <t xml:space="preserve"> - อาคารจอดรถตึก 150 ปี แคบมาก (5)</t>
  </si>
  <si>
    <t xml:space="preserve"> - ขอป้ายบัตรคิวให้ใหญ่ขึ้น (ห้องหัตถการ) (3)</t>
  </si>
  <si>
    <t xml:space="preserve"> - แอร์ไม่ค่อยเย็น ต้องใส่หน้ากากตลอดเวลาหายใจไม่ค่อยสะดวกสะดวก  (คลินิกปฐมภูมิ)  (2)</t>
  </si>
  <si>
    <t>1,035</t>
  </si>
  <si>
    <t xml:space="preserve"> - ควรจะเลิกระบบคิวที่ต้องมารอ ควรหาวิธีใหม่โดยคนไข้ที่คุณหมอนัดไม่ต้องมารับบัตรคิวเข้าอาคารเหมือนที่ทำอยู่ เวลาเข้ามาก็ต้องมาต่อคิวเช็คสิทธิ นี่ก็เป็นอีกกรณีที่ทำให้คนไข้
   </t>
  </si>
  <si>
    <t xml:space="preserve">   ต้องมาแต่เช้าเพื่อจะได้เอกสารแนบใบนัด ฝากทางโรงพยาบาลหาวิธีแก้ไขหน่อยครับ</t>
  </si>
  <si>
    <t>อันดับ 2 อุปกรณ์ เครื่องมือ และสถานที่ไม่สมบูรณ์ (OPD : 14  IPD : 25 )</t>
  </si>
  <si>
    <t>อันดับ 3 การทำงานและพฤติกรรมของบุคลากร (OPD : 15  IPD : 16 )</t>
  </si>
  <si>
    <t xml:space="preserve"> - ห้องจ่ายยา ใช้เวลานานเกินไป ไม่มีแพทย์ให้ข้อมูลเรื่องคิวรับยา บางคนอ่านไม่ออกก็นั่งยาว เพราะในหลาย ๆ ที่เขาเรียกคิวให้รับยา ป้ายคิวมีเยอะก็กรูไปพร้อมกัน วุ่นวายได้</t>
  </si>
  <si>
    <t xml:space="preserve"> - อยากให้มีคำแนะนำสำหรับคนที่ยังไม่เคยไปใช้บริการ ที่จะเกิดความงงกับสถานที่และขั้นตอนค่ะ</t>
  </si>
  <si>
    <t xml:space="preserve"> - ห้องน้ำหญิงชั้น 3 ถังขยะในห้องน้ำชำรุดเหยียบเปิดไม่ได้ ทำให้มีทิชชูที่ใช้แล้วกองทิ้งอยู่นอกถังขยะเป็นจำนวนมาก แม่บ้านไม่ได้เก็บเมื่อถังเต็ม </t>
  </si>
  <si>
    <t xml:space="preserve">   ควรซื้อถังขยะใหม่ มาใช้จะทำให้สุขอนามัยดีขึ้นควรปรับปรุงจุดนี้มาก ๆ ค่ะ ขอบคุณค่ะ</t>
  </si>
  <si>
    <t xml:space="preserve"> - เจ้าหน้าที่ซักประวัติหน้าห้องฉุกเฉิน คนไข้เจ็บปวด ต้องการมาคลอดลูก เจ้าหน้าที่ถามหาแต่สมุดฝากครรภ์ สมุดมีแน่ค่ะ แต่จะตามมาทีหลัง แม่เจ็บจน</t>
  </si>
  <si>
    <t xml:space="preserve"> - เจ้าหน้าที่ห้องเจาะเลือดชั้น 4 ไม่ควรเลือกปฏิบัติกับคนไข้เด็ก ในสิทธิมนุษยชนคนไข้เองก็มีสิทธิ์ และควรทะนุถนอมคนไข้เด็กให้เท่าเทียมกับคนไข้
   </t>
  </si>
  <si>
    <t xml:space="preserve">   ผู้ใหญ่ แต่เจ้าหน้าที่ห้องเจาะเลือดชั้น 4 เลือกเรียกคิวเจาะเลือดผู้ใหญ่มากกว่าคิวเด็ก ปล่อยให้เด็กรอคิวถึง 19 คิว เหตุการณ์แบบนี้ไม่สมควรเกิดขึ้น</t>
  </si>
  <si>
    <t xml:space="preserve"> - คำพูดของแพทย์บางท่านไม่ค่อยน่าฟัง เพราะเราเสียเงินสด ไม่ได้ใช้บริการฟรี เราต้องการให้ใช้คำพูดที่ดี และอ่อนโยน แต่โดยรวมรู้สึกไม่ประทับใจ 
   </t>
  </si>
  <si>
    <t xml:space="preserve">   ถ้าเปรียบเทียบกับสถานที่อื่น ย้ำเพราะเราเสียเงินสดและไม่ได้ใช้บริการฟรี</t>
  </si>
  <si>
    <t>- เจ้าหน้าที่ห้องการเงินมักชักสีหน้าเวลาที่ถาม บางครั้งไม่ได้ยินขนาดพูดปกติยังเสียงเบา รบกวนติดไมค์ หรือพูดให้ดังขึ้น เนื่องจากเวลาผู้ป่วยสูงอายุ</t>
  </si>
  <si>
    <t xml:space="preserve">  มารับบริการอาจจะ ไม่ได้ยินอาจจะเกิด การถามซ้ำ ๆ ต้องขอโทษล่วงหน้าเพราะเสียงเบาไม่ได้ยินจริง ๆ รบกวนช่วยพูดซ้ำอีกครั้งโดยไม่ชักสีหน้า</t>
  </si>
  <si>
    <t>- พยาบาลพูดจาแย่ทั้ง 2 คน ใส่อารมณ์กับคนไข้ ควรปรับปรุงนิสัยการบริการอันดับแรก อธิบายด้วยเหตุผลกับคนไข้ด้วยสีหน้าและน้ำเสียงที่จริงใจ</t>
  </si>
  <si>
    <t xml:space="preserve">  ไม่ใช่ขมวดคิ้วตะเบ่งเสียงใส่คนไข้ ด้วยความไม่พอใจเพียงแค่คนไข้ถาม เพราะไม่ทราบ (คลินิกทันตกรรม)</t>
  </si>
  <si>
    <t xml:space="preserve">   เด็กจะออกมา อยู่แล้ว แต่คุณกลับให้คุณแม่รอสมุด เพื่ออะไรกันหรือคะ  สมุดมันช่วยให้แม่กับลูกปลอดภัยได้หรือคะ</t>
  </si>
</sst>
</file>

<file path=xl/styles.xml><?xml version="1.0" encoding="utf-8"?>
<styleSheet xmlns="http://schemas.openxmlformats.org/spreadsheetml/2006/main">
  <numFmts count="1">
    <numFmt numFmtId="164" formatCode="###0.00"/>
  </numFmts>
  <fonts count="32"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b/>
      <sz val="18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</cellStyleXfs>
  <cellXfs count="1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64" fontId="19" fillId="0" borderId="1" xfId="11" applyNumberFormat="1" applyFont="1" applyBorder="1" applyAlignment="1">
      <alignment horizontal="center" vertical="center"/>
    </xf>
    <xf numFmtId="164" fontId="19" fillId="0" borderId="1" xfId="13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2" fontId="21" fillId="6" borderId="1" xfId="0" applyNumberFormat="1" applyFont="1" applyFill="1" applyBorder="1" applyAlignment="1">
      <alignment horizontal="center" vertical="center" wrapText="1"/>
    </xf>
    <xf numFmtId="164" fontId="18" fillId="0" borderId="1" xfId="12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quotePrefix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7" xfId="16" applyFont="1" applyBorder="1" applyAlignment="1">
      <alignment horizontal="center" vertical="center"/>
    </xf>
    <xf numFmtId="0" fontId="25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64" fontId="19" fillId="7" borderId="1" xfId="14" applyNumberFormat="1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164" fontId="19" fillId="7" borderId="1" xfId="12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5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2" fontId="19" fillId="6" borderId="1" xfId="14" applyNumberFormat="1" applyFont="1" applyFill="1" applyBorder="1" applyAlignment="1">
      <alignment horizontal="center" vertical="center" wrapText="1"/>
    </xf>
    <xf numFmtId="164" fontId="16" fillId="7" borderId="4" xfId="10" applyNumberFormat="1" applyFill="1" applyBorder="1" applyAlignment="1">
      <alignment horizontal="center" vertical="center"/>
    </xf>
    <xf numFmtId="2" fontId="19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64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7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64" fontId="19" fillId="0" borderId="1" xfId="12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28" fillId="6" borderId="1" xfId="14" applyNumberFormat="1" applyFont="1" applyFill="1" applyBorder="1" applyAlignment="1">
      <alignment horizontal="center" vertical="center" wrapText="1"/>
    </xf>
    <xf numFmtId="2" fontId="29" fillId="6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6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left" vertical="top" wrapText="1"/>
    </xf>
    <xf numFmtId="164" fontId="27" fillId="0" borderId="1" xfId="11" applyNumberFormat="1" applyFont="1" applyBorder="1" applyAlignment="1">
      <alignment horizontal="center" vertical="center"/>
    </xf>
    <xf numFmtId="164" fontId="14" fillId="7" borderId="4" xfId="1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49" fontId="5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49" fontId="14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 wrapText="1"/>
    </xf>
    <xf numFmtId="0" fontId="8" fillId="0" borderId="0" xfId="0" applyFont="1" applyAlignment="1">
      <alignment horizontal="center" vertical="center"/>
    </xf>
    <xf numFmtId="49" fontId="31" fillId="0" borderId="0" xfId="0" applyNumberFormat="1" applyFont="1" applyAlignment="1">
      <alignment horizontal="center"/>
    </xf>
    <xf numFmtId="49" fontId="26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  <xf numFmtId="49" fontId="26" fillId="0" borderId="0" xfId="0" applyNumberFormat="1" applyFont="1" applyAlignment="1">
      <alignment horizontal="left" vertical="center" wrapText="1"/>
    </xf>
  </cellXfs>
  <cellStyles count="18">
    <cellStyle name="Normal" xfId="0" builtinId="0"/>
    <cellStyle name="Normal_IPD November" xfId="12"/>
    <cellStyle name="Normal_IPD_1" xfId="13"/>
    <cellStyle name="Normal_OPD August" xfId="11"/>
    <cellStyle name="Normal_OPD July" xfId="10"/>
    <cellStyle name="Normal_OPD_1" xfId="14"/>
    <cellStyle name="style1683707694983" xfId="1"/>
    <cellStyle name="style1683707695268" xfId="2"/>
    <cellStyle name="style1683707695497" xfId="3"/>
    <cellStyle name="style1683873781043" xfId="4"/>
    <cellStyle name="style1683873781293" xfId="5"/>
    <cellStyle name="style1683873781509" xfId="6"/>
    <cellStyle name="style1690951585398" xfId="8"/>
    <cellStyle name="style1690951585625" xfId="9"/>
    <cellStyle name="style1690951585802" xfId="7"/>
    <cellStyle name="ปกติ 2" xfId="16"/>
    <cellStyle name="ปกติ 3" xfId="17"/>
    <cellStyle name="ปกติ 4" xfId="1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zoomScale="85" zoomScaleNormal="85" zoomScaleSheetLayoutView="80" workbookViewId="0">
      <selection activeCell="G7" sqref="G7"/>
    </sheetView>
  </sheetViews>
  <sheetFormatPr defaultColWidth="9" defaultRowHeight="21.1"/>
  <cols>
    <col min="1" max="1" width="62.625" style="4" customWidth="1"/>
    <col min="2" max="2" width="9" style="4" customWidth="1"/>
    <col min="3" max="5" width="9" style="3"/>
    <col min="6" max="6" width="9.625" style="3" customWidth="1"/>
    <col min="7" max="8" width="9" style="3"/>
    <col min="9" max="9" width="9.625" style="3" bestFit="1" customWidth="1"/>
    <col min="10" max="12" width="9" style="3"/>
    <col min="13" max="13" width="10.75" style="3" customWidth="1"/>
    <col min="14" max="14" width="10.125" style="3" bestFit="1" customWidth="1"/>
    <col min="15" max="16384" width="9" style="3"/>
  </cols>
  <sheetData>
    <row r="1" spans="1:16" s="14" customFormat="1" ht="49.75" customHeight="1">
      <c r="A1" s="102" t="s">
        <v>83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6" s="14" customFormat="1" ht="49.75" customHeigh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6" s="2" customFormat="1" ht="54.7" customHeight="1">
      <c r="A3" s="6" t="s">
        <v>0</v>
      </c>
      <c r="B3" s="98" t="s">
        <v>88</v>
      </c>
      <c r="C3" s="98" t="s">
        <v>86</v>
      </c>
      <c r="D3" s="1" t="s">
        <v>2</v>
      </c>
      <c r="E3" s="1" t="s">
        <v>74</v>
      </c>
      <c r="F3" s="1" t="s">
        <v>80</v>
      </c>
      <c r="G3" s="1" t="s">
        <v>75</v>
      </c>
      <c r="H3" s="1" t="s">
        <v>3</v>
      </c>
      <c r="I3" s="1" t="s">
        <v>4</v>
      </c>
      <c r="J3" s="1" t="s">
        <v>77</v>
      </c>
      <c r="K3" s="1" t="s">
        <v>66</v>
      </c>
      <c r="L3" s="1" t="s">
        <v>58</v>
      </c>
      <c r="M3" s="1" t="s">
        <v>5</v>
      </c>
      <c r="N3" s="1" t="s">
        <v>82</v>
      </c>
      <c r="O3" s="1" t="s">
        <v>78</v>
      </c>
      <c r="P3" s="1" t="s">
        <v>87</v>
      </c>
    </row>
    <row r="4" spans="1:16" s="88" customFormat="1" ht="24.8" customHeight="1">
      <c r="A4" s="85" t="s">
        <v>9</v>
      </c>
      <c r="B4" s="27">
        <v>2</v>
      </c>
      <c r="C4" s="86" t="s">
        <v>84</v>
      </c>
      <c r="D4" s="87">
        <v>176</v>
      </c>
      <c r="E4" s="86" t="s">
        <v>84</v>
      </c>
      <c r="F4" s="86">
        <v>119</v>
      </c>
      <c r="G4" s="86">
        <v>82</v>
      </c>
      <c r="H4" s="86">
        <v>13</v>
      </c>
      <c r="I4" s="86">
        <v>6</v>
      </c>
      <c r="J4" s="86">
        <v>22</v>
      </c>
      <c r="K4" s="86">
        <v>39</v>
      </c>
      <c r="L4" s="86">
        <v>42</v>
      </c>
      <c r="M4" s="86">
        <v>82</v>
      </c>
      <c r="N4" s="86">
        <v>5</v>
      </c>
      <c r="O4" s="86" t="s">
        <v>84</v>
      </c>
      <c r="P4" s="86" t="s">
        <v>84</v>
      </c>
    </row>
    <row r="5" spans="1:16" s="2" customFormat="1" ht="23.95" customHeight="1">
      <c r="A5" s="8" t="s">
        <v>26</v>
      </c>
      <c r="B5" s="26">
        <v>5</v>
      </c>
      <c r="C5" s="65" t="s">
        <v>84</v>
      </c>
      <c r="D5" s="33">
        <v>4.5625</v>
      </c>
      <c r="E5" s="65" t="s">
        <v>84</v>
      </c>
      <c r="F5" s="26">
        <v>3.8907563025210083</v>
      </c>
      <c r="G5" s="26">
        <v>4.1585365853658525</v>
      </c>
      <c r="H5" s="21">
        <v>4.7692307692307692</v>
      </c>
      <c r="I5" s="21">
        <v>4</v>
      </c>
      <c r="J5" s="21">
        <v>4.1818181818181817</v>
      </c>
      <c r="K5" s="21">
        <v>4.2307692307692317</v>
      </c>
      <c r="L5" s="21">
        <v>4.6190476190476186</v>
      </c>
      <c r="M5" s="21">
        <v>4.5243902439024382</v>
      </c>
      <c r="N5" s="26">
        <v>4.5999999999999996</v>
      </c>
      <c r="O5" s="65" t="s">
        <v>84</v>
      </c>
      <c r="P5" s="65" t="s">
        <v>84</v>
      </c>
    </row>
    <row r="6" spans="1:16" s="2" customFormat="1" ht="23.95" customHeight="1">
      <c r="A6" s="8" t="s">
        <v>59</v>
      </c>
      <c r="B6" s="26">
        <v>5</v>
      </c>
      <c r="C6" s="65" t="s">
        <v>84</v>
      </c>
      <c r="D6" s="33">
        <v>4.5397727272727266</v>
      </c>
      <c r="E6" s="65" t="s">
        <v>84</v>
      </c>
      <c r="F6" s="26">
        <v>3.8319327731092434</v>
      </c>
      <c r="G6" s="26">
        <v>4.1951219512195106</v>
      </c>
      <c r="H6" s="21">
        <v>4.7692307692307692</v>
      </c>
      <c r="I6" s="21">
        <v>4</v>
      </c>
      <c r="J6" s="21">
        <v>4.0909090909090908</v>
      </c>
      <c r="K6" s="21">
        <v>4.2564102564102573</v>
      </c>
      <c r="L6" s="21">
        <v>4.5952380952380967</v>
      </c>
      <c r="M6" s="21">
        <v>4.5121951219512182</v>
      </c>
      <c r="N6" s="26">
        <v>5</v>
      </c>
      <c r="O6" s="65" t="s">
        <v>84</v>
      </c>
      <c r="P6" s="65" t="s">
        <v>84</v>
      </c>
    </row>
    <row r="7" spans="1:16" s="2" customFormat="1" ht="23.95" customHeight="1">
      <c r="A7" s="8" t="s">
        <v>60</v>
      </c>
      <c r="B7" s="26">
        <v>5</v>
      </c>
      <c r="C7" s="65" t="s">
        <v>84</v>
      </c>
      <c r="D7" s="33">
        <v>4.5227272727272707</v>
      </c>
      <c r="E7" s="65" t="s">
        <v>84</v>
      </c>
      <c r="F7" s="26">
        <v>3.8739495798319323</v>
      </c>
      <c r="G7" s="26">
        <v>4.1097560975609762</v>
      </c>
      <c r="H7" s="21">
        <v>4.7692307692307692</v>
      </c>
      <c r="I7" s="21">
        <v>3.8333333333333335</v>
      </c>
      <c r="J7" s="21">
        <v>4.045454545454545</v>
      </c>
      <c r="K7" s="21">
        <v>4.2564102564102573</v>
      </c>
      <c r="L7" s="21">
        <v>4.6190476190476186</v>
      </c>
      <c r="M7" s="21">
        <v>4.5000000000000009</v>
      </c>
      <c r="N7" s="26">
        <v>5</v>
      </c>
      <c r="O7" s="65" t="s">
        <v>84</v>
      </c>
      <c r="P7" s="65" t="s">
        <v>84</v>
      </c>
    </row>
    <row r="8" spans="1:16" s="2" customFormat="1" ht="23.95" customHeight="1">
      <c r="A8" s="8" t="s">
        <v>10</v>
      </c>
      <c r="B8" s="26">
        <v>5</v>
      </c>
      <c r="C8" s="65" t="s">
        <v>84</v>
      </c>
      <c r="D8" s="33">
        <v>4.5000000000000027</v>
      </c>
      <c r="E8" s="65" t="s">
        <v>84</v>
      </c>
      <c r="F8" s="26">
        <v>3.9243697478991604</v>
      </c>
      <c r="G8" s="26">
        <v>4.1219512195121952</v>
      </c>
      <c r="H8" s="21">
        <v>4.6923076923076925</v>
      </c>
      <c r="I8" s="21">
        <v>3.5</v>
      </c>
      <c r="J8" s="21">
        <v>4.0909090909090899</v>
      </c>
      <c r="K8" s="21">
        <v>4.2820512820512819</v>
      </c>
      <c r="L8" s="21">
        <v>4.5714285714285721</v>
      </c>
      <c r="M8" s="21">
        <v>4.4999999999999982</v>
      </c>
      <c r="N8" s="26">
        <v>5</v>
      </c>
      <c r="O8" s="65" t="s">
        <v>84</v>
      </c>
      <c r="P8" s="65" t="s">
        <v>84</v>
      </c>
    </row>
    <row r="9" spans="1:16" s="2" customFormat="1" ht="23.95" customHeight="1">
      <c r="A9" s="8" t="s">
        <v>11</v>
      </c>
      <c r="B9" s="26">
        <v>5</v>
      </c>
      <c r="C9" s="65" t="s">
        <v>84</v>
      </c>
      <c r="D9" s="33">
        <v>4.3579545454545423</v>
      </c>
      <c r="E9" s="65" t="s">
        <v>84</v>
      </c>
      <c r="F9" s="26">
        <v>3.6554621848739499</v>
      </c>
      <c r="G9" s="26">
        <v>3.9024390243902434</v>
      </c>
      <c r="H9" s="21">
        <v>4.384615384615385</v>
      </c>
      <c r="I9" s="21">
        <v>4</v>
      </c>
      <c r="J9" s="21">
        <v>3.9545454545454541</v>
      </c>
      <c r="K9" s="21">
        <v>4.1794871794871806</v>
      </c>
      <c r="L9" s="21">
        <v>4.5238095238095246</v>
      </c>
      <c r="M9" s="21">
        <v>4.4512195121951201</v>
      </c>
      <c r="N9" s="26">
        <v>4.5999999999999996</v>
      </c>
      <c r="O9" s="65" t="s">
        <v>84</v>
      </c>
      <c r="P9" s="65" t="s">
        <v>84</v>
      </c>
    </row>
    <row r="10" spans="1:16" s="2" customFormat="1" ht="23.95" customHeight="1">
      <c r="A10" s="8" t="s">
        <v>12</v>
      </c>
      <c r="B10" s="26">
        <v>5</v>
      </c>
      <c r="C10" s="65" t="s">
        <v>84</v>
      </c>
      <c r="D10" s="33">
        <v>4.3977272727272689</v>
      </c>
      <c r="E10" s="65" t="s">
        <v>84</v>
      </c>
      <c r="F10" s="26">
        <v>3.7983193277310923</v>
      </c>
      <c r="G10" s="26">
        <v>4.0000000000000009</v>
      </c>
      <c r="H10" s="21">
        <v>4.4615384615384617</v>
      </c>
      <c r="I10" s="21">
        <v>4.5</v>
      </c>
      <c r="J10" s="21">
        <v>3.9999999999999996</v>
      </c>
      <c r="K10" s="21">
        <v>4.1282051282051295</v>
      </c>
      <c r="L10" s="21">
        <v>4.6428571428571423</v>
      </c>
      <c r="M10" s="21">
        <v>4.5365853658536599</v>
      </c>
      <c r="N10" s="26">
        <v>4.5999999999999996</v>
      </c>
      <c r="O10" s="65" t="s">
        <v>84</v>
      </c>
      <c r="P10" s="65" t="s">
        <v>84</v>
      </c>
    </row>
    <row r="11" spans="1:16" s="2" customFormat="1" ht="23.95" customHeight="1">
      <c r="A11" s="8" t="s">
        <v>13</v>
      </c>
      <c r="B11" s="26">
        <v>5</v>
      </c>
      <c r="C11" s="65" t="s">
        <v>84</v>
      </c>
      <c r="D11" s="33">
        <v>4.4090909090909083</v>
      </c>
      <c r="E11" s="65" t="s">
        <v>84</v>
      </c>
      <c r="F11" s="26">
        <v>3.8067226890756301</v>
      </c>
      <c r="G11" s="26">
        <v>3.975609756097561</v>
      </c>
      <c r="H11" s="21">
        <v>4.5384615384615383</v>
      </c>
      <c r="I11" s="21">
        <v>3.6666666666666665</v>
      </c>
      <c r="J11" s="21">
        <v>3.9545454545454541</v>
      </c>
      <c r="K11" s="21">
        <v>3.9999999999999987</v>
      </c>
      <c r="L11" s="21">
        <v>4.5476190476190492</v>
      </c>
      <c r="M11" s="21">
        <v>4.4878048780487783</v>
      </c>
      <c r="N11" s="26">
        <v>4.5999999999999996</v>
      </c>
      <c r="O11" s="65" t="s">
        <v>84</v>
      </c>
      <c r="P11" s="65" t="s">
        <v>84</v>
      </c>
    </row>
    <row r="12" spans="1:16" s="2" customFormat="1" ht="23.95" customHeight="1">
      <c r="A12" s="8" t="s">
        <v>14</v>
      </c>
      <c r="B12" s="26">
        <v>5</v>
      </c>
      <c r="C12" s="65" t="s">
        <v>84</v>
      </c>
      <c r="D12" s="33">
        <v>4.4431818181818148</v>
      </c>
      <c r="E12" s="65" t="s">
        <v>84</v>
      </c>
      <c r="F12" s="26">
        <v>3.8151260504201683</v>
      </c>
      <c r="G12" s="26">
        <v>3.9634146341463423</v>
      </c>
      <c r="H12" s="21">
        <v>4.4615384615384617</v>
      </c>
      <c r="I12" s="21">
        <v>4.166666666666667</v>
      </c>
      <c r="J12" s="21">
        <v>4.045454545454545</v>
      </c>
      <c r="K12" s="21">
        <v>4.0769230769230766</v>
      </c>
      <c r="L12" s="21">
        <v>4.6190476190476186</v>
      </c>
      <c r="M12" s="21">
        <v>4.4512195121951201</v>
      </c>
      <c r="N12" s="26">
        <v>4.5999999999999996</v>
      </c>
      <c r="O12" s="65" t="s">
        <v>84</v>
      </c>
      <c r="P12" s="65" t="s">
        <v>84</v>
      </c>
    </row>
    <row r="13" spans="1:16" s="2" customFormat="1" ht="23.95" customHeight="1">
      <c r="A13" s="8" t="s">
        <v>15</v>
      </c>
      <c r="B13" s="26">
        <v>5</v>
      </c>
      <c r="C13" s="65" t="s">
        <v>84</v>
      </c>
      <c r="D13" s="33">
        <v>4.5056818181818166</v>
      </c>
      <c r="E13" s="65" t="s">
        <v>84</v>
      </c>
      <c r="F13" s="26">
        <v>3.9243697478991599</v>
      </c>
      <c r="G13" s="26">
        <v>4.0121951219512209</v>
      </c>
      <c r="H13" s="21">
        <v>4.6923076923076925</v>
      </c>
      <c r="I13" s="21">
        <v>4</v>
      </c>
      <c r="J13" s="21">
        <v>4.0909090909090908</v>
      </c>
      <c r="K13" s="21">
        <v>3.974358974358974</v>
      </c>
      <c r="L13" s="21">
        <v>4.5952380952380967</v>
      </c>
      <c r="M13" s="21">
        <v>4.5243902439024408</v>
      </c>
      <c r="N13" s="26">
        <v>4.8</v>
      </c>
      <c r="O13" s="65" t="s">
        <v>84</v>
      </c>
      <c r="P13" s="65" t="s">
        <v>84</v>
      </c>
    </row>
    <row r="14" spans="1:16" s="2" customFormat="1" ht="23.95" customHeight="1">
      <c r="A14" s="8" t="s">
        <v>16</v>
      </c>
      <c r="B14" s="26">
        <v>5</v>
      </c>
      <c r="C14" s="65" t="s">
        <v>84</v>
      </c>
      <c r="D14" s="33">
        <v>4.4659090909090908</v>
      </c>
      <c r="E14" s="65" t="s">
        <v>84</v>
      </c>
      <c r="F14" s="26">
        <v>3.9075630252100844</v>
      </c>
      <c r="G14" s="26">
        <v>4.0000000000000018</v>
      </c>
      <c r="H14" s="21">
        <v>4.6923076923076916</v>
      </c>
      <c r="I14" s="21">
        <v>4</v>
      </c>
      <c r="J14" s="21">
        <v>4.045454545454545</v>
      </c>
      <c r="K14" s="21">
        <v>4.2051282051282062</v>
      </c>
      <c r="L14" s="21">
        <v>4.5000000000000009</v>
      </c>
      <c r="M14" s="21">
        <v>4.5365853658536608</v>
      </c>
      <c r="N14" s="26">
        <v>4.4000000000000004</v>
      </c>
      <c r="O14" s="65" t="s">
        <v>84</v>
      </c>
      <c r="P14" s="65" t="s">
        <v>84</v>
      </c>
    </row>
    <row r="15" spans="1:16" s="2" customFormat="1" ht="23.95" customHeight="1">
      <c r="A15" s="8" t="s">
        <v>17</v>
      </c>
      <c r="B15" s="26">
        <v>5</v>
      </c>
      <c r="C15" s="65" t="s">
        <v>84</v>
      </c>
      <c r="D15" s="33">
        <v>4.4659090909090899</v>
      </c>
      <c r="E15" s="65" t="s">
        <v>84</v>
      </c>
      <c r="F15" s="26">
        <v>3.9159663865546221</v>
      </c>
      <c r="G15" s="26">
        <v>3.9878048780487805</v>
      </c>
      <c r="H15" s="21">
        <v>4.615384615384615</v>
      </c>
      <c r="I15" s="21">
        <v>4.166666666666667</v>
      </c>
      <c r="J15" s="21">
        <v>3.9545454545454541</v>
      </c>
      <c r="K15" s="21">
        <v>4.1025641025641022</v>
      </c>
      <c r="L15" s="21">
        <v>4.6190476190476195</v>
      </c>
      <c r="M15" s="21">
        <v>4.5487804878048799</v>
      </c>
      <c r="N15" s="26">
        <v>4.5999999999999996</v>
      </c>
      <c r="O15" s="65" t="s">
        <v>84</v>
      </c>
      <c r="P15" s="65" t="s">
        <v>84</v>
      </c>
    </row>
    <row r="16" spans="1:16" s="2" customFormat="1" ht="23.95" customHeight="1">
      <c r="A16" s="8" t="s">
        <v>18</v>
      </c>
      <c r="B16" s="26">
        <v>5</v>
      </c>
      <c r="C16" s="65" t="s">
        <v>84</v>
      </c>
      <c r="D16" s="33">
        <v>4.5170454545454586</v>
      </c>
      <c r="E16" s="65" t="s">
        <v>84</v>
      </c>
      <c r="F16" s="26">
        <v>3.8907563025210092</v>
      </c>
      <c r="G16" s="26">
        <v>4.0243902439024399</v>
      </c>
      <c r="H16" s="21">
        <v>4.5384615384615383</v>
      </c>
      <c r="I16" s="21">
        <v>4.3333333333333339</v>
      </c>
      <c r="J16" s="21">
        <v>4.1818181818181808</v>
      </c>
      <c r="K16" s="21">
        <v>4.2307692307692317</v>
      </c>
      <c r="L16" s="21">
        <v>4.5952380952380967</v>
      </c>
      <c r="M16" s="21">
        <v>4.5121951219512182</v>
      </c>
      <c r="N16" s="26">
        <v>4.8</v>
      </c>
      <c r="O16" s="65" t="s">
        <v>84</v>
      </c>
      <c r="P16" s="65" t="s">
        <v>84</v>
      </c>
    </row>
    <row r="17" spans="1:16" s="2" customFormat="1" ht="23.95" customHeight="1">
      <c r="A17" s="8" t="s">
        <v>19</v>
      </c>
      <c r="B17" s="26">
        <v>5</v>
      </c>
      <c r="C17" s="65" t="s">
        <v>84</v>
      </c>
      <c r="D17" s="33">
        <v>4.5056818181818219</v>
      </c>
      <c r="E17" s="65" t="s">
        <v>84</v>
      </c>
      <c r="F17" s="26">
        <v>3.9243697478991599</v>
      </c>
      <c r="G17" s="26">
        <v>4.0731707317073162</v>
      </c>
      <c r="H17" s="21">
        <v>4.5384615384615383</v>
      </c>
      <c r="I17" s="21">
        <v>4</v>
      </c>
      <c r="J17" s="21">
        <v>4.1363636363636367</v>
      </c>
      <c r="K17" s="21">
        <v>4.0256410256410264</v>
      </c>
      <c r="L17" s="21">
        <v>4.6904761904761898</v>
      </c>
      <c r="M17" s="21">
        <v>4.4999999999999982</v>
      </c>
      <c r="N17" s="26">
        <v>4.8</v>
      </c>
      <c r="O17" s="65" t="s">
        <v>84</v>
      </c>
      <c r="P17" s="65" t="s">
        <v>84</v>
      </c>
    </row>
    <row r="18" spans="1:16" s="2" customFormat="1" ht="23.95" customHeight="1">
      <c r="A18" s="8" t="s">
        <v>20</v>
      </c>
      <c r="B18" s="26">
        <v>5</v>
      </c>
      <c r="C18" s="65" t="s">
        <v>84</v>
      </c>
      <c r="D18" s="33">
        <v>4.4204545454545459</v>
      </c>
      <c r="E18" s="65" t="s">
        <v>84</v>
      </c>
      <c r="F18" s="26">
        <v>3.9579831932773102</v>
      </c>
      <c r="G18" s="26">
        <v>4.036585365853659</v>
      </c>
      <c r="H18" s="21">
        <v>4.4615384615384617</v>
      </c>
      <c r="I18" s="21">
        <v>4.3333333333333339</v>
      </c>
      <c r="J18" s="21">
        <v>4.0909090909090908</v>
      </c>
      <c r="K18" s="21">
        <v>4.1794871794871797</v>
      </c>
      <c r="L18" s="21">
        <v>4.5714285714285721</v>
      </c>
      <c r="M18" s="21">
        <v>4.5243902439024408</v>
      </c>
      <c r="N18" s="26">
        <v>4.8</v>
      </c>
      <c r="O18" s="65" t="s">
        <v>84</v>
      </c>
      <c r="P18" s="65" t="s">
        <v>84</v>
      </c>
    </row>
    <row r="19" spans="1:16" s="2" customFormat="1" ht="23.95" customHeight="1">
      <c r="A19" s="8" t="s">
        <v>21</v>
      </c>
      <c r="B19" s="26">
        <v>5</v>
      </c>
      <c r="C19" s="65" t="s">
        <v>84</v>
      </c>
      <c r="D19" s="33">
        <v>4.511363636363634</v>
      </c>
      <c r="E19" s="65" t="s">
        <v>84</v>
      </c>
      <c r="F19" s="26">
        <v>3.9999999999999991</v>
      </c>
      <c r="G19" s="26">
        <v>4.0365853658536581</v>
      </c>
      <c r="H19" s="21">
        <v>4.5384615384615383</v>
      </c>
      <c r="I19" s="21">
        <v>4.5</v>
      </c>
      <c r="J19" s="21">
        <v>4.1818181818181808</v>
      </c>
      <c r="K19" s="21">
        <v>4.2820512820512819</v>
      </c>
      <c r="L19" s="21">
        <v>4.6428571428571423</v>
      </c>
      <c r="M19" s="21">
        <v>4.5609756097560954</v>
      </c>
      <c r="N19" s="26">
        <v>4.8</v>
      </c>
      <c r="O19" s="65" t="s">
        <v>84</v>
      </c>
      <c r="P19" s="65" t="s">
        <v>84</v>
      </c>
    </row>
    <row r="20" spans="1:16" s="2" customFormat="1" ht="23.95" customHeight="1">
      <c r="A20" s="8" t="s">
        <v>22</v>
      </c>
      <c r="B20" s="26">
        <v>5</v>
      </c>
      <c r="C20" s="65" t="s">
        <v>84</v>
      </c>
      <c r="D20" s="33">
        <v>4.5511363636363633</v>
      </c>
      <c r="E20" s="65" t="s">
        <v>84</v>
      </c>
      <c r="F20" s="26">
        <v>4.0084033613445378</v>
      </c>
      <c r="G20" s="26">
        <v>4.1585365853658525</v>
      </c>
      <c r="H20" s="21">
        <v>4.5384615384615383</v>
      </c>
      <c r="I20" s="21">
        <v>3.5</v>
      </c>
      <c r="J20" s="21">
        <v>4.2272727272727266</v>
      </c>
      <c r="K20" s="21">
        <v>4.2820512820512828</v>
      </c>
      <c r="L20" s="21">
        <v>4.666666666666667</v>
      </c>
      <c r="M20" s="21">
        <v>4.5609756097560981</v>
      </c>
      <c r="N20" s="26">
        <v>4.8</v>
      </c>
      <c r="O20" s="65" t="s">
        <v>84</v>
      </c>
      <c r="P20" s="65" t="s">
        <v>84</v>
      </c>
    </row>
    <row r="21" spans="1:16" s="2" customFormat="1" ht="23.95" customHeight="1">
      <c r="A21" s="16" t="s">
        <v>23</v>
      </c>
      <c r="B21" s="26">
        <v>5</v>
      </c>
      <c r="C21" s="65" t="s">
        <v>84</v>
      </c>
      <c r="D21" s="33">
        <v>4.4797585227272743</v>
      </c>
      <c r="E21" s="65" t="s">
        <v>84</v>
      </c>
      <c r="F21" s="26">
        <v>3.8828781512605044</v>
      </c>
      <c r="G21" s="26">
        <v>4.0472560975609762</v>
      </c>
      <c r="H21" s="21">
        <v>4.5913461538461542</v>
      </c>
      <c r="I21" s="21">
        <v>4.03125</v>
      </c>
      <c r="J21" s="21">
        <v>4.0795454545454541</v>
      </c>
      <c r="K21" s="21">
        <v>4.1682692307692317</v>
      </c>
      <c r="L21" s="21">
        <v>4.6011904761904754</v>
      </c>
      <c r="M21" s="21">
        <v>4.5144817073170751</v>
      </c>
      <c r="N21" s="26">
        <v>4.7374999999999998</v>
      </c>
      <c r="O21" s="65" t="s">
        <v>84</v>
      </c>
      <c r="P21" s="65" t="s">
        <v>84</v>
      </c>
    </row>
    <row r="22" spans="1:16" s="2" customFormat="1" ht="24.8" customHeight="1">
      <c r="A22" s="9" t="s">
        <v>24</v>
      </c>
      <c r="B22" s="67">
        <f>B21*20</f>
        <v>100</v>
      </c>
      <c r="C22" s="65" t="s">
        <v>84</v>
      </c>
      <c r="D22" s="67">
        <f>D21*20</f>
        <v>89.595170454545482</v>
      </c>
      <c r="E22" s="65" t="s">
        <v>84</v>
      </c>
      <c r="F22" s="67">
        <f>F21*20</f>
        <v>77.657563025210095</v>
      </c>
      <c r="G22" s="67">
        <f t="shared" ref="G22:M22" si="0">G21*20</f>
        <v>80.945121951219519</v>
      </c>
      <c r="H22" s="67">
        <f t="shared" si="0"/>
        <v>91.82692307692308</v>
      </c>
      <c r="I22" s="67">
        <f>I21*20</f>
        <v>80.625</v>
      </c>
      <c r="J22" s="67">
        <f t="shared" si="0"/>
        <v>81.590909090909079</v>
      </c>
      <c r="K22" s="67">
        <f t="shared" si="0"/>
        <v>83.365384615384642</v>
      </c>
      <c r="L22" s="67">
        <f t="shared" si="0"/>
        <v>92.023809523809504</v>
      </c>
      <c r="M22" s="67">
        <f t="shared" si="0"/>
        <v>90.289634146341498</v>
      </c>
      <c r="N22" s="67">
        <f>N21*20</f>
        <v>94.75</v>
      </c>
      <c r="O22" s="65" t="s">
        <v>84</v>
      </c>
      <c r="P22" s="65" t="s">
        <v>84</v>
      </c>
    </row>
    <row r="23" spans="1:16">
      <c r="A23" s="17" t="s">
        <v>61</v>
      </c>
      <c r="B23" s="66">
        <v>100</v>
      </c>
      <c r="C23" s="23" t="s">
        <v>85</v>
      </c>
      <c r="D23" s="66">
        <v>94.88636363636364</v>
      </c>
      <c r="E23" s="23" t="s">
        <v>85</v>
      </c>
      <c r="F23" s="66">
        <v>87.394957983193279</v>
      </c>
      <c r="G23" s="24">
        <v>90.243902439024396</v>
      </c>
      <c r="H23" s="66">
        <v>92.307692307692307</v>
      </c>
      <c r="I23" s="66">
        <v>83.33</v>
      </c>
      <c r="J23" s="66">
        <v>90.909090909090907</v>
      </c>
      <c r="K23" s="66">
        <v>92.307692307692307</v>
      </c>
      <c r="L23" s="66">
        <v>100</v>
      </c>
      <c r="M23" s="66">
        <v>98.780487804878049</v>
      </c>
      <c r="N23" s="81">
        <v>100</v>
      </c>
      <c r="O23" s="23" t="s">
        <v>85</v>
      </c>
      <c r="P23" s="23" t="s">
        <v>85</v>
      </c>
    </row>
    <row r="25" spans="1:16" ht="23.95" customHeight="1"/>
    <row r="26" spans="1:16" ht="59.3" customHeight="1">
      <c r="A26" s="6" t="s">
        <v>0</v>
      </c>
      <c r="B26" s="1" t="s">
        <v>71</v>
      </c>
      <c r="C26" s="1" t="s">
        <v>7</v>
      </c>
      <c r="D26" s="1" t="s">
        <v>6</v>
      </c>
      <c r="E26" s="1" t="s">
        <v>8</v>
      </c>
      <c r="F26" s="1" t="s">
        <v>73</v>
      </c>
      <c r="G26" s="1" t="s">
        <v>79</v>
      </c>
      <c r="H26" s="1" t="s">
        <v>76</v>
      </c>
      <c r="I26" s="1" t="s">
        <v>25</v>
      </c>
      <c r="J26" s="1" t="s">
        <v>62</v>
      </c>
      <c r="K26" s="1" t="s">
        <v>89</v>
      </c>
      <c r="L26" s="1" t="s">
        <v>90</v>
      </c>
      <c r="M26" s="1" t="s">
        <v>67</v>
      </c>
      <c r="N26" s="1" t="s">
        <v>72</v>
      </c>
      <c r="O26" s="1" t="s">
        <v>1</v>
      </c>
    </row>
    <row r="27" spans="1:16" s="29" customFormat="1" ht="23.95" customHeight="1">
      <c r="A27" s="9" t="s">
        <v>9</v>
      </c>
      <c r="B27" s="27">
        <v>1</v>
      </c>
      <c r="C27" s="65" t="s">
        <v>84</v>
      </c>
      <c r="D27" s="65">
        <v>1</v>
      </c>
      <c r="E27" s="27">
        <v>6</v>
      </c>
      <c r="F27" s="27">
        <v>20</v>
      </c>
      <c r="G27" s="28">
        <v>19</v>
      </c>
      <c r="H27" s="27">
        <v>35</v>
      </c>
      <c r="I27" s="65" t="s">
        <v>84</v>
      </c>
      <c r="J27" s="27">
        <v>13</v>
      </c>
      <c r="K27" s="27">
        <v>1</v>
      </c>
      <c r="L27" s="27">
        <v>13</v>
      </c>
      <c r="M27" s="27">
        <v>16</v>
      </c>
      <c r="N27" s="27">
        <v>46</v>
      </c>
      <c r="O27" s="27">
        <v>5</v>
      </c>
    </row>
    <row r="28" spans="1:16" ht="23.95" customHeight="1">
      <c r="A28" s="8" t="s">
        <v>26</v>
      </c>
      <c r="B28" s="99">
        <v>5</v>
      </c>
      <c r="C28" s="65" t="s">
        <v>84</v>
      </c>
      <c r="D28" s="79">
        <v>5</v>
      </c>
      <c r="E28" s="21">
        <v>4.833333333333333</v>
      </c>
      <c r="F28" s="26">
        <v>4.4499999999999993</v>
      </c>
      <c r="G28" s="21">
        <v>4.6842105263157894</v>
      </c>
      <c r="H28" s="21">
        <v>4.5714285714285712</v>
      </c>
      <c r="I28" s="65" t="s">
        <v>84</v>
      </c>
      <c r="J28" s="21">
        <v>4.7692307692307701</v>
      </c>
      <c r="K28" s="26">
        <v>5</v>
      </c>
      <c r="L28" s="21">
        <v>4.4615384615384617</v>
      </c>
      <c r="M28" s="26">
        <v>4.625</v>
      </c>
      <c r="N28" s="21">
        <v>4.1956521739130439</v>
      </c>
      <c r="O28" s="26">
        <v>4.8</v>
      </c>
    </row>
    <row r="29" spans="1:16" ht="23.95" customHeight="1">
      <c r="A29" s="8" t="s">
        <v>59</v>
      </c>
      <c r="B29" s="99">
        <v>5</v>
      </c>
      <c r="C29" s="65" t="s">
        <v>84</v>
      </c>
      <c r="D29" s="79">
        <v>4</v>
      </c>
      <c r="E29" s="21">
        <v>4.6666666666666661</v>
      </c>
      <c r="F29" s="26">
        <v>4.4499999999999984</v>
      </c>
      <c r="G29" s="21">
        <v>4.6315789473684204</v>
      </c>
      <c r="H29" s="21">
        <v>4.5142857142857142</v>
      </c>
      <c r="I29" s="65" t="s">
        <v>84</v>
      </c>
      <c r="J29" s="21">
        <v>4.7692307692307692</v>
      </c>
      <c r="K29" s="26">
        <v>5</v>
      </c>
      <c r="L29" s="21">
        <v>4.384615384615385</v>
      </c>
      <c r="M29" s="26">
        <v>4.625</v>
      </c>
      <c r="N29" s="21">
        <v>4.2391304347826075</v>
      </c>
      <c r="O29" s="26">
        <v>4.8</v>
      </c>
    </row>
    <row r="30" spans="1:16" ht="23.95" customHeight="1">
      <c r="A30" s="8" t="s">
        <v>60</v>
      </c>
      <c r="B30" s="99">
        <v>4</v>
      </c>
      <c r="C30" s="65" t="s">
        <v>84</v>
      </c>
      <c r="D30" s="79">
        <v>5</v>
      </c>
      <c r="E30" s="21">
        <v>4.5</v>
      </c>
      <c r="F30" s="26">
        <v>4.4999999999999991</v>
      </c>
      <c r="G30" s="21">
        <v>4.6842105263157894</v>
      </c>
      <c r="H30" s="21">
        <v>4.371428571428571</v>
      </c>
      <c r="I30" s="65" t="s">
        <v>84</v>
      </c>
      <c r="J30" s="21">
        <v>4.7692307692307692</v>
      </c>
      <c r="K30" s="26">
        <v>5</v>
      </c>
      <c r="L30" s="21">
        <v>4.384615384615385</v>
      </c>
      <c r="M30" s="26">
        <v>4.6874999999999991</v>
      </c>
      <c r="N30" s="21">
        <v>4.1739130434782608</v>
      </c>
      <c r="O30" s="26">
        <v>4.8</v>
      </c>
    </row>
    <row r="31" spans="1:16" ht="23.95" customHeight="1">
      <c r="A31" s="8" t="s">
        <v>10</v>
      </c>
      <c r="B31" s="99">
        <v>5</v>
      </c>
      <c r="C31" s="65" t="s">
        <v>84</v>
      </c>
      <c r="D31" s="79">
        <v>4</v>
      </c>
      <c r="E31" s="21">
        <v>4.6666666666666661</v>
      </c>
      <c r="F31" s="26">
        <v>4.45</v>
      </c>
      <c r="G31" s="21">
        <v>4.6315789473684204</v>
      </c>
      <c r="H31" s="21">
        <v>4.4857142857142849</v>
      </c>
      <c r="I31" s="65" t="s">
        <v>84</v>
      </c>
      <c r="J31" s="21">
        <v>4.6153846153846159</v>
      </c>
      <c r="K31" s="26">
        <v>5</v>
      </c>
      <c r="L31" s="21">
        <v>4.3076923076923075</v>
      </c>
      <c r="M31" s="26">
        <v>4.5625</v>
      </c>
      <c r="N31" s="21">
        <v>4.1739130434782608</v>
      </c>
      <c r="O31" s="26">
        <v>4.8</v>
      </c>
    </row>
    <row r="32" spans="1:16" ht="23.95" customHeight="1">
      <c r="A32" s="8" t="s">
        <v>11</v>
      </c>
      <c r="B32" s="99">
        <v>5</v>
      </c>
      <c r="C32" s="65" t="s">
        <v>84</v>
      </c>
      <c r="D32" s="79">
        <v>4</v>
      </c>
      <c r="E32" s="21">
        <v>3.8333333333333335</v>
      </c>
      <c r="F32" s="26">
        <v>4.4999999999999991</v>
      </c>
      <c r="G32" s="21">
        <v>4.6315789473684204</v>
      </c>
      <c r="H32" s="21">
        <v>4.2857142857142883</v>
      </c>
      <c r="I32" s="65" t="s">
        <v>84</v>
      </c>
      <c r="J32" s="21">
        <v>4.6923076923076925</v>
      </c>
      <c r="K32" s="26">
        <v>5</v>
      </c>
      <c r="L32" s="21">
        <v>4.3846153846153841</v>
      </c>
      <c r="M32" s="26">
        <v>4.2499999999999991</v>
      </c>
      <c r="N32" s="21">
        <v>4.0434782608695654</v>
      </c>
      <c r="O32" s="26">
        <v>3.8</v>
      </c>
    </row>
    <row r="33" spans="1:15" ht="23.95" customHeight="1">
      <c r="A33" s="8" t="s">
        <v>12</v>
      </c>
      <c r="B33" s="99">
        <v>4</v>
      </c>
      <c r="C33" s="65" t="s">
        <v>84</v>
      </c>
      <c r="D33" s="79">
        <v>4</v>
      </c>
      <c r="E33" s="21">
        <v>3.6666666666666665</v>
      </c>
      <c r="F33" s="26">
        <v>4.6499999999999995</v>
      </c>
      <c r="G33" s="21">
        <v>4.6842105263157894</v>
      </c>
      <c r="H33" s="21">
        <v>4.4285714285714279</v>
      </c>
      <c r="I33" s="65" t="s">
        <v>84</v>
      </c>
      <c r="J33" s="21">
        <v>4.6923076923076925</v>
      </c>
      <c r="K33" s="26">
        <v>5</v>
      </c>
      <c r="L33" s="21">
        <v>4.4615384615384617</v>
      </c>
      <c r="M33" s="26">
        <v>4.4374999999999991</v>
      </c>
      <c r="N33" s="21">
        <v>4.086956521739129</v>
      </c>
      <c r="O33" s="26">
        <v>4</v>
      </c>
    </row>
    <row r="34" spans="1:15" ht="23.95" customHeight="1">
      <c r="A34" s="8" t="s">
        <v>13</v>
      </c>
      <c r="B34" s="99">
        <v>4</v>
      </c>
      <c r="C34" s="65" t="s">
        <v>84</v>
      </c>
      <c r="D34" s="79">
        <v>4</v>
      </c>
      <c r="E34" s="21">
        <v>4</v>
      </c>
      <c r="F34" s="26">
        <v>4.6000000000000005</v>
      </c>
      <c r="G34" s="21">
        <v>4.6315789473684204</v>
      </c>
      <c r="H34" s="21">
        <v>4.5999999999999996</v>
      </c>
      <c r="I34" s="65" t="s">
        <v>84</v>
      </c>
      <c r="J34" s="21">
        <v>4.7692307692307692</v>
      </c>
      <c r="K34" s="26">
        <v>5</v>
      </c>
      <c r="L34" s="21">
        <v>4.4615384615384617</v>
      </c>
      <c r="M34" s="26">
        <v>4.4374999999999991</v>
      </c>
      <c r="N34" s="21">
        <v>4.0652173913043468</v>
      </c>
      <c r="O34" s="26">
        <v>4</v>
      </c>
    </row>
    <row r="35" spans="1:15" ht="23.95" customHeight="1">
      <c r="A35" s="8" t="s">
        <v>14</v>
      </c>
      <c r="B35" s="99">
        <v>5</v>
      </c>
      <c r="C35" s="65" t="s">
        <v>84</v>
      </c>
      <c r="D35" s="79">
        <v>4</v>
      </c>
      <c r="E35" s="21">
        <v>4.166666666666667</v>
      </c>
      <c r="F35" s="26">
        <v>4.5999999999999988</v>
      </c>
      <c r="G35" s="21">
        <v>4.6842105263157894</v>
      </c>
      <c r="H35" s="21">
        <v>4.4571428571428564</v>
      </c>
      <c r="I35" s="65" t="s">
        <v>84</v>
      </c>
      <c r="J35" s="21">
        <v>4.6923076923076925</v>
      </c>
      <c r="K35" s="26">
        <v>5</v>
      </c>
      <c r="L35" s="21">
        <v>4.2307692307692308</v>
      </c>
      <c r="M35" s="26">
        <v>4.6874999999999991</v>
      </c>
      <c r="N35" s="21">
        <v>4.0217391304347823</v>
      </c>
      <c r="O35" s="26">
        <v>4.4000000000000004</v>
      </c>
    </row>
    <row r="36" spans="1:15" ht="23.95" customHeight="1">
      <c r="A36" s="8" t="s">
        <v>15</v>
      </c>
      <c r="B36" s="99">
        <v>5</v>
      </c>
      <c r="C36" s="65" t="s">
        <v>84</v>
      </c>
      <c r="D36" s="79">
        <v>5</v>
      </c>
      <c r="E36" s="21">
        <v>4.166666666666667</v>
      </c>
      <c r="F36" s="26">
        <v>4.6499999999999995</v>
      </c>
      <c r="G36" s="21">
        <v>4.6842105263157894</v>
      </c>
      <c r="H36" s="21">
        <v>4.6000000000000005</v>
      </c>
      <c r="I36" s="65" t="s">
        <v>84</v>
      </c>
      <c r="J36" s="21">
        <v>4.7692307692307692</v>
      </c>
      <c r="K36" s="26">
        <v>5</v>
      </c>
      <c r="L36" s="21">
        <v>4.4615384615384617</v>
      </c>
      <c r="M36" s="26">
        <v>4.7499999999999991</v>
      </c>
      <c r="N36" s="21">
        <v>4.1304347826086962</v>
      </c>
      <c r="O36" s="26">
        <v>4.5999999999999996</v>
      </c>
    </row>
    <row r="37" spans="1:15" ht="23.95" customHeight="1">
      <c r="A37" s="8" t="s">
        <v>16</v>
      </c>
      <c r="B37" s="99">
        <v>5</v>
      </c>
      <c r="C37" s="65" t="s">
        <v>84</v>
      </c>
      <c r="D37" s="79">
        <v>5</v>
      </c>
      <c r="E37" s="21">
        <v>4.3333333333333339</v>
      </c>
      <c r="F37" s="26">
        <v>4.5999999999999988</v>
      </c>
      <c r="G37" s="21">
        <v>4.6315789473684204</v>
      </c>
      <c r="H37" s="21">
        <v>4.6571428571428575</v>
      </c>
      <c r="I37" s="65" t="s">
        <v>84</v>
      </c>
      <c r="J37" s="21">
        <v>4.6923076923076925</v>
      </c>
      <c r="K37" s="26">
        <v>5</v>
      </c>
      <c r="L37" s="21">
        <v>4.384615384615385</v>
      </c>
      <c r="M37" s="26">
        <v>4.4999999999999991</v>
      </c>
      <c r="N37" s="21">
        <v>4.1304347826086962</v>
      </c>
      <c r="O37" s="26">
        <v>4.2</v>
      </c>
    </row>
    <row r="38" spans="1:15" ht="23.95" customHeight="1">
      <c r="A38" s="8" t="s">
        <v>17</v>
      </c>
      <c r="B38" s="99">
        <v>4</v>
      </c>
      <c r="C38" s="65" t="s">
        <v>84</v>
      </c>
      <c r="D38" s="79">
        <v>5</v>
      </c>
      <c r="E38" s="21">
        <v>4.166666666666667</v>
      </c>
      <c r="F38" s="26">
        <v>4.5499999999999989</v>
      </c>
      <c r="G38" s="21">
        <v>4.6842105263157894</v>
      </c>
      <c r="H38" s="21">
        <v>4.5428571428571436</v>
      </c>
      <c r="I38" s="65" t="s">
        <v>84</v>
      </c>
      <c r="J38" s="21">
        <v>4.6923076923076925</v>
      </c>
      <c r="K38" s="26">
        <v>5</v>
      </c>
      <c r="L38" s="21">
        <v>4.384615384615385</v>
      </c>
      <c r="M38" s="26">
        <v>4.7499999999999991</v>
      </c>
      <c r="N38" s="21">
        <v>4.2391304347826084</v>
      </c>
      <c r="O38" s="26">
        <v>4.4000000000000004</v>
      </c>
    </row>
    <row r="39" spans="1:15" ht="23.95" customHeight="1">
      <c r="A39" s="8" t="s">
        <v>18</v>
      </c>
      <c r="B39" s="99">
        <v>4</v>
      </c>
      <c r="C39" s="65" t="s">
        <v>84</v>
      </c>
      <c r="D39" s="79">
        <v>4</v>
      </c>
      <c r="E39" s="21">
        <v>4.5</v>
      </c>
      <c r="F39" s="26">
        <v>4.4999999999999991</v>
      </c>
      <c r="G39" s="21">
        <v>4.6315789473684204</v>
      </c>
      <c r="H39" s="21">
        <v>4.4285714285714288</v>
      </c>
      <c r="I39" s="65" t="s">
        <v>84</v>
      </c>
      <c r="J39" s="21">
        <v>4.6923076923076925</v>
      </c>
      <c r="K39" s="26">
        <v>5</v>
      </c>
      <c r="L39" s="21">
        <v>4.384615384615385</v>
      </c>
      <c r="M39" s="26">
        <v>4.5625</v>
      </c>
      <c r="N39" s="21">
        <v>4.195652173913043</v>
      </c>
      <c r="O39" s="26">
        <v>4.8</v>
      </c>
    </row>
    <row r="40" spans="1:15" ht="23.95" customHeight="1">
      <c r="A40" s="8" t="s">
        <v>19</v>
      </c>
      <c r="B40" s="99">
        <v>4</v>
      </c>
      <c r="C40" s="65" t="s">
        <v>84</v>
      </c>
      <c r="D40" s="79">
        <v>4</v>
      </c>
      <c r="E40" s="21">
        <v>4.5</v>
      </c>
      <c r="F40" s="26">
        <v>4.55</v>
      </c>
      <c r="G40" s="21">
        <v>4.6315789473684204</v>
      </c>
      <c r="H40" s="21">
        <v>4.5428571428571436</v>
      </c>
      <c r="I40" s="65" t="s">
        <v>84</v>
      </c>
      <c r="J40" s="21">
        <v>4.6923076923076925</v>
      </c>
      <c r="K40" s="26">
        <v>5</v>
      </c>
      <c r="L40" s="21">
        <v>4.3076923076923075</v>
      </c>
      <c r="M40" s="26">
        <v>4.6875</v>
      </c>
      <c r="N40" s="21">
        <v>4.2826086956521738</v>
      </c>
      <c r="O40" s="26">
        <v>4.8</v>
      </c>
    </row>
    <row r="41" spans="1:15" ht="23.95" customHeight="1">
      <c r="A41" s="8" t="s">
        <v>20</v>
      </c>
      <c r="B41" s="99">
        <v>4</v>
      </c>
      <c r="C41" s="65" t="s">
        <v>84</v>
      </c>
      <c r="D41" s="79">
        <v>5</v>
      </c>
      <c r="E41" s="21">
        <v>4.6666666666666661</v>
      </c>
      <c r="F41" s="26">
        <v>4.6000000000000005</v>
      </c>
      <c r="G41" s="21">
        <v>4.6842105263157894</v>
      </c>
      <c r="H41" s="21">
        <v>4.5142857142857142</v>
      </c>
      <c r="I41" s="65" t="s">
        <v>84</v>
      </c>
      <c r="J41" s="21">
        <v>4.6923076923076925</v>
      </c>
      <c r="K41" s="26">
        <v>5</v>
      </c>
      <c r="L41" s="21">
        <v>4.3076923076923075</v>
      </c>
      <c r="M41" s="26">
        <v>4.75</v>
      </c>
      <c r="N41" s="21">
        <v>4.2173913043478253</v>
      </c>
      <c r="O41" s="26">
        <v>4.8</v>
      </c>
    </row>
    <row r="42" spans="1:15" ht="23.95" customHeight="1">
      <c r="A42" s="8" t="s">
        <v>21</v>
      </c>
      <c r="B42" s="99">
        <v>4</v>
      </c>
      <c r="C42" s="65" t="s">
        <v>84</v>
      </c>
      <c r="D42" s="79">
        <v>5</v>
      </c>
      <c r="E42" s="21">
        <v>4.5</v>
      </c>
      <c r="F42" s="26">
        <v>4.6000000000000005</v>
      </c>
      <c r="G42" s="21">
        <v>4.6315789473684204</v>
      </c>
      <c r="H42" s="21">
        <v>4.628571428571429</v>
      </c>
      <c r="I42" s="65" t="s">
        <v>84</v>
      </c>
      <c r="J42" s="21">
        <v>4.6923076923076925</v>
      </c>
      <c r="K42" s="26">
        <v>5</v>
      </c>
      <c r="L42" s="21">
        <v>4.3076923076923075</v>
      </c>
      <c r="M42" s="26">
        <v>4.6874999999999991</v>
      </c>
      <c r="N42" s="21">
        <v>4.3043478260869552</v>
      </c>
      <c r="O42" s="26">
        <v>4.8</v>
      </c>
    </row>
    <row r="43" spans="1:15" ht="23.95" customHeight="1">
      <c r="A43" s="8" t="s">
        <v>22</v>
      </c>
      <c r="B43" s="99">
        <v>5</v>
      </c>
      <c r="C43" s="65" t="s">
        <v>84</v>
      </c>
      <c r="D43" s="79">
        <v>5</v>
      </c>
      <c r="E43" s="21">
        <v>4</v>
      </c>
      <c r="F43" s="26">
        <v>4.6000000000000005</v>
      </c>
      <c r="G43" s="21">
        <v>4.6315789473684204</v>
      </c>
      <c r="H43" s="21">
        <v>4.5714285714285721</v>
      </c>
      <c r="I43" s="65" t="s">
        <v>84</v>
      </c>
      <c r="J43" s="21">
        <v>4.7692307692307692</v>
      </c>
      <c r="K43" s="26">
        <v>5</v>
      </c>
      <c r="L43" s="21">
        <v>4.615384615384615</v>
      </c>
      <c r="M43" s="26">
        <v>4.6875</v>
      </c>
      <c r="N43" s="21">
        <v>4.3913043478260878</v>
      </c>
      <c r="O43" s="26">
        <v>4</v>
      </c>
    </row>
    <row r="44" spans="1:15" ht="23.95" customHeight="1">
      <c r="A44" s="9" t="s">
        <v>23</v>
      </c>
      <c r="B44" s="99">
        <v>4.5</v>
      </c>
      <c r="C44" s="65" t="s">
        <v>84</v>
      </c>
      <c r="D44" s="79">
        <v>4.5</v>
      </c>
      <c r="E44" s="21">
        <v>4.3229166666666661</v>
      </c>
      <c r="F44" s="26">
        <v>4.5531249999999988</v>
      </c>
      <c r="G44" s="21">
        <v>4.6546052631578947</v>
      </c>
      <c r="H44" s="21">
        <v>4.5124999999999984</v>
      </c>
      <c r="I44" s="65" t="s">
        <v>84</v>
      </c>
      <c r="J44" s="21">
        <v>4.7163461538461533</v>
      </c>
      <c r="K44" s="26">
        <v>5</v>
      </c>
      <c r="L44" s="21">
        <v>4.3894230769230775</v>
      </c>
      <c r="M44" s="26">
        <v>4.60546875</v>
      </c>
      <c r="N44" s="21">
        <v>4.1807065217391308</v>
      </c>
      <c r="O44" s="26">
        <v>4.4874999999999998</v>
      </c>
    </row>
    <row r="45" spans="1:15">
      <c r="A45" s="9" t="s">
        <v>24</v>
      </c>
      <c r="B45" s="67">
        <f t="shared" ref="B45:O45" si="1">B44*20</f>
        <v>90</v>
      </c>
      <c r="C45" s="65" t="s">
        <v>84</v>
      </c>
      <c r="D45" s="67">
        <f t="shared" si="1"/>
        <v>90</v>
      </c>
      <c r="E45" s="67">
        <f t="shared" si="1"/>
        <v>86.458333333333314</v>
      </c>
      <c r="F45" s="67">
        <f t="shared" si="1"/>
        <v>91.062499999999972</v>
      </c>
      <c r="G45" s="67">
        <f t="shared" si="1"/>
        <v>93.09210526315789</v>
      </c>
      <c r="H45" s="67">
        <f t="shared" si="1"/>
        <v>90.249999999999972</v>
      </c>
      <c r="I45" s="65" t="s">
        <v>84</v>
      </c>
      <c r="J45" s="67">
        <f t="shared" si="1"/>
        <v>94.326923076923066</v>
      </c>
      <c r="K45" s="67">
        <f t="shared" ref="K45:L45" si="2">K44*20</f>
        <v>100</v>
      </c>
      <c r="L45" s="67">
        <f t="shared" si="2"/>
        <v>87.788461538461547</v>
      </c>
      <c r="M45" s="67">
        <f t="shared" si="1"/>
        <v>92.109375</v>
      </c>
      <c r="N45" s="67">
        <f t="shared" si="1"/>
        <v>83.614130434782624</v>
      </c>
      <c r="O45" s="67">
        <f t="shared" si="1"/>
        <v>89.75</v>
      </c>
    </row>
    <row r="46" spans="1:15">
      <c r="A46" s="80" t="s">
        <v>61</v>
      </c>
      <c r="B46" s="82">
        <v>100</v>
      </c>
      <c r="C46" s="83" t="s">
        <v>85</v>
      </c>
      <c r="D46" s="82">
        <v>100</v>
      </c>
      <c r="E46" s="81">
        <v>66.67</v>
      </c>
      <c r="F46" s="81">
        <v>95</v>
      </c>
      <c r="G46" s="81">
        <v>100</v>
      </c>
      <c r="H46" s="81">
        <v>100</v>
      </c>
      <c r="I46" s="83" t="s">
        <v>85</v>
      </c>
      <c r="J46" s="81">
        <v>100</v>
      </c>
      <c r="K46" s="81">
        <v>100</v>
      </c>
      <c r="L46" s="81">
        <v>100</v>
      </c>
      <c r="M46" s="81">
        <v>100</v>
      </c>
      <c r="N46" s="81">
        <v>97.826086956521735</v>
      </c>
      <c r="O46" s="82">
        <v>100</v>
      </c>
    </row>
    <row r="48" spans="1:15" ht="23.95" customHeight="1"/>
    <row r="49" spans="1:14" s="15" customFormat="1" ht="23.95" customHeight="1">
      <c r="A49" s="6" t="s">
        <v>0</v>
      </c>
      <c r="B49" s="5" t="s">
        <v>63</v>
      </c>
      <c r="C49" s="5" t="s">
        <v>27</v>
      </c>
      <c r="D49" s="5" t="s">
        <v>65</v>
      </c>
      <c r="E49" s="5" t="s">
        <v>29</v>
      </c>
      <c r="F49" s="18" t="s">
        <v>69</v>
      </c>
      <c r="G49" s="5" t="s">
        <v>30</v>
      </c>
      <c r="H49" s="5" t="s">
        <v>31</v>
      </c>
      <c r="I49" s="5" t="s">
        <v>32</v>
      </c>
      <c r="J49" s="5" t="s">
        <v>33</v>
      </c>
      <c r="K49" s="5" t="s">
        <v>34</v>
      </c>
      <c r="L49" s="5" t="s">
        <v>64</v>
      </c>
      <c r="M49" s="5" t="s">
        <v>35</v>
      </c>
      <c r="N49" s="5" t="s">
        <v>36</v>
      </c>
    </row>
    <row r="50" spans="1:14" s="29" customFormat="1" ht="23.95" customHeight="1">
      <c r="A50" s="9" t="s">
        <v>9</v>
      </c>
      <c r="B50" s="27">
        <v>26</v>
      </c>
      <c r="C50" s="34">
        <v>52</v>
      </c>
      <c r="D50" s="27">
        <v>33</v>
      </c>
      <c r="E50" s="27">
        <v>15</v>
      </c>
      <c r="F50" s="27">
        <v>5</v>
      </c>
      <c r="G50" s="27">
        <v>73</v>
      </c>
      <c r="H50" s="27">
        <v>72</v>
      </c>
      <c r="I50" s="65" t="s">
        <v>84</v>
      </c>
      <c r="J50" s="30">
        <v>36</v>
      </c>
      <c r="K50" s="31">
        <v>55</v>
      </c>
      <c r="L50" s="27">
        <v>63</v>
      </c>
      <c r="M50" s="27">
        <v>42</v>
      </c>
      <c r="N50" s="27">
        <v>55</v>
      </c>
    </row>
    <row r="51" spans="1:14" ht="23.95" customHeight="1">
      <c r="A51" s="8" t="s">
        <v>26</v>
      </c>
      <c r="B51" s="22">
        <v>4.4230769230769234</v>
      </c>
      <c r="C51" s="35">
        <v>4.615384615384615</v>
      </c>
      <c r="D51" s="22">
        <v>4.6363636363636358</v>
      </c>
      <c r="E51" s="22">
        <v>4.666666666666667</v>
      </c>
      <c r="F51" s="22">
        <v>4.5999999999999996</v>
      </c>
      <c r="G51" s="22">
        <v>4.4383561643835625</v>
      </c>
      <c r="H51" s="22">
        <v>4.5972222222222214</v>
      </c>
      <c r="I51" s="65" t="s">
        <v>84</v>
      </c>
      <c r="J51" s="22">
        <v>4.5277777777777786</v>
      </c>
      <c r="K51" s="22">
        <v>4.4363636363636365</v>
      </c>
      <c r="L51" s="22">
        <v>4.6190476190476186</v>
      </c>
      <c r="M51" s="22">
        <v>4.6428571428571432</v>
      </c>
      <c r="N51" s="25">
        <v>4.6909090909090896</v>
      </c>
    </row>
    <row r="52" spans="1:14" ht="23.95" customHeight="1">
      <c r="A52" s="8" t="s">
        <v>59</v>
      </c>
      <c r="B52" s="22">
        <v>4.3461538461538458</v>
      </c>
      <c r="C52" s="35">
        <v>4.5961538461538476</v>
      </c>
      <c r="D52" s="22">
        <v>4.7575757575757587</v>
      </c>
      <c r="E52" s="22">
        <v>4.666666666666667</v>
      </c>
      <c r="F52" s="22">
        <v>4.8</v>
      </c>
      <c r="G52" s="22">
        <v>4.5205479452054815</v>
      </c>
      <c r="H52" s="22">
        <v>4.5972222222222232</v>
      </c>
      <c r="I52" s="65" t="s">
        <v>84</v>
      </c>
      <c r="J52" s="22">
        <v>4.5555555555555554</v>
      </c>
      <c r="K52" s="22">
        <v>4.4363636363636356</v>
      </c>
      <c r="L52" s="22">
        <v>4.5555555555555562</v>
      </c>
      <c r="M52" s="22">
        <v>4.6428571428571423</v>
      </c>
      <c r="N52" s="25">
        <v>4.7272727272727266</v>
      </c>
    </row>
    <row r="53" spans="1:14" ht="23.95" customHeight="1">
      <c r="A53" s="8" t="s">
        <v>60</v>
      </c>
      <c r="B53" s="22">
        <v>4.4615384615384608</v>
      </c>
      <c r="C53" s="35">
        <v>4.653846153846156</v>
      </c>
      <c r="D53" s="22">
        <v>4.6363636363636349</v>
      </c>
      <c r="E53" s="22">
        <v>4.5999999999999996</v>
      </c>
      <c r="F53" s="22">
        <v>4.5999999999999996</v>
      </c>
      <c r="G53" s="22">
        <v>4.3835616438356162</v>
      </c>
      <c r="H53" s="22">
        <v>4.5277777777777786</v>
      </c>
      <c r="I53" s="65" t="s">
        <v>84</v>
      </c>
      <c r="J53" s="22">
        <v>4.583333333333333</v>
      </c>
      <c r="K53" s="22">
        <v>4.4545454545454541</v>
      </c>
      <c r="L53" s="22">
        <v>4.5555555555555562</v>
      </c>
      <c r="M53" s="22">
        <v>4.5714285714285712</v>
      </c>
      <c r="N53" s="25">
        <v>4.7090909090909108</v>
      </c>
    </row>
    <row r="54" spans="1:14" ht="23.95" customHeight="1">
      <c r="A54" s="8" t="s">
        <v>10</v>
      </c>
      <c r="B54" s="22">
        <v>4.4999999999999991</v>
      </c>
      <c r="C54" s="35">
        <v>4.5961538461538467</v>
      </c>
      <c r="D54" s="22">
        <v>4.6363636363636349</v>
      </c>
      <c r="E54" s="22">
        <v>4.666666666666667</v>
      </c>
      <c r="F54" s="22">
        <v>4.8</v>
      </c>
      <c r="G54" s="22">
        <v>4.4109589041095898</v>
      </c>
      <c r="H54" s="22">
        <v>4.5138888888888893</v>
      </c>
      <c r="I54" s="65" t="s">
        <v>84</v>
      </c>
      <c r="J54" s="22">
        <v>4.5555555555555554</v>
      </c>
      <c r="K54" s="22">
        <v>4.4181818181818171</v>
      </c>
      <c r="L54" s="22">
        <v>4.492063492063493</v>
      </c>
      <c r="M54" s="22">
        <v>4.5952380952380967</v>
      </c>
      <c r="N54" s="25">
        <v>4.7090909090909108</v>
      </c>
    </row>
    <row r="55" spans="1:14" ht="23.95" customHeight="1">
      <c r="A55" s="8" t="s">
        <v>11</v>
      </c>
      <c r="B55" s="22">
        <v>4.615384615384615</v>
      </c>
      <c r="C55" s="35">
        <v>4.5384615384615401</v>
      </c>
      <c r="D55" s="22">
        <v>4.6363636363636358</v>
      </c>
      <c r="E55" s="22">
        <v>4.666666666666667</v>
      </c>
      <c r="F55" s="22">
        <v>4.5999999999999996</v>
      </c>
      <c r="G55" s="22">
        <v>4.410958904109588</v>
      </c>
      <c r="H55" s="22">
        <v>4.458333333333333</v>
      </c>
      <c r="I55" s="65" t="s">
        <v>84</v>
      </c>
      <c r="J55" s="22">
        <v>4.5277777777777777</v>
      </c>
      <c r="K55" s="22">
        <v>4.4363636363636365</v>
      </c>
      <c r="L55" s="22">
        <v>4.4603174603174587</v>
      </c>
      <c r="M55" s="22">
        <v>4.5</v>
      </c>
      <c r="N55" s="25">
        <v>4.5636363636363635</v>
      </c>
    </row>
    <row r="56" spans="1:14" ht="23.95" customHeight="1">
      <c r="A56" s="8" t="s">
        <v>12</v>
      </c>
      <c r="B56" s="22">
        <v>4.5384615384615383</v>
      </c>
      <c r="C56" s="35">
        <v>4.5576923076923075</v>
      </c>
      <c r="D56" s="22">
        <v>4.5757575757575761</v>
      </c>
      <c r="E56" s="22">
        <v>4.5333333333333323</v>
      </c>
      <c r="F56" s="22">
        <v>4.8</v>
      </c>
      <c r="G56" s="22">
        <v>4.4383561643835634</v>
      </c>
      <c r="H56" s="22">
        <v>4.4305555555555536</v>
      </c>
      <c r="I56" s="65" t="s">
        <v>84</v>
      </c>
      <c r="J56" s="22">
        <v>4.5277777777777786</v>
      </c>
      <c r="K56" s="22">
        <v>4.4000000000000004</v>
      </c>
      <c r="L56" s="22">
        <v>4.5238095238095255</v>
      </c>
      <c r="M56" s="22">
        <v>4.5714285714285712</v>
      </c>
      <c r="N56" s="25">
        <v>4.5272727272727273</v>
      </c>
    </row>
    <row r="57" spans="1:14" ht="23.95" customHeight="1">
      <c r="A57" s="8" t="s">
        <v>13</v>
      </c>
      <c r="B57" s="22">
        <v>4.5384615384615383</v>
      </c>
      <c r="C57" s="35">
        <v>4.6153846153846168</v>
      </c>
      <c r="D57" s="22">
        <v>4.6969696969696964</v>
      </c>
      <c r="E57" s="22">
        <v>4.666666666666667</v>
      </c>
      <c r="F57" s="22">
        <v>5</v>
      </c>
      <c r="G57" s="22">
        <v>4.4657534246575352</v>
      </c>
      <c r="H57" s="22">
        <v>4.6944444444444438</v>
      </c>
      <c r="I57" s="65" t="s">
        <v>84</v>
      </c>
      <c r="J57" s="22">
        <v>4.3611111111111116</v>
      </c>
      <c r="K57" s="22">
        <v>4.5272727272727282</v>
      </c>
      <c r="L57" s="22">
        <v>4.5555555555555562</v>
      </c>
      <c r="M57" s="22">
        <v>4.6428571428571423</v>
      </c>
      <c r="N57" s="25">
        <v>4.6181818181818191</v>
      </c>
    </row>
    <row r="58" spans="1:14" ht="23.95" customHeight="1">
      <c r="A58" s="8" t="s">
        <v>14</v>
      </c>
      <c r="B58" s="22">
        <v>4.4230769230769225</v>
      </c>
      <c r="C58" s="35">
        <v>4.5769230769230775</v>
      </c>
      <c r="D58" s="22">
        <v>4.5454545454545459</v>
      </c>
      <c r="E58" s="22">
        <v>4.4666666666666659</v>
      </c>
      <c r="F58" s="22">
        <v>4.8</v>
      </c>
      <c r="G58" s="22">
        <v>4.3835616438356162</v>
      </c>
      <c r="H58" s="22">
        <v>4.4722222222222214</v>
      </c>
      <c r="I58" s="65" t="s">
        <v>84</v>
      </c>
      <c r="J58" s="22">
        <v>4.3055555555555562</v>
      </c>
      <c r="K58" s="22">
        <v>4.3090909090909104</v>
      </c>
      <c r="L58" s="22">
        <v>4.3968253968253972</v>
      </c>
      <c r="M58" s="22">
        <v>4.4761904761904754</v>
      </c>
      <c r="N58" s="25">
        <v>4.6363636363636376</v>
      </c>
    </row>
    <row r="59" spans="1:14" ht="23.95" customHeight="1">
      <c r="A59" s="8" t="s">
        <v>15</v>
      </c>
      <c r="B59" s="22">
        <v>4.615384615384615</v>
      </c>
      <c r="C59" s="35">
        <v>4.6153846153846159</v>
      </c>
      <c r="D59" s="22">
        <v>4.666666666666667</v>
      </c>
      <c r="E59" s="22">
        <v>4.5999999999999996</v>
      </c>
      <c r="F59" s="22">
        <v>4.8</v>
      </c>
      <c r="G59" s="22">
        <v>4.4657534246575352</v>
      </c>
      <c r="H59" s="22">
        <v>4.6805555555555571</v>
      </c>
      <c r="I59" s="65" t="s">
        <v>84</v>
      </c>
      <c r="J59" s="22">
        <v>4.5277777777777777</v>
      </c>
      <c r="K59" s="22">
        <v>4.5090909090909088</v>
      </c>
      <c r="L59" s="22">
        <v>4.587301587301587</v>
      </c>
      <c r="M59" s="22">
        <v>4.5714285714285712</v>
      </c>
      <c r="N59" s="25">
        <v>4.6545454545454552</v>
      </c>
    </row>
    <row r="60" spans="1:14" ht="23.95" customHeight="1">
      <c r="A60" s="8" t="s">
        <v>16</v>
      </c>
      <c r="B60" s="22">
        <v>4.5769230769230766</v>
      </c>
      <c r="C60" s="35">
        <v>4.6346153846153859</v>
      </c>
      <c r="D60" s="22">
        <v>4.4545454545454559</v>
      </c>
      <c r="E60" s="22">
        <v>4.5333333333333323</v>
      </c>
      <c r="F60" s="22">
        <v>4.8</v>
      </c>
      <c r="G60" s="22">
        <v>4.4931506849315062</v>
      </c>
      <c r="H60" s="22">
        <v>4.6111111111111116</v>
      </c>
      <c r="I60" s="65" t="s">
        <v>84</v>
      </c>
      <c r="J60" s="22">
        <v>4.5000000000000009</v>
      </c>
      <c r="K60" s="22">
        <v>4.5454545454545485</v>
      </c>
      <c r="L60" s="22">
        <v>4.571428571428573</v>
      </c>
      <c r="M60" s="22">
        <v>4.5952380952380958</v>
      </c>
      <c r="N60" s="25">
        <v>4.6181818181818199</v>
      </c>
    </row>
    <row r="61" spans="1:14" ht="23.95" customHeight="1">
      <c r="A61" s="8" t="s">
        <v>17</v>
      </c>
      <c r="B61" s="22">
        <v>4.5769230769230766</v>
      </c>
      <c r="C61" s="35">
        <v>4.634615384615385</v>
      </c>
      <c r="D61" s="22">
        <v>4.5454545454545459</v>
      </c>
      <c r="E61" s="22">
        <v>4.5333333333333323</v>
      </c>
      <c r="F61" s="22">
        <v>4.5999999999999996</v>
      </c>
      <c r="G61" s="22">
        <v>4.410958904109588</v>
      </c>
      <c r="H61" s="22">
        <v>4.6388888888888902</v>
      </c>
      <c r="I61" s="65" t="s">
        <v>84</v>
      </c>
      <c r="J61" s="22">
        <v>4.4444444444444438</v>
      </c>
      <c r="K61" s="22">
        <v>4.4545454545454533</v>
      </c>
      <c r="L61" s="22">
        <v>4.5238095238095246</v>
      </c>
      <c r="M61" s="22">
        <v>4.5</v>
      </c>
      <c r="N61" s="25">
        <v>4.6000000000000005</v>
      </c>
    </row>
    <row r="62" spans="1:14" ht="23.95" customHeight="1">
      <c r="A62" s="8" t="s">
        <v>18</v>
      </c>
      <c r="B62" s="22">
        <v>4.5769230769230766</v>
      </c>
      <c r="C62" s="35">
        <v>4.5961538461538485</v>
      </c>
      <c r="D62" s="22">
        <v>4.5757575757575761</v>
      </c>
      <c r="E62" s="22">
        <v>4.666666666666667</v>
      </c>
      <c r="F62" s="22">
        <v>4.5999999999999996</v>
      </c>
      <c r="G62" s="22">
        <v>4.3835616438356171</v>
      </c>
      <c r="H62" s="22">
        <v>4.5416666666666687</v>
      </c>
      <c r="I62" s="65" t="s">
        <v>84</v>
      </c>
      <c r="J62" s="22">
        <v>4.4444444444444438</v>
      </c>
      <c r="K62" s="22">
        <v>4.4545454545454541</v>
      </c>
      <c r="L62" s="22">
        <v>4.4761904761904772</v>
      </c>
      <c r="M62" s="22">
        <v>4.5714285714285721</v>
      </c>
      <c r="N62" s="25">
        <v>4.6909090909090914</v>
      </c>
    </row>
    <row r="63" spans="1:14" ht="23.95" customHeight="1">
      <c r="A63" s="8" t="s">
        <v>19</v>
      </c>
      <c r="B63" s="22">
        <v>4.5769230769230766</v>
      </c>
      <c r="C63" s="35">
        <v>4.5769230769230766</v>
      </c>
      <c r="D63" s="22">
        <v>4.5151515151515156</v>
      </c>
      <c r="E63" s="22">
        <v>4.5333333333333323</v>
      </c>
      <c r="F63" s="22">
        <v>4.5999999999999996</v>
      </c>
      <c r="G63" s="22">
        <v>4.4109589041095898</v>
      </c>
      <c r="H63" s="22">
        <v>4.5138888888888893</v>
      </c>
      <c r="I63" s="65" t="s">
        <v>84</v>
      </c>
      <c r="J63" s="22">
        <v>4.4722222222222223</v>
      </c>
      <c r="K63" s="22">
        <v>4.3818181818181818</v>
      </c>
      <c r="L63" s="22">
        <v>4.5238095238095255</v>
      </c>
      <c r="M63" s="22">
        <v>4.5476190476190492</v>
      </c>
      <c r="N63" s="25">
        <v>4.654545454545457</v>
      </c>
    </row>
    <row r="64" spans="1:14" ht="23.95" customHeight="1">
      <c r="A64" s="8" t="s">
        <v>20</v>
      </c>
      <c r="B64" s="22">
        <v>4.5</v>
      </c>
      <c r="C64" s="35">
        <v>4.5769230769230766</v>
      </c>
      <c r="D64" s="22">
        <v>4.5454545454545459</v>
      </c>
      <c r="E64" s="22">
        <v>4.5333333333333323</v>
      </c>
      <c r="F64" s="22">
        <v>4.8</v>
      </c>
      <c r="G64" s="22">
        <v>4.4383561643835625</v>
      </c>
      <c r="H64" s="22">
        <v>4.4999999999999991</v>
      </c>
      <c r="I64" s="65" t="s">
        <v>84</v>
      </c>
      <c r="J64" s="22">
        <v>4.5277777777777786</v>
      </c>
      <c r="K64" s="22">
        <v>4.4727272727272744</v>
      </c>
      <c r="L64" s="22">
        <v>4.5396825396825404</v>
      </c>
      <c r="M64" s="22">
        <v>4.4523809523809526</v>
      </c>
      <c r="N64" s="25">
        <v>4.6181818181818199</v>
      </c>
    </row>
    <row r="65" spans="1:16" ht="23.95" customHeight="1">
      <c r="A65" s="8" t="s">
        <v>21</v>
      </c>
      <c r="B65" s="22">
        <v>4.5</v>
      </c>
      <c r="C65" s="35">
        <v>4.5576923076923093</v>
      </c>
      <c r="D65" s="22">
        <v>4.6666666666666661</v>
      </c>
      <c r="E65" s="22">
        <v>4.4666666666666659</v>
      </c>
      <c r="F65" s="22">
        <v>5</v>
      </c>
      <c r="G65" s="22">
        <v>4.4931506849315062</v>
      </c>
      <c r="H65" s="22">
        <v>4.4999999999999991</v>
      </c>
      <c r="I65" s="65" t="s">
        <v>84</v>
      </c>
      <c r="J65" s="22">
        <v>4.4722222222222214</v>
      </c>
      <c r="K65" s="22">
        <v>4.490909090909093</v>
      </c>
      <c r="L65" s="22">
        <v>4.5079365079365097</v>
      </c>
      <c r="M65" s="22">
        <v>4.5476190476190483</v>
      </c>
      <c r="N65" s="25">
        <v>4.7272727272727275</v>
      </c>
    </row>
    <row r="66" spans="1:16" ht="23.95" customHeight="1">
      <c r="A66" s="8" t="s">
        <v>22</v>
      </c>
      <c r="B66" s="22">
        <v>4.6538461538461524</v>
      </c>
      <c r="C66" s="35">
        <v>4.5961538461538485</v>
      </c>
      <c r="D66" s="22">
        <v>4.6969696969696981</v>
      </c>
      <c r="E66" s="22">
        <v>4.7333333333333325</v>
      </c>
      <c r="F66" s="22">
        <v>5</v>
      </c>
      <c r="G66" s="22">
        <v>4.6164383561643847</v>
      </c>
      <c r="H66" s="22">
        <v>4.7222222222222223</v>
      </c>
      <c r="I66" s="65" t="s">
        <v>84</v>
      </c>
      <c r="J66" s="22">
        <v>4.6388888888888875</v>
      </c>
      <c r="K66" s="22">
        <v>4.5454545454545485</v>
      </c>
      <c r="L66" s="22">
        <v>4.5238095238095246</v>
      </c>
      <c r="M66" s="22">
        <v>4.5476190476190483</v>
      </c>
      <c r="N66" s="25">
        <v>4.6363636363636367</v>
      </c>
    </row>
    <row r="67" spans="1:16" ht="23.95" customHeight="1">
      <c r="A67" s="9" t="s">
        <v>23</v>
      </c>
      <c r="B67" s="22">
        <v>4.5264423076923084</v>
      </c>
      <c r="C67" s="78">
        <v>4.5961538461538449</v>
      </c>
      <c r="D67" s="22">
        <v>4.6117424242424239</v>
      </c>
      <c r="E67" s="22">
        <v>4.5958333333333341</v>
      </c>
      <c r="F67" s="22">
        <v>4.7625000000000002</v>
      </c>
      <c r="G67" s="22">
        <v>4.4477739726027385</v>
      </c>
      <c r="H67" s="22">
        <v>4.5625000000000018</v>
      </c>
      <c r="I67" s="65" t="s">
        <v>84</v>
      </c>
      <c r="J67" s="22">
        <v>4.4982638888888893</v>
      </c>
      <c r="K67" s="22">
        <v>4.4545454545454533</v>
      </c>
      <c r="L67" s="22">
        <v>4.5257936507936503</v>
      </c>
      <c r="M67" s="22">
        <v>4.561011904761906</v>
      </c>
      <c r="N67" s="25">
        <v>4.6488636363636378</v>
      </c>
    </row>
    <row r="68" spans="1:16">
      <c r="A68" s="9" t="s">
        <v>24</v>
      </c>
      <c r="B68" s="67">
        <f t="shared" ref="B68:N68" si="3">B67*20</f>
        <v>90.52884615384616</v>
      </c>
      <c r="C68" s="67">
        <f t="shared" si="3"/>
        <v>91.923076923076906</v>
      </c>
      <c r="D68" s="67">
        <f t="shared" si="3"/>
        <v>92.23484848484847</v>
      </c>
      <c r="E68" s="67">
        <f t="shared" si="3"/>
        <v>91.916666666666686</v>
      </c>
      <c r="F68" s="67">
        <f t="shared" si="3"/>
        <v>95.25</v>
      </c>
      <c r="G68" s="67">
        <f t="shared" si="3"/>
        <v>88.955479452054774</v>
      </c>
      <c r="H68" s="67">
        <f t="shared" si="3"/>
        <v>91.250000000000028</v>
      </c>
      <c r="I68" s="65" t="s">
        <v>84</v>
      </c>
      <c r="J68" s="67">
        <f t="shared" si="3"/>
        <v>89.965277777777786</v>
      </c>
      <c r="K68" s="67">
        <f t="shared" si="3"/>
        <v>89.090909090909065</v>
      </c>
      <c r="L68" s="67">
        <f t="shared" si="3"/>
        <v>90.515873015873012</v>
      </c>
      <c r="M68" s="67">
        <f t="shared" si="3"/>
        <v>91.220238095238116</v>
      </c>
      <c r="N68" s="67">
        <f t="shared" si="3"/>
        <v>92.977272727272748</v>
      </c>
    </row>
    <row r="69" spans="1:16">
      <c r="A69" s="17" t="s">
        <v>61</v>
      </c>
      <c r="B69" s="66">
        <v>100</v>
      </c>
      <c r="C69" s="66">
        <v>10</v>
      </c>
      <c r="D69" s="66">
        <v>100</v>
      </c>
      <c r="E69" s="66">
        <v>100</v>
      </c>
      <c r="F69" s="66">
        <v>100</v>
      </c>
      <c r="G69" s="66">
        <v>100</v>
      </c>
      <c r="H69" s="68">
        <v>100</v>
      </c>
      <c r="I69" s="23" t="s">
        <v>85</v>
      </c>
      <c r="J69" s="66">
        <v>94.4444444444444</v>
      </c>
      <c r="K69" s="66">
        <v>98.181818181818187</v>
      </c>
      <c r="L69" s="66">
        <v>98.412698412698404</v>
      </c>
      <c r="M69" s="66">
        <v>97.61904761904762</v>
      </c>
      <c r="N69" s="66">
        <v>98.181818181818187</v>
      </c>
    </row>
    <row r="71" spans="1:16" ht="23.95" customHeight="1"/>
    <row r="72" spans="1:16" s="15" customFormat="1" ht="23.95" customHeight="1">
      <c r="A72" s="7" t="s">
        <v>0</v>
      </c>
      <c r="B72" s="5" t="s">
        <v>37</v>
      </c>
      <c r="C72" s="5" t="s">
        <v>38</v>
      </c>
      <c r="D72" s="5" t="s">
        <v>39</v>
      </c>
      <c r="E72" s="10" t="s">
        <v>40</v>
      </c>
      <c r="F72" s="5" t="s">
        <v>41</v>
      </c>
      <c r="G72" s="5" t="s">
        <v>42</v>
      </c>
      <c r="H72" s="5" t="s">
        <v>43</v>
      </c>
      <c r="I72" s="5" t="s">
        <v>44</v>
      </c>
      <c r="J72" s="5" t="s">
        <v>45</v>
      </c>
      <c r="K72" s="5" t="s">
        <v>46</v>
      </c>
      <c r="L72" s="5" t="s">
        <v>47</v>
      </c>
      <c r="M72" s="5" t="s">
        <v>28</v>
      </c>
      <c r="N72" s="5" t="s">
        <v>81</v>
      </c>
      <c r="O72" s="29"/>
      <c r="P72" s="3"/>
    </row>
    <row r="73" spans="1:16" s="29" customFormat="1" ht="23.95" customHeight="1">
      <c r="A73" s="9" t="s">
        <v>9</v>
      </c>
      <c r="B73" s="27">
        <v>26</v>
      </c>
      <c r="C73" s="27">
        <v>12</v>
      </c>
      <c r="D73" s="27">
        <v>44</v>
      </c>
      <c r="E73" s="27">
        <v>21</v>
      </c>
      <c r="F73" s="27">
        <v>79</v>
      </c>
      <c r="G73" s="27">
        <v>11</v>
      </c>
      <c r="H73" s="27">
        <v>68</v>
      </c>
      <c r="I73" s="27">
        <v>62</v>
      </c>
      <c r="J73" s="27">
        <v>87</v>
      </c>
      <c r="K73" s="65" t="s">
        <v>84</v>
      </c>
      <c r="L73" s="65">
        <v>55</v>
      </c>
      <c r="M73" s="20">
        <v>39</v>
      </c>
      <c r="N73" s="27">
        <v>4</v>
      </c>
      <c r="O73" s="3"/>
      <c r="P73" s="70"/>
    </row>
    <row r="74" spans="1:16" ht="23.95" customHeight="1">
      <c r="A74" s="8" t="s">
        <v>26</v>
      </c>
      <c r="B74" s="22">
        <v>4.615384615384615</v>
      </c>
      <c r="C74" s="22">
        <v>3.8333333333333335</v>
      </c>
      <c r="D74" s="22">
        <v>4.7045454545454559</v>
      </c>
      <c r="E74" s="22">
        <v>4.5238095238095237</v>
      </c>
      <c r="F74" s="22">
        <v>4.5316455696202524</v>
      </c>
      <c r="G74" s="22">
        <v>4.7272727272727275</v>
      </c>
      <c r="H74" s="22">
        <v>4.75</v>
      </c>
      <c r="I74" s="22">
        <v>4.6129032258064511</v>
      </c>
      <c r="J74" s="22">
        <v>4.7241379310344849</v>
      </c>
      <c r="K74" s="65" t="s">
        <v>84</v>
      </c>
      <c r="L74" s="22">
        <v>4.6545454545454543</v>
      </c>
      <c r="M74" s="22">
        <v>4.3076923076923084</v>
      </c>
      <c r="N74" s="26">
        <v>4.5</v>
      </c>
    </row>
    <row r="75" spans="1:16" ht="23.95" customHeight="1">
      <c r="A75" s="8" t="s">
        <v>59</v>
      </c>
      <c r="B75" s="22">
        <v>4.6538461538461533</v>
      </c>
      <c r="C75" s="22">
        <v>3.9166666666666665</v>
      </c>
      <c r="D75" s="22">
        <v>4.6136363636363633</v>
      </c>
      <c r="E75" s="22">
        <v>4.5714285714285712</v>
      </c>
      <c r="F75" s="22">
        <v>4.5063291139240516</v>
      </c>
      <c r="G75" s="22">
        <v>4.7272727272727275</v>
      </c>
      <c r="H75" s="22">
        <v>4.7941176470588234</v>
      </c>
      <c r="I75" s="22">
        <v>4.580645161290323</v>
      </c>
      <c r="J75" s="22">
        <v>4.8160919540229887</v>
      </c>
      <c r="K75" s="65" t="s">
        <v>84</v>
      </c>
      <c r="L75" s="22">
        <v>4.6727272727272728</v>
      </c>
      <c r="M75" s="22">
        <v>4.2820512820512819</v>
      </c>
      <c r="N75" s="26">
        <v>4.25</v>
      </c>
    </row>
    <row r="76" spans="1:16" ht="23.95" customHeight="1">
      <c r="A76" s="8" t="s">
        <v>60</v>
      </c>
      <c r="B76" s="22">
        <v>4.5384615384615392</v>
      </c>
      <c r="C76" s="22">
        <v>4</v>
      </c>
      <c r="D76" s="22">
        <v>4.5909090909090899</v>
      </c>
      <c r="E76" s="22">
        <v>4.6190476190476177</v>
      </c>
      <c r="F76" s="22">
        <v>4.4303797468354436</v>
      </c>
      <c r="G76" s="22">
        <v>4.7272727272727275</v>
      </c>
      <c r="H76" s="22">
        <v>4.7941176470588234</v>
      </c>
      <c r="I76" s="22">
        <v>4.5483870967741948</v>
      </c>
      <c r="J76" s="22">
        <v>4.7011494252873582</v>
      </c>
      <c r="K76" s="65" t="s">
        <v>84</v>
      </c>
      <c r="L76" s="22">
        <v>4.6000000000000005</v>
      </c>
      <c r="M76" s="22">
        <v>4.3076923076923075</v>
      </c>
      <c r="N76" s="26">
        <v>4.5</v>
      </c>
    </row>
    <row r="77" spans="1:16" ht="23.95" customHeight="1">
      <c r="A77" s="8" t="s">
        <v>10</v>
      </c>
      <c r="B77" s="22">
        <v>4.5384615384615401</v>
      </c>
      <c r="C77" s="22">
        <v>3.9166666666666665</v>
      </c>
      <c r="D77" s="22">
        <v>4.5909090909090899</v>
      </c>
      <c r="E77" s="22">
        <v>4.4761904761904763</v>
      </c>
      <c r="F77" s="22">
        <v>4.4556962025316436</v>
      </c>
      <c r="G77" s="22">
        <v>4.7272727272727275</v>
      </c>
      <c r="H77" s="22">
        <v>4.7499999999999991</v>
      </c>
      <c r="I77" s="22">
        <v>4.5645161290322589</v>
      </c>
      <c r="J77" s="22">
        <v>4.7011494252873582</v>
      </c>
      <c r="K77" s="65" t="s">
        <v>84</v>
      </c>
      <c r="L77" s="22">
        <v>4.6181818181818199</v>
      </c>
      <c r="M77" s="22">
        <v>4.282051282051281</v>
      </c>
      <c r="N77" s="26">
        <v>4.75</v>
      </c>
    </row>
    <row r="78" spans="1:16" ht="23.95" customHeight="1">
      <c r="A78" s="8" t="s">
        <v>11</v>
      </c>
      <c r="B78" s="22">
        <v>4.5769230769230775</v>
      </c>
      <c r="C78" s="22">
        <v>3.9166666666666661</v>
      </c>
      <c r="D78" s="22">
        <v>4.4545454545454533</v>
      </c>
      <c r="E78" s="22">
        <v>4.3809523809523796</v>
      </c>
      <c r="F78" s="22">
        <v>4.4177215189873396</v>
      </c>
      <c r="G78" s="22">
        <v>4.7272727272727275</v>
      </c>
      <c r="H78" s="22">
        <v>4.6764705882352944</v>
      </c>
      <c r="I78" s="22">
        <v>4.5322580645161299</v>
      </c>
      <c r="J78" s="22">
        <v>4.5402298850574727</v>
      </c>
      <c r="K78" s="65" t="s">
        <v>84</v>
      </c>
      <c r="L78" s="22">
        <v>4.5636363636363635</v>
      </c>
      <c r="M78" s="22">
        <v>4.2051282051282044</v>
      </c>
      <c r="N78" s="26">
        <v>4.5</v>
      </c>
    </row>
    <row r="79" spans="1:16" ht="23.95" customHeight="1">
      <c r="A79" s="8" t="s">
        <v>12</v>
      </c>
      <c r="B79" s="22">
        <v>4.6153846153846159</v>
      </c>
      <c r="C79" s="22">
        <v>4</v>
      </c>
      <c r="D79" s="22">
        <v>4.5227272727272725</v>
      </c>
      <c r="E79" s="22">
        <v>4.4761904761904763</v>
      </c>
      <c r="F79" s="22">
        <v>4.4430379746835458</v>
      </c>
      <c r="G79" s="22">
        <v>4.8181818181818183</v>
      </c>
      <c r="H79" s="22">
        <v>4.6323529411764701</v>
      </c>
      <c r="I79" s="22">
        <v>4.532258064516129</v>
      </c>
      <c r="J79" s="22">
        <v>4.4942528735632203</v>
      </c>
      <c r="K79" s="65" t="s">
        <v>84</v>
      </c>
      <c r="L79" s="22">
        <v>4.6181818181818191</v>
      </c>
      <c r="M79" s="22">
        <v>4.3333333333333339</v>
      </c>
      <c r="N79" s="26">
        <v>4</v>
      </c>
    </row>
    <row r="80" spans="1:16" ht="23.95" customHeight="1">
      <c r="A80" s="8" t="s">
        <v>13</v>
      </c>
      <c r="B80" s="22">
        <v>4.6923076923076916</v>
      </c>
      <c r="C80" s="22">
        <v>4</v>
      </c>
      <c r="D80" s="22">
        <v>4.6136363636363642</v>
      </c>
      <c r="E80" s="22">
        <v>4.4761904761904763</v>
      </c>
      <c r="F80" s="22">
        <v>4.5316455696202542</v>
      </c>
      <c r="G80" s="22">
        <v>4.8181818181818183</v>
      </c>
      <c r="H80" s="22">
        <v>4.7352941176470589</v>
      </c>
      <c r="I80" s="22">
        <v>4.6129032258064537</v>
      </c>
      <c r="J80" s="22">
        <v>4.5747126436781622</v>
      </c>
      <c r="K80" s="65" t="s">
        <v>84</v>
      </c>
      <c r="L80" s="22">
        <v>4.6363636363636376</v>
      </c>
      <c r="M80" s="22">
        <v>4.3589743589743595</v>
      </c>
      <c r="N80" s="26">
        <v>4.5</v>
      </c>
    </row>
    <row r="81" spans="1:16" ht="23.95" customHeight="1">
      <c r="A81" s="8" t="s">
        <v>14</v>
      </c>
      <c r="B81" s="22">
        <v>4.6538461538461542</v>
      </c>
      <c r="C81" s="22">
        <v>4</v>
      </c>
      <c r="D81" s="22">
        <v>4.4318181818181808</v>
      </c>
      <c r="E81" s="22">
        <v>4.3809523809523805</v>
      </c>
      <c r="F81" s="22">
        <v>4.481012658227848</v>
      </c>
      <c r="G81" s="22">
        <v>4.7272727272727275</v>
      </c>
      <c r="H81" s="22">
        <v>4.7647058823529402</v>
      </c>
      <c r="I81" s="22">
        <v>4.5322580645161308</v>
      </c>
      <c r="J81" s="22">
        <v>4.6551724137931041</v>
      </c>
      <c r="K81" s="65" t="s">
        <v>84</v>
      </c>
      <c r="L81" s="22">
        <v>4.5454545454545467</v>
      </c>
      <c r="M81" s="22">
        <v>4.2051282051282062</v>
      </c>
      <c r="N81" s="26">
        <v>4</v>
      </c>
    </row>
    <row r="82" spans="1:16" ht="23.95" customHeight="1">
      <c r="A82" s="8" t="s">
        <v>15</v>
      </c>
      <c r="B82" s="22">
        <v>4.7692307692307683</v>
      </c>
      <c r="C82" s="22">
        <v>4.0833333333333321</v>
      </c>
      <c r="D82" s="22">
        <v>4.6363636363636358</v>
      </c>
      <c r="E82" s="22">
        <v>4.4761904761904763</v>
      </c>
      <c r="F82" s="22">
        <v>4.5063291139240507</v>
      </c>
      <c r="G82" s="22">
        <v>4.8181818181818183</v>
      </c>
      <c r="H82" s="22">
        <v>4.8088235294117636</v>
      </c>
      <c r="I82" s="22">
        <v>4.5806451612903247</v>
      </c>
      <c r="J82" s="22">
        <v>4.6436781609195394</v>
      </c>
      <c r="K82" s="65" t="s">
        <v>84</v>
      </c>
      <c r="L82" s="22">
        <v>4.6363636363636358</v>
      </c>
      <c r="M82" s="22">
        <v>4.3589743589743595</v>
      </c>
      <c r="N82" s="26">
        <v>4.75</v>
      </c>
    </row>
    <row r="83" spans="1:16" ht="23.95" customHeight="1">
      <c r="A83" s="8" t="s">
        <v>16</v>
      </c>
      <c r="B83" s="22">
        <v>4.8076923076923066</v>
      </c>
      <c r="C83" s="22">
        <v>4.0833333333333321</v>
      </c>
      <c r="D83" s="22">
        <v>4.6363636363636367</v>
      </c>
      <c r="E83" s="22">
        <v>4.5238095238095237</v>
      </c>
      <c r="F83" s="22">
        <v>4.4936708860759493</v>
      </c>
      <c r="G83" s="22">
        <v>4.8181818181818183</v>
      </c>
      <c r="H83" s="22">
        <v>4.7500000000000018</v>
      </c>
      <c r="I83" s="22">
        <v>4.4838709677419351</v>
      </c>
      <c r="J83" s="22">
        <v>4.6436781609195386</v>
      </c>
      <c r="K83" s="65" t="s">
        <v>84</v>
      </c>
      <c r="L83" s="22">
        <v>4.6363636363636367</v>
      </c>
      <c r="M83" s="22">
        <v>4.3589743589743595</v>
      </c>
      <c r="N83" s="26">
        <v>3.5</v>
      </c>
    </row>
    <row r="84" spans="1:16" ht="23.95" customHeight="1">
      <c r="A84" s="8" t="s">
        <v>17</v>
      </c>
      <c r="B84" s="22">
        <v>4.6923076923076925</v>
      </c>
      <c r="C84" s="22">
        <v>4.0833333333333321</v>
      </c>
      <c r="D84" s="22">
        <v>4.6363636363636358</v>
      </c>
      <c r="E84" s="22">
        <v>4.5238095238095237</v>
      </c>
      <c r="F84" s="22">
        <v>4.4936708860759484</v>
      </c>
      <c r="G84" s="22">
        <v>4.7272727272727275</v>
      </c>
      <c r="H84" s="22">
        <v>4.7941176470588243</v>
      </c>
      <c r="I84" s="22">
        <v>4.5483870967741939</v>
      </c>
      <c r="J84" s="22">
        <v>4.6436781609195394</v>
      </c>
      <c r="K84" s="65" t="s">
        <v>84</v>
      </c>
      <c r="L84" s="22">
        <v>4.6727272727272728</v>
      </c>
      <c r="M84" s="22">
        <v>4.384615384615385</v>
      </c>
      <c r="N84" s="26">
        <v>4.5</v>
      </c>
    </row>
    <row r="85" spans="1:16" ht="23.95" customHeight="1">
      <c r="A85" s="8" t="s">
        <v>18</v>
      </c>
      <c r="B85" s="22">
        <v>4.615384615384615</v>
      </c>
      <c r="C85" s="22">
        <v>4.0833333333333321</v>
      </c>
      <c r="D85" s="22">
        <v>4.6590909090909092</v>
      </c>
      <c r="E85" s="22">
        <v>4.5238095238095237</v>
      </c>
      <c r="F85" s="22">
        <v>4.4683544303797476</v>
      </c>
      <c r="G85" s="22">
        <v>4.8181818181818183</v>
      </c>
      <c r="H85" s="22">
        <v>4.7647058823529393</v>
      </c>
      <c r="I85" s="22">
        <v>4.5645161290322589</v>
      </c>
      <c r="J85" s="22">
        <v>4.6896551724137936</v>
      </c>
      <c r="K85" s="65" t="s">
        <v>84</v>
      </c>
      <c r="L85" s="22">
        <v>4.6363636363636358</v>
      </c>
      <c r="M85" s="22">
        <v>4.179487179487178</v>
      </c>
      <c r="N85" s="26">
        <v>4.5</v>
      </c>
    </row>
    <row r="86" spans="1:16" ht="23.95" customHeight="1">
      <c r="A86" s="8" t="s">
        <v>19</v>
      </c>
      <c r="B86" s="22">
        <v>4.6538461538461542</v>
      </c>
      <c r="C86" s="22">
        <v>4.0833333333333321</v>
      </c>
      <c r="D86" s="22">
        <v>4.6136363636363642</v>
      </c>
      <c r="E86" s="22">
        <v>4.4761904761904763</v>
      </c>
      <c r="F86" s="22">
        <v>4.4683544303797467</v>
      </c>
      <c r="G86" s="22">
        <v>4.7272727272727275</v>
      </c>
      <c r="H86" s="22">
        <v>4.7500000000000009</v>
      </c>
      <c r="I86" s="22">
        <v>4.5483870967741939</v>
      </c>
      <c r="J86" s="22">
        <v>4.6091954022988517</v>
      </c>
      <c r="K86" s="65" t="s">
        <v>84</v>
      </c>
      <c r="L86" s="22">
        <v>4.6545454545454534</v>
      </c>
      <c r="M86" s="22">
        <v>4.2820512820512828</v>
      </c>
      <c r="N86" s="26">
        <v>4.75</v>
      </c>
    </row>
    <row r="87" spans="1:16" ht="23.95" customHeight="1">
      <c r="A87" s="8" t="s">
        <v>20</v>
      </c>
      <c r="B87" s="22">
        <v>4.6923076923076916</v>
      </c>
      <c r="C87" s="22">
        <v>4.0833333333333321</v>
      </c>
      <c r="D87" s="22">
        <v>4.6363636363636367</v>
      </c>
      <c r="E87" s="22">
        <v>4.5714285714285712</v>
      </c>
      <c r="F87" s="22">
        <v>4.5063291139240533</v>
      </c>
      <c r="G87" s="22">
        <v>4.7272727272727275</v>
      </c>
      <c r="H87" s="22">
        <v>4.7352941176470598</v>
      </c>
      <c r="I87" s="22">
        <v>4.5161290322580649</v>
      </c>
      <c r="J87" s="22">
        <v>4.6321839080459766</v>
      </c>
      <c r="K87" s="65" t="s">
        <v>84</v>
      </c>
      <c r="L87" s="22">
        <v>4.5999999999999988</v>
      </c>
      <c r="M87" s="22">
        <v>4.2564102564102564</v>
      </c>
      <c r="N87" s="26">
        <v>4.5</v>
      </c>
    </row>
    <row r="88" spans="1:16" ht="23.95" customHeight="1">
      <c r="A88" s="8" t="s">
        <v>21</v>
      </c>
      <c r="B88" s="22">
        <v>4.7692307692307701</v>
      </c>
      <c r="C88" s="22">
        <v>4</v>
      </c>
      <c r="D88" s="22">
        <v>4.6818181818181825</v>
      </c>
      <c r="E88" s="22">
        <v>4.5238095238095237</v>
      </c>
      <c r="F88" s="22">
        <v>4.5189873417721511</v>
      </c>
      <c r="G88" s="22">
        <v>4.7272727272727275</v>
      </c>
      <c r="H88" s="22">
        <v>4.7941176470588225</v>
      </c>
      <c r="I88" s="22">
        <v>4.5483870967741948</v>
      </c>
      <c r="J88" s="22">
        <v>4.6321839080459775</v>
      </c>
      <c r="K88" s="65" t="s">
        <v>84</v>
      </c>
      <c r="L88" s="22">
        <v>4.581818181818182</v>
      </c>
      <c r="M88" s="22">
        <v>4.3076923076923084</v>
      </c>
      <c r="N88" s="26">
        <v>4.5</v>
      </c>
    </row>
    <row r="89" spans="1:16" ht="23.95" customHeight="1">
      <c r="A89" s="8" t="s">
        <v>22</v>
      </c>
      <c r="B89" s="22">
        <v>4.7307692307692291</v>
      </c>
      <c r="C89" s="22">
        <v>4.0833333333333321</v>
      </c>
      <c r="D89" s="22">
        <v>4.7272727272727275</v>
      </c>
      <c r="E89" s="22">
        <v>4.6190476190476177</v>
      </c>
      <c r="F89" s="22">
        <v>4.5696202531645582</v>
      </c>
      <c r="G89" s="22">
        <v>4.8181818181818183</v>
      </c>
      <c r="H89" s="22">
        <v>4.8088235294117645</v>
      </c>
      <c r="I89" s="22">
        <v>4.6290322580645151</v>
      </c>
      <c r="J89" s="22">
        <v>4.6896551724137918</v>
      </c>
      <c r="K89" s="65" t="s">
        <v>84</v>
      </c>
      <c r="L89" s="22">
        <v>4.6909090909090922</v>
      </c>
      <c r="M89" s="22">
        <v>4.4358974358974352</v>
      </c>
      <c r="N89" s="26">
        <v>4.5</v>
      </c>
    </row>
    <row r="90" spans="1:16" ht="23.95" customHeight="1">
      <c r="A90" s="9" t="s">
        <v>23</v>
      </c>
      <c r="B90" s="22">
        <v>4.6634615384615383</v>
      </c>
      <c r="C90" s="22">
        <v>4.010416666666667</v>
      </c>
      <c r="D90" s="22">
        <v>4.609375</v>
      </c>
      <c r="E90" s="22">
        <v>4.5089285714285712</v>
      </c>
      <c r="F90" s="22">
        <v>4.4889240506329138</v>
      </c>
      <c r="G90" s="22">
        <v>4.7613636363636358</v>
      </c>
      <c r="H90" s="22">
        <v>4.7564338235294104</v>
      </c>
      <c r="I90" s="22">
        <v>4.5584677419354822</v>
      </c>
      <c r="J90" s="22">
        <v>4.6494252873563235</v>
      </c>
      <c r="K90" s="65" t="s">
        <v>84</v>
      </c>
      <c r="L90" s="22">
        <v>4.6261363636363617</v>
      </c>
      <c r="M90" s="22">
        <v>4.3028846153846159</v>
      </c>
      <c r="N90" s="26">
        <v>4.40625</v>
      </c>
    </row>
    <row r="91" spans="1:16" s="70" customFormat="1">
      <c r="A91" s="69" t="s">
        <v>24</v>
      </c>
      <c r="B91" s="72">
        <f>B90*20</f>
        <v>93.269230769230774</v>
      </c>
      <c r="C91" s="67">
        <f>C90*20</f>
        <v>80.208333333333343</v>
      </c>
      <c r="D91" s="67">
        <f>D90*20</f>
        <v>92.1875</v>
      </c>
      <c r="E91" s="67">
        <f t="shared" ref="E91:N91" si="4">E90*20</f>
        <v>90.178571428571416</v>
      </c>
      <c r="F91" s="67">
        <f t="shared" si="4"/>
        <v>89.778481012658276</v>
      </c>
      <c r="G91" s="67">
        <f t="shared" si="4"/>
        <v>95.22727272727272</v>
      </c>
      <c r="H91" s="67">
        <f t="shared" si="4"/>
        <v>95.128676470588204</v>
      </c>
      <c r="I91" s="67">
        <f t="shared" si="4"/>
        <v>91.169354838709637</v>
      </c>
      <c r="J91" s="67">
        <f t="shared" si="4"/>
        <v>92.988505747126467</v>
      </c>
      <c r="K91" s="65" t="s">
        <v>84</v>
      </c>
      <c r="L91" s="67">
        <f t="shared" ref="L91" si="5">L90*20</f>
        <v>92.522727272727238</v>
      </c>
      <c r="M91" s="67">
        <f t="shared" si="4"/>
        <v>86.057692307692321</v>
      </c>
      <c r="N91" s="67">
        <f t="shared" si="4"/>
        <v>88.125</v>
      </c>
      <c r="P91" s="3"/>
    </row>
    <row r="92" spans="1:16">
      <c r="A92" s="17" t="s">
        <v>61</v>
      </c>
      <c r="B92" s="66">
        <v>96.15384615384616</v>
      </c>
      <c r="C92" s="66">
        <v>100</v>
      </c>
      <c r="D92" s="66">
        <v>100</v>
      </c>
      <c r="E92" s="66">
        <v>100</v>
      </c>
      <c r="F92" s="66">
        <v>98.734177215189874</v>
      </c>
      <c r="G92" s="66">
        <v>100</v>
      </c>
      <c r="H92" s="66">
        <v>97.058823529411768</v>
      </c>
      <c r="I92" s="66">
        <v>95.161290322580655</v>
      </c>
      <c r="J92" s="66">
        <v>100</v>
      </c>
      <c r="K92" s="23" t="s">
        <v>85</v>
      </c>
      <c r="L92" s="24">
        <v>98.181818181818187</v>
      </c>
      <c r="M92" s="66">
        <v>97.435897435897431</v>
      </c>
      <c r="N92" s="66">
        <v>100</v>
      </c>
    </row>
    <row r="93" spans="1:16" ht="23.95" customHeight="1"/>
    <row r="94" spans="1:16" ht="23.95" customHeight="1"/>
    <row r="95" spans="1:16">
      <c r="B95" s="3"/>
      <c r="E95" s="11"/>
      <c r="F95" s="11"/>
    </row>
    <row r="96" spans="1:16">
      <c r="B96" s="3"/>
      <c r="E96" s="12"/>
      <c r="F96" s="12"/>
    </row>
    <row r="97" spans="2:6">
      <c r="B97" s="3"/>
      <c r="E97" s="12"/>
      <c r="F97" s="12"/>
    </row>
    <row r="98" spans="2:6">
      <c r="B98" s="3"/>
      <c r="E98" s="12"/>
      <c r="F98" s="12"/>
    </row>
    <row r="99" spans="2:6">
      <c r="B99" s="3"/>
      <c r="E99" s="12"/>
      <c r="F99" s="12"/>
    </row>
    <row r="100" spans="2:6">
      <c r="B100" s="3"/>
      <c r="E100" s="12"/>
      <c r="F100" s="12"/>
    </row>
    <row r="101" spans="2:6">
      <c r="B101" s="3"/>
      <c r="E101" s="12"/>
      <c r="F101" s="12"/>
    </row>
    <row r="102" spans="2:6">
      <c r="B102" s="3"/>
      <c r="E102" s="12"/>
      <c r="F102" s="12"/>
    </row>
    <row r="103" spans="2:6" ht="23.95" customHeight="1">
      <c r="B103" s="3"/>
      <c r="E103" s="12"/>
      <c r="F103" s="12"/>
    </row>
    <row r="104" spans="2:6" ht="23.95" customHeight="1">
      <c r="B104" s="3"/>
      <c r="E104" s="12"/>
      <c r="F104" s="12"/>
    </row>
    <row r="105" spans="2:6">
      <c r="B105" s="3"/>
      <c r="E105" s="12"/>
      <c r="F105" s="12"/>
    </row>
    <row r="106" spans="2:6">
      <c r="B106" s="3"/>
      <c r="E106" s="12"/>
      <c r="F106" s="12"/>
    </row>
    <row r="107" spans="2:6">
      <c r="B107" s="3"/>
      <c r="E107" s="12"/>
      <c r="F107" s="12"/>
    </row>
    <row r="108" spans="2:6">
      <c r="B108" s="3"/>
      <c r="E108" s="12"/>
      <c r="F108" s="12"/>
    </row>
    <row r="109" spans="2:6">
      <c r="B109" s="3"/>
      <c r="E109" s="12"/>
      <c r="F109" s="12"/>
    </row>
    <row r="110" spans="2:6">
      <c r="B110" s="3"/>
      <c r="E110" s="12"/>
      <c r="F110" s="12"/>
    </row>
    <row r="111" spans="2:6" ht="23.95" customHeight="1">
      <c r="B111" s="3"/>
      <c r="E111" s="12"/>
      <c r="F111" s="12"/>
    </row>
    <row r="112" spans="2:6" ht="23.95" customHeight="1">
      <c r="B112" s="3"/>
      <c r="E112" s="12"/>
      <c r="F112" s="12"/>
    </row>
    <row r="113" spans="2:6">
      <c r="B113" s="3"/>
      <c r="E113" s="13"/>
      <c r="F113" s="13"/>
    </row>
    <row r="114" spans="2:6">
      <c r="B114" s="3"/>
      <c r="E114" s="13"/>
      <c r="F114" s="13"/>
    </row>
    <row r="115" spans="2:6">
      <c r="B115" s="3"/>
    </row>
  </sheetData>
  <mergeCells count="1">
    <mergeCell ref="A1:N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4" max="16383" man="1"/>
    <brk id="47" max="16383" man="1"/>
    <brk id="70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1"/>
  <sheetViews>
    <sheetView tabSelected="1" zoomScaleNormal="100" zoomScaleSheetLayoutView="120" workbookViewId="0">
      <selection activeCell="H13" sqref="H13"/>
    </sheetView>
  </sheetViews>
  <sheetFormatPr defaultColWidth="9" defaultRowHeight="21.1"/>
  <cols>
    <col min="1" max="1" width="4.75" style="37" customWidth="1"/>
    <col min="2" max="2" width="27.625" style="37" customWidth="1"/>
    <col min="3" max="7" width="12" style="37" customWidth="1"/>
    <col min="8" max="8" width="30.125" style="37" customWidth="1"/>
    <col min="9" max="9" width="14.75" style="37" customWidth="1"/>
    <col min="10" max="10" width="7.25" style="37" customWidth="1"/>
    <col min="11" max="16384" width="9" style="37"/>
  </cols>
  <sheetData>
    <row r="1" spans="1:9" s="52" customFormat="1" ht="23.8">
      <c r="A1" s="103" t="s">
        <v>83</v>
      </c>
      <c r="B1" s="103"/>
      <c r="C1" s="103"/>
      <c r="D1" s="103"/>
      <c r="E1" s="103"/>
      <c r="F1" s="103"/>
      <c r="G1" s="103"/>
      <c r="H1" s="103"/>
      <c r="I1" s="103"/>
    </row>
    <row r="2" spans="1:9" s="52" customFormat="1">
      <c r="A2" s="108" t="s">
        <v>187</v>
      </c>
      <c r="B2" s="108"/>
      <c r="C2" s="108"/>
      <c r="D2" s="108"/>
      <c r="E2" s="108"/>
      <c r="F2" s="108"/>
      <c r="G2" s="108"/>
      <c r="H2" s="108"/>
    </row>
    <row r="3" spans="1:9" s="39" customFormat="1">
      <c r="A3" s="108" t="s">
        <v>186</v>
      </c>
      <c r="B3" s="108"/>
      <c r="C3" s="108"/>
      <c r="D3" s="108"/>
      <c r="E3" s="108"/>
      <c r="F3" s="108"/>
      <c r="G3" s="108"/>
      <c r="H3" s="108"/>
      <c r="I3" s="52"/>
    </row>
    <row r="4" spans="1:9" s="52" customFormat="1">
      <c r="A4" s="54" t="s">
        <v>70</v>
      </c>
      <c r="B4" s="54"/>
      <c r="C4" s="54"/>
      <c r="D4" s="54"/>
      <c r="E4" s="54"/>
      <c r="F4" s="55"/>
      <c r="G4" s="55"/>
      <c r="H4" s="55"/>
      <c r="I4" s="39"/>
    </row>
    <row r="5" spans="1:9" s="52" customFormat="1">
      <c r="B5" s="109" t="s">
        <v>183</v>
      </c>
      <c r="C5" s="109"/>
      <c r="D5" s="109"/>
      <c r="E5" s="109"/>
      <c r="F5" s="109"/>
      <c r="G5" s="109"/>
      <c r="H5" s="109"/>
    </row>
    <row r="6" spans="1:9" s="94" customFormat="1">
      <c r="A6" s="52"/>
      <c r="B6" s="109" t="s">
        <v>210</v>
      </c>
      <c r="C6" s="109"/>
      <c r="D6" s="109"/>
      <c r="E6" s="109"/>
      <c r="F6" s="109"/>
      <c r="G6" s="109"/>
      <c r="H6" s="109"/>
      <c r="I6" s="52"/>
    </row>
    <row r="7" spans="1:9" s="39" customFormat="1" ht="21.75" customHeight="1">
      <c r="A7" s="94"/>
      <c r="B7" s="110" t="s">
        <v>211</v>
      </c>
      <c r="C7" s="110"/>
      <c r="D7" s="110"/>
      <c r="E7" s="110"/>
      <c r="F7" s="110"/>
      <c r="G7" s="110"/>
      <c r="H7" s="110"/>
      <c r="I7" s="94"/>
    </row>
    <row r="8" spans="1:9" s="39" customFormat="1" ht="21.75" customHeight="1">
      <c r="B8" s="56" t="s">
        <v>0</v>
      </c>
      <c r="C8" s="57" t="s">
        <v>48</v>
      </c>
      <c r="D8" s="57" t="s">
        <v>49</v>
      </c>
      <c r="E8" s="57" t="s">
        <v>50</v>
      </c>
      <c r="F8" s="57" t="s">
        <v>51</v>
      </c>
      <c r="G8" s="57" t="s">
        <v>52</v>
      </c>
    </row>
    <row r="9" spans="1:9" s="39" customFormat="1" ht="21.75" customHeight="1">
      <c r="B9" s="58" t="s">
        <v>9</v>
      </c>
      <c r="C9" s="59" t="s">
        <v>184</v>
      </c>
      <c r="D9" s="59" t="s">
        <v>207</v>
      </c>
      <c r="E9" s="71">
        <v>8</v>
      </c>
      <c r="F9" s="60" t="s">
        <v>185</v>
      </c>
      <c r="G9" s="60" t="s">
        <v>182</v>
      </c>
    </row>
    <row r="10" spans="1:9" s="39" customFormat="1" ht="21.75" customHeight="1">
      <c r="B10" s="58" t="s">
        <v>23</v>
      </c>
      <c r="C10" s="32">
        <v>4.3192081151832475</v>
      </c>
      <c r="D10" s="32">
        <v>4.5588768115941987</v>
      </c>
      <c r="E10" s="19">
        <v>4.9400000000000004</v>
      </c>
      <c r="F10" s="92">
        <v>4.8099999999999996</v>
      </c>
      <c r="G10" s="92">
        <v>4.5124999999999984</v>
      </c>
    </row>
    <row r="11" spans="1:9" s="39" customFormat="1" ht="21.75" customHeight="1">
      <c r="B11" s="58" t="s">
        <v>24</v>
      </c>
      <c r="C11" s="32">
        <v>86.384162303664993</v>
      </c>
      <c r="D11" s="32">
        <v>91.177536231884005</v>
      </c>
      <c r="E11" s="32">
        <v>98.86</v>
      </c>
      <c r="F11" s="93">
        <f>F10*20</f>
        <v>96.199999999999989</v>
      </c>
      <c r="G11" s="93">
        <f t="shared" ref="G11" si="0">G10*20</f>
        <v>90.249999999999972</v>
      </c>
    </row>
    <row r="12" spans="1:9" s="39" customFormat="1" ht="23.95" customHeight="1">
      <c r="B12" s="62"/>
      <c r="C12" s="63"/>
      <c r="D12" s="63"/>
      <c r="E12" s="63"/>
      <c r="F12" s="76"/>
      <c r="G12" s="76"/>
    </row>
    <row r="13" spans="1:9" s="39" customFormat="1" ht="23.95" customHeight="1">
      <c r="A13" s="107" t="s">
        <v>53</v>
      </c>
      <c r="B13" s="107"/>
      <c r="H13" s="39" t="s">
        <v>68</v>
      </c>
    </row>
    <row r="14" spans="1:9" s="39" customFormat="1" ht="23.95" customHeight="1">
      <c r="B14" s="42" t="s">
        <v>54</v>
      </c>
    </row>
    <row r="15" spans="1:9" ht="23.95" customHeight="1">
      <c r="A15" s="39"/>
      <c r="B15" s="36" t="s">
        <v>113</v>
      </c>
      <c r="C15" s="39"/>
      <c r="D15" s="39"/>
      <c r="E15" s="39"/>
      <c r="F15" s="39"/>
      <c r="G15" s="39"/>
      <c r="H15" s="39"/>
      <c r="I15" s="39"/>
    </row>
    <row r="16" spans="1:9" ht="23.95" customHeight="1">
      <c r="B16" s="84" t="s">
        <v>200</v>
      </c>
      <c r="C16" s="40"/>
      <c r="D16" s="40"/>
      <c r="E16" s="40"/>
      <c r="F16" s="40"/>
      <c r="G16" s="40"/>
      <c r="H16" s="40"/>
    </row>
    <row r="17" spans="2:9" ht="23.95" customHeight="1">
      <c r="B17" s="36" t="s">
        <v>119</v>
      </c>
      <c r="C17" s="40"/>
      <c r="D17" s="40"/>
      <c r="E17" s="40"/>
      <c r="F17" s="40"/>
      <c r="G17" s="40"/>
      <c r="H17" s="40"/>
    </row>
    <row r="18" spans="2:9" ht="23.95" customHeight="1">
      <c r="B18" s="36" t="s">
        <v>205</v>
      </c>
      <c r="C18" s="40"/>
      <c r="D18" s="40"/>
      <c r="E18" s="40"/>
      <c r="F18" s="40"/>
      <c r="G18" s="40"/>
      <c r="H18" s="40"/>
    </row>
    <row r="19" spans="2:9" ht="23.95" customHeight="1">
      <c r="B19" s="36" t="s">
        <v>118</v>
      </c>
      <c r="C19" s="40"/>
      <c r="D19" s="40"/>
      <c r="E19" s="40"/>
      <c r="F19" s="40"/>
      <c r="G19" s="40"/>
      <c r="H19" s="40"/>
    </row>
    <row r="20" spans="2:9" ht="23.95" customHeight="1">
      <c r="B20" s="36" t="s">
        <v>125</v>
      </c>
      <c r="C20" s="40"/>
      <c r="D20" s="40"/>
      <c r="E20" s="40"/>
      <c r="F20" s="40"/>
      <c r="G20" s="40"/>
      <c r="H20" s="40"/>
    </row>
    <row r="21" spans="2:9" ht="23.95" customHeight="1">
      <c r="B21" s="36" t="s">
        <v>111</v>
      </c>
      <c r="C21" s="40"/>
      <c r="D21" s="40"/>
      <c r="E21" s="40"/>
      <c r="F21" s="40"/>
      <c r="G21" s="40"/>
      <c r="H21" s="40"/>
    </row>
    <row r="22" spans="2:9" ht="23.95" customHeight="1">
      <c r="B22" s="36" t="s">
        <v>206</v>
      </c>
      <c r="C22" s="40"/>
      <c r="D22" s="40"/>
      <c r="E22" s="40"/>
      <c r="F22" s="40"/>
      <c r="G22" s="40"/>
      <c r="H22" s="40"/>
    </row>
    <row r="23" spans="2:9" ht="23.95" customHeight="1">
      <c r="B23" s="36" t="s">
        <v>100</v>
      </c>
      <c r="C23" s="40"/>
      <c r="D23" s="40"/>
      <c r="E23" s="40"/>
      <c r="F23" s="40"/>
      <c r="G23" s="40"/>
      <c r="H23" s="40"/>
    </row>
    <row r="24" spans="2:9" ht="23.95" customHeight="1">
      <c r="B24" s="36" t="s">
        <v>93</v>
      </c>
      <c r="C24" s="40"/>
      <c r="D24" s="40"/>
      <c r="E24" s="40"/>
      <c r="F24" s="40"/>
      <c r="G24" s="40"/>
      <c r="H24" s="40"/>
    </row>
    <row r="25" spans="2:9" ht="23.95" customHeight="1">
      <c r="B25" s="36" t="s">
        <v>127</v>
      </c>
      <c r="C25" s="40"/>
      <c r="D25" s="40"/>
      <c r="E25" s="40"/>
      <c r="F25" s="40"/>
      <c r="G25" s="40"/>
      <c r="H25" s="40"/>
    </row>
    <row r="26" spans="2:9" ht="23.95" customHeight="1">
      <c r="B26" s="36" t="s">
        <v>96</v>
      </c>
      <c r="C26" s="40"/>
      <c r="D26" s="40"/>
      <c r="E26" s="40"/>
      <c r="F26" s="40"/>
      <c r="G26" s="40"/>
      <c r="H26" s="40"/>
    </row>
    <row r="27" spans="2:9" ht="23.95" customHeight="1">
      <c r="B27" s="36" t="s">
        <v>188</v>
      </c>
      <c r="C27" s="40"/>
      <c r="D27" s="40"/>
      <c r="E27" s="40"/>
      <c r="F27" s="40"/>
      <c r="G27" s="40"/>
      <c r="H27" s="40"/>
    </row>
    <row r="28" spans="2:9" ht="23.95" customHeight="1">
      <c r="B28" s="36" t="s">
        <v>212</v>
      </c>
      <c r="C28" s="40"/>
      <c r="D28" s="40"/>
      <c r="E28" s="40"/>
      <c r="F28" s="40"/>
      <c r="G28" s="40"/>
      <c r="H28" s="40"/>
    </row>
    <row r="29" spans="2:9" ht="23.95" customHeight="1">
      <c r="B29" s="36" t="s">
        <v>97</v>
      </c>
      <c r="C29" s="40"/>
      <c r="D29" s="40"/>
      <c r="E29" s="40"/>
      <c r="F29" s="40"/>
      <c r="G29" s="40"/>
      <c r="H29" s="40"/>
    </row>
    <row r="30" spans="2:9" ht="23.95" customHeight="1">
      <c r="B30" s="36" t="s">
        <v>98</v>
      </c>
      <c r="C30" s="40"/>
      <c r="D30" s="40"/>
      <c r="E30" s="40"/>
      <c r="F30" s="40"/>
      <c r="G30" s="40"/>
      <c r="H30" s="40"/>
    </row>
    <row r="31" spans="2:9" ht="23.95" customHeight="1">
      <c r="B31" s="90" t="s">
        <v>208</v>
      </c>
      <c r="C31" s="90"/>
      <c r="D31" s="90"/>
      <c r="E31" s="90"/>
      <c r="F31" s="90"/>
      <c r="G31" s="90"/>
      <c r="H31" s="90"/>
      <c r="I31" s="90"/>
    </row>
    <row r="32" spans="2:9" ht="23.95" customHeight="1">
      <c r="B32" s="90" t="s">
        <v>209</v>
      </c>
      <c r="C32" s="90"/>
      <c r="D32" s="90"/>
      <c r="E32" s="90"/>
      <c r="F32" s="90"/>
      <c r="G32" s="90"/>
      <c r="H32" s="90"/>
      <c r="I32" s="90"/>
    </row>
    <row r="33" spans="1:9" ht="23.95" customHeight="1">
      <c r="B33" s="36" t="s">
        <v>99</v>
      </c>
      <c r="C33" s="40"/>
      <c r="D33" s="40"/>
      <c r="E33" s="40"/>
      <c r="F33" s="40"/>
      <c r="G33" s="40"/>
      <c r="H33" s="40"/>
    </row>
    <row r="34" spans="1:9" ht="23.95" customHeight="1">
      <c r="B34" s="36" t="s">
        <v>101</v>
      </c>
      <c r="C34" s="40"/>
      <c r="D34" s="40"/>
      <c r="E34" s="40"/>
      <c r="F34" s="40"/>
      <c r="G34" s="40"/>
      <c r="H34" s="40"/>
    </row>
    <row r="35" spans="1:9" ht="23.95" customHeight="1">
      <c r="B35" s="37" t="s">
        <v>105</v>
      </c>
      <c r="C35" s="40"/>
      <c r="D35" s="40"/>
      <c r="E35" s="40"/>
      <c r="F35" s="40"/>
      <c r="G35" s="40"/>
      <c r="H35" s="40"/>
    </row>
    <row r="36" spans="1:9" ht="23.95" customHeight="1">
      <c r="B36" s="36" t="s">
        <v>108</v>
      </c>
      <c r="C36" s="40"/>
      <c r="D36" s="40"/>
      <c r="E36" s="40"/>
      <c r="F36" s="40"/>
      <c r="G36" s="40"/>
      <c r="H36" s="40"/>
    </row>
    <row r="37" spans="1:9" ht="23.95" customHeight="1">
      <c r="B37" s="36" t="s">
        <v>109</v>
      </c>
      <c r="C37" s="40"/>
      <c r="D37" s="40"/>
      <c r="E37" s="40"/>
      <c r="F37" s="40"/>
      <c r="G37" s="40"/>
      <c r="H37" s="40"/>
    </row>
    <row r="38" spans="1:9" ht="23.95" customHeight="1">
      <c r="B38" s="36" t="s">
        <v>110</v>
      </c>
      <c r="C38" s="40"/>
      <c r="D38" s="40"/>
      <c r="E38" s="40"/>
      <c r="F38" s="40"/>
      <c r="G38" s="40"/>
      <c r="H38" s="40"/>
    </row>
    <row r="39" spans="1:9" ht="23.95" customHeight="1">
      <c r="B39" s="36" t="s">
        <v>189</v>
      </c>
      <c r="C39" s="40"/>
      <c r="D39" s="40"/>
      <c r="E39" s="40"/>
      <c r="F39" s="40"/>
      <c r="G39" s="40"/>
      <c r="H39" s="40"/>
    </row>
    <row r="40" spans="1:9" ht="23.95" customHeight="1">
      <c r="B40" s="36" t="s">
        <v>112</v>
      </c>
      <c r="C40" s="40"/>
      <c r="D40" s="40"/>
      <c r="E40" s="40"/>
      <c r="F40" s="40"/>
      <c r="G40" s="40"/>
      <c r="H40" s="40"/>
    </row>
    <row r="41" spans="1:9" ht="23.95" customHeight="1">
      <c r="B41" s="36" t="s">
        <v>117</v>
      </c>
      <c r="C41" s="40"/>
      <c r="D41" s="40"/>
      <c r="E41" s="40"/>
      <c r="F41" s="40"/>
      <c r="G41" s="40"/>
      <c r="H41" s="40"/>
    </row>
    <row r="42" spans="1:9" ht="23.95" customHeight="1">
      <c r="B42" s="36" t="s">
        <v>213</v>
      </c>
      <c r="C42" s="40"/>
      <c r="D42" s="40"/>
      <c r="E42" s="40"/>
      <c r="F42" s="40"/>
      <c r="G42" s="40"/>
      <c r="H42" s="40"/>
    </row>
    <row r="43" spans="1:9" ht="23.95" customHeight="1">
      <c r="B43" s="75" t="s">
        <v>197</v>
      </c>
      <c r="C43" s="75"/>
      <c r="D43" s="75"/>
      <c r="E43" s="75"/>
      <c r="F43" s="40"/>
      <c r="G43" s="40"/>
      <c r="H43" s="40"/>
    </row>
    <row r="44" spans="1:9" s="75" customFormat="1" ht="23.95" customHeight="1">
      <c r="A44" s="37"/>
      <c r="B44" s="36"/>
      <c r="C44" s="40"/>
      <c r="D44" s="40"/>
      <c r="E44" s="40"/>
      <c r="F44" s="40"/>
      <c r="G44" s="40"/>
      <c r="H44" s="40"/>
      <c r="I44" s="37"/>
    </row>
    <row r="45" spans="1:9" s="75" customFormat="1" ht="23.95" customHeight="1">
      <c r="A45" s="77"/>
      <c r="B45" s="42" t="s">
        <v>55</v>
      </c>
      <c r="C45" s="41"/>
      <c r="D45" s="41"/>
      <c r="E45" s="41"/>
      <c r="F45" s="41"/>
      <c r="G45" s="41"/>
      <c r="H45" s="41"/>
    </row>
    <row r="46" spans="1:9" s="75" customFormat="1" ht="23.95" customHeight="1">
      <c r="A46" s="77"/>
      <c r="B46" s="37" t="s">
        <v>121</v>
      </c>
      <c r="C46" s="41"/>
      <c r="D46" s="41"/>
      <c r="E46" s="41"/>
      <c r="F46" s="41"/>
      <c r="G46" s="41"/>
      <c r="H46" s="41"/>
    </row>
    <row r="47" spans="1:9" s="75" customFormat="1" ht="23.95" customHeight="1">
      <c r="A47" s="77"/>
      <c r="B47" s="37" t="s">
        <v>126</v>
      </c>
      <c r="C47" s="41"/>
      <c r="D47" s="41"/>
      <c r="E47" s="41"/>
      <c r="F47" s="41"/>
      <c r="G47" s="41"/>
      <c r="H47" s="41"/>
    </row>
    <row r="48" spans="1:9" ht="23.95" customHeight="1">
      <c r="A48" s="77"/>
      <c r="B48" s="37" t="s">
        <v>120</v>
      </c>
      <c r="C48" s="41"/>
      <c r="D48" s="41"/>
      <c r="E48" s="41"/>
      <c r="F48" s="41"/>
      <c r="G48" s="41"/>
      <c r="H48" s="41"/>
      <c r="I48" s="75"/>
    </row>
    <row r="49" spans="1:9" ht="23.95" customHeight="1">
      <c r="B49" s="38" t="s">
        <v>91</v>
      </c>
      <c r="C49" s="40"/>
      <c r="D49" s="40"/>
      <c r="E49" s="40"/>
      <c r="F49" s="40"/>
      <c r="G49" s="40"/>
      <c r="H49" s="40"/>
    </row>
    <row r="50" spans="1:9" ht="23.95" customHeight="1">
      <c r="B50" s="38" t="s">
        <v>94</v>
      </c>
      <c r="C50" s="40"/>
      <c r="D50" s="40"/>
      <c r="E50" s="40"/>
      <c r="F50" s="40"/>
      <c r="G50" s="40"/>
      <c r="H50" s="40"/>
    </row>
    <row r="51" spans="1:9" ht="23.95" customHeight="1">
      <c r="B51" s="38" t="s">
        <v>190</v>
      </c>
      <c r="C51" s="40"/>
      <c r="D51" s="40"/>
      <c r="E51" s="40"/>
      <c r="F51" s="40"/>
      <c r="G51" s="40"/>
      <c r="H51" s="40"/>
    </row>
    <row r="52" spans="1:9" ht="23.95" customHeight="1">
      <c r="B52" s="36" t="s">
        <v>102</v>
      </c>
      <c r="C52" s="40"/>
      <c r="D52" s="40"/>
      <c r="E52" s="40"/>
      <c r="F52" s="40"/>
      <c r="G52" s="40"/>
      <c r="H52" s="40"/>
    </row>
    <row r="53" spans="1:9" ht="23.95" customHeight="1">
      <c r="B53" s="38" t="s">
        <v>191</v>
      </c>
      <c r="C53" s="40"/>
      <c r="D53" s="40"/>
      <c r="E53" s="40"/>
      <c r="F53" s="40"/>
      <c r="G53" s="40"/>
      <c r="H53" s="40"/>
    </row>
    <row r="54" spans="1:9" ht="23.95" customHeight="1">
      <c r="B54" s="37" t="s">
        <v>192</v>
      </c>
      <c r="C54" s="40"/>
      <c r="D54" s="40"/>
      <c r="E54" s="40"/>
      <c r="F54" s="40"/>
      <c r="G54" s="40"/>
      <c r="H54" s="40"/>
    </row>
    <row r="55" spans="1:9" ht="23.95" customHeight="1">
      <c r="B55" s="37" t="s">
        <v>106</v>
      </c>
      <c r="C55" s="40"/>
      <c r="D55" s="40"/>
      <c r="E55" s="40"/>
      <c r="F55" s="40"/>
      <c r="G55" s="40"/>
      <c r="H55" s="40"/>
    </row>
    <row r="56" spans="1:9" ht="23.95" customHeight="1">
      <c r="B56" s="106" t="s">
        <v>219</v>
      </c>
      <c r="C56" s="106"/>
      <c r="D56" s="106"/>
      <c r="E56" s="106"/>
      <c r="F56" s="106"/>
      <c r="G56" s="106"/>
      <c r="H56" s="106"/>
      <c r="I56" s="101"/>
    </row>
    <row r="57" spans="1:9" ht="23.95" customHeight="1">
      <c r="B57" s="37" t="s">
        <v>220</v>
      </c>
      <c r="I57" s="95"/>
    </row>
    <row r="58" spans="1:9" ht="23.95" customHeight="1">
      <c r="B58" s="105" t="s">
        <v>217</v>
      </c>
      <c r="C58" s="105"/>
      <c r="D58" s="105"/>
      <c r="E58" s="105"/>
      <c r="F58" s="105"/>
      <c r="G58" s="105"/>
      <c r="H58" s="105"/>
    </row>
    <row r="59" spans="1:9" ht="23.95" customHeight="1">
      <c r="B59" s="105" t="s">
        <v>218</v>
      </c>
      <c r="C59" s="105"/>
      <c r="D59" s="105"/>
      <c r="E59" s="105"/>
      <c r="F59" s="105"/>
      <c r="G59" s="105"/>
      <c r="H59" s="105"/>
      <c r="I59" s="105"/>
    </row>
    <row r="60" spans="1:9" ht="23.95" customHeight="1">
      <c r="B60" s="37" t="s">
        <v>221</v>
      </c>
    </row>
    <row r="61" spans="1:9" ht="23.95" customHeight="1">
      <c r="B61" s="105" t="s">
        <v>222</v>
      </c>
      <c r="C61" s="105"/>
      <c r="D61" s="105"/>
      <c r="E61" s="105"/>
      <c r="F61" s="105"/>
      <c r="G61" s="105"/>
      <c r="H61" s="105"/>
      <c r="I61" s="95"/>
    </row>
    <row r="62" spans="1:9">
      <c r="B62" s="37" t="s">
        <v>199</v>
      </c>
      <c r="C62" s="40"/>
      <c r="D62" s="40"/>
      <c r="E62" s="40"/>
      <c r="F62" s="40"/>
      <c r="G62" s="40"/>
      <c r="H62" s="40"/>
    </row>
    <row r="63" spans="1:9" ht="23.95" customHeight="1">
      <c r="B63" s="105" t="s">
        <v>223</v>
      </c>
      <c r="C63" s="105"/>
      <c r="D63" s="105"/>
      <c r="E63" s="105"/>
      <c r="F63" s="105"/>
      <c r="G63" s="105"/>
      <c r="H63" s="105"/>
      <c r="I63" s="95"/>
    </row>
    <row r="64" spans="1:9" s="45" customFormat="1" ht="23.95" customHeight="1">
      <c r="A64" s="37"/>
      <c r="B64" s="37" t="s">
        <v>224</v>
      </c>
      <c r="C64" s="40"/>
      <c r="D64" s="40"/>
      <c r="E64" s="40"/>
      <c r="F64" s="40"/>
      <c r="G64" s="40"/>
      <c r="H64" s="40"/>
      <c r="I64" s="37"/>
    </row>
    <row r="65" spans="1:10" s="45" customFormat="1" ht="23.95" customHeight="1">
      <c r="A65" s="37"/>
      <c r="B65" s="105" t="s">
        <v>216</v>
      </c>
      <c r="C65" s="105"/>
      <c r="D65" s="105"/>
      <c r="E65" s="105"/>
      <c r="F65" s="105"/>
      <c r="G65" s="105"/>
      <c r="H65" s="105"/>
      <c r="I65" s="37"/>
    </row>
    <row r="66" spans="1:10" s="45" customFormat="1" ht="23.95" customHeight="1">
      <c r="A66" s="37"/>
      <c r="B66" s="105" t="s">
        <v>225</v>
      </c>
      <c r="C66" s="105"/>
      <c r="D66" s="105"/>
      <c r="E66" s="105"/>
      <c r="F66" s="105"/>
      <c r="G66" s="105"/>
      <c r="H66" s="105"/>
      <c r="I66" s="37"/>
    </row>
    <row r="67" spans="1:10" s="45" customFormat="1" ht="23.95" customHeight="1">
      <c r="A67" s="37"/>
      <c r="B67" s="36" t="s">
        <v>193</v>
      </c>
      <c r="C67" s="96"/>
      <c r="D67" s="96"/>
      <c r="E67" s="96"/>
      <c r="F67" s="96"/>
      <c r="G67" s="96"/>
      <c r="H67" s="96"/>
      <c r="I67" s="37"/>
    </row>
    <row r="68" spans="1:10" s="45" customFormat="1" ht="23.95" customHeight="1">
      <c r="A68" s="37"/>
      <c r="B68" s="36" t="s">
        <v>163</v>
      </c>
      <c r="C68" s="96"/>
      <c r="D68" s="96"/>
      <c r="E68" s="96"/>
      <c r="F68" s="96"/>
      <c r="G68" s="96"/>
      <c r="H68" s="96"/>
      <c r="I68" s="37"/>
    </row>
    <row r="69" spans="1:10" s="45" customFormat="1" ht="23.95" customHeight="1">
      <c r="A69" s="37"/>
      <c r="B69" s="37"/>
      <c r="C69" s="40"/>
      <c r="D69" s="40"/>
      <c r="E69" s="40"/>
      <c r="F69" s="40"/>
      <c r="G69" s="40"/>
      <c r="H69" s="40"/>
      <c r="I69" s="37"/>
    </row>
    <row r="70" spans="1:10" s="45" customFormat="1" ht="23.95" customHeight="1">
      <c r="A70" s="37"/>
      <c r="B70" s="37"/>
      <c r="C70" s="40"/>
      <c r="D70" s="40"/>
      <c r="E70" s="40"/>
      <c r="F70" s="40"/>
      <c r="G70" s="40"/>
      <c r="H70" s="40"/>
      <c r="I70" s="37"/>
    </row>
    <row r="71" spans="1:10" ht="23.95" customHeight="1">
      <c r="A71" s="61"/>
      <c r="B71" s="53" t="s">
        <v>56</v>
      </c>
      <c r="C71" s="53"/>
      <c r="D71" s="53"/>
      <c r="E71" s="53"/>
      <c r="F71" s="39"/>
      <c r="G71" s="39"/>
      <c r="H71" s="39"/>
      <c r="I71" s="45"/>
    </row>
    <row r="72" spans="1:10" ht="23.95" customHeight="1">
      <c r="A72" s="39"/>
      <c r="B72" s="36" t="s">
        <v>115</v>
      </c>
      <c r="C72" s="38"/>
      <c r="D72" s="38"/>
      <c r="E72" s="38"/>
      <c r="F72" s="38"/>
      <c r="G72" s="38"/>
      <c r="H72" s="40"/>
    </row>
    <row r="73" spans="1:10" ht="23.95" customHeight="1">
      <c r="A73" s="39"/>
      <c r="B73" s="75" t="s">
        <v>103</v>
      </c>
      <c r="C73" s="52"/>
      <c r="D73" s="43"/>
      <c r="E73" s="43"/>
      <c r="F73" s="43"/>
      <c r="G73" s="38"/>
      <c r="H73" s="40"/>
    </row>
    <row r="74" spans="1:10" ht="23.95" customHeight="1">
      <c r="A74" s="39"/>
      <c r="B74" s="36" t="s">
        <v>122</v>
      </c>
      <c r="C74" s="52"/>
      <c r="D74" s="43"/>
      <c r="E74" s="43"/>
      <c r="F74" s="43"/>
      <c r="G74" s="38"/>
      <c r="H74" s="40"/>
    </row>
    <row r="75" spans="1:10" ht="23.95" customHeight="1">
      <c r="A75" s="39"/>
      <c r="B75" s="100" t="s">
        <v>124</v>
      </c>
      <c r="C75" s="52"/>
      <c r="D75" s="43"/>
      <c r="E75" s="43"/>
      <c r="F75" s="43"/>
      <c r="G75" s="38"/>
      <c r="H75" s="40"/>
    </row>
    <row r="76" spans="1:10" s="75" customFormat="1" ht="23.95" customHeight="1">
      <c r="A76" s="39"/>
      <c r="B76" s="91" t="s">
        <v>204</v>
      </c>
      <c r="C76" s="91"/>
      <c r="D76" s="91"/>
      <c r="E76" s="91"/>
      <c r="F76" s="91"/>
      <c r="G76" s="38"/>
      <c r="H76" s="40"/>
      <c r="I76" s="37"/>
    </row>
    <row r="77" spans="1:10" s="75" customFormat="1" ht="23.95" customHeight="1">
      <c r="B77" s="75" t="s">
        <v>92</v>
      </c>
      <c r="C77" s="52"/>
      <c r="D77" s="43"/>
      <c r="E77" s="43"/>
      <c r="F77" s="43"/>
      <c r="G77" s="43"/>
      <c r="H77" s="43"/>
    </row>
    <row r="78" spans="1:10" s="75" customFormat="1">
      <c r="B78" s="75" t="s">
        <v>95</v>
      </c>
      <c r="C78" s="52"/>
      <c r="D78" s="43"/>
      <c r="E78" s="43"/>
      <c r="F78" s="43"/>
      <c r="G78" s="43"/>
      <c r="H78" s="43"/>
      <c r="J78" s="89"/>
    </row>
    <row r="79" spans="1:10" s="75" customFormat="1">
      <c r="B79" s="111" t="s">
        <v>214</v>
      </c>
      <c r="C79" s="111"/>
      <c r="D79" s="111"/>
      <c r="E79" s="111"/>
      <c r="F79" s="111"/>
      <c r="G79" s="111"/>
      <c r="H79" s="111"/>
      <c r="I79" s="89"/>
    </row>
    <row r="80" spans="1:10" s="75" customFormat="1">
      <c r="B80" s="104" t="s">
        <v>215</v>
      </c>
      <c r="C80" s="104"/>
      <c r="D80" s="104"/>
      <c r="E80" s="104"/>
      <c r="F80" s="104"/>
      <c r="G80" s="104"/>
      <c r="H80" s="104"/>
      <c r="I80" s="97"/>
    </row>
    <row r="81" spans="1:9" s="75" customFormat="1" ht="23.95" customHeight="1">
      <c r="B81" s="36" t="s">
        <v>104</v>
      </c>
      <c r="C81" s="52"/>
      <c r="D81" s="43"/>
      <c r="E81" s="43"/>
      <c r="F81" s="43"/>
      <c r="G81" s="43"/>
      <c r="H81" s="43"/>
    </row>
    <row r="82" spans="1:9" s="75" customFormat="1" ht="23.95" customHeight="1">
      <c r="B82" s="36" t="s">
        <v>107</v>
      </c>
      <c r="C82" s="52"/>
      <c r="D82" s="43"/>
      <c r="E82" s="43"/>
      <c r="F82" s="43"/>
      <c r="G82" s="43"/>
      <c r="H82" s="43"/>
    </row>
    <row r="83" spans="1:9" s="75" customFormat="1" ht="23.95" customHeight="1">
      <c r="B83" s="36" t="s">
        <v>114</v>
      </c>
      <c r="C83" s="52"/>
      <c r="D83" s="43"/>
      <c r="E83" s="43"/>
      <c r="F83" s="43"/>
      <c r="G83" s="43"/>
      <c r="H83" s="43"/>
    </row>
    <row r="84" spans="1:9" s="75" customFormat="1" ht="23.95" customHeight="1">
      <c r="B84" s="36" t="s">
        <v>116</v>
      </c>
      <c r="C84" s="52"/>
      <c r="D84" s="43"/>
      <c r="E84" s="43"/>
      <c r="F84" s="43"/>
      <c r="G84" s="43"/>
      <c r="H84" s="43"/>
    </row>
    <row r="85" spans="1:9" s="75" customFormat="1" ht="23.95" customHeight="1">
      <c r="B85" s="36" t="s">
        <v>123</v>
      </c>
      <c r="C85" s="52"/>
      <c r="D85" s="43"/>
      <c r="E85" s="43"/>
      <c r="F85" s="43"/>
      <c r="G85" s="43"/>
      <c r="H85" s="43"/>
    </row>
    <row r="86" spans="1:9" ht="23.95" customHeight="1">
      <c r="A86" s="75"/>
      <c r="B86" s="36" t="s">
        <v>133</v>
      </c>
      <c r="C86" s="36"/>
      <c r="D86" s="41"/>
      <c r="E86" s="43"/>
      <c r="F86" s="43"/>
      <c r="G86" s="43"/>
      <c r="H86" s="43"/>
      <c r="I86" s="75"/>
    </row>
    <row r="87" spans="1:9" ht="23.95" customHeight="1">
      <c r="A87" s="75"/>
      <c r="B87" s="36"/>
      <c r="C87" s="36"/>
      <c r="D87" s="41"/>
      <c r="E87" s="43"/>
      <c r="F87" s="43"/>
      <c r="G87" s="43"/>
      <c r="H87" s="43"/>
      <c r="I87" s="75"/>
    </row>
    <row r="88" spans="1:9" ht="23.95" customHeight="1">
      <c r="A88" s="73" t="s">
        <v>57</v>
      </c>
      <c r="C88" s="39"/>
      <c r="D88" s="39"/>
      <c r="E88" s="39"/>
      <c r="F88" s="39"/>
      <c r="G88" s="39"/>
      <c r="H88" s="39"/>
    </row>
    <row r="89" spans="1:9" ht="23.95" customHeight="1">
      <c r="B89" s="42" t="s">
        <v>54</v>
      </c>
      <c r="C89" s="44"/>
      <c r="D89" s="44"/>
      <c r="E89" s="44"/>
      <c r="F89" s="44"/>
      <c r="G89" s="44"/>
      <c r="H89" s="44"/>
    </row>
    <row r="90" spans="1:9" ht="23.95" customHeight="1">
      <c r="B90" s="75" t="s">
        <v>198</v>
      </c>
      <c r="C90" s="44"/>
      <c r="D90" s="44"/>
      <c r="E90" s="44"/>
      <c r="F90" s="44"/>
      <c r="G90" s="44"/>
      <c r="H90" s="44"/>
    </row>
    <row r="91" spans="1:9" ht="23.95" customHeight="1">
      <c r="B91" s="42" t="s">
        <v>142</v>
      </c>
      <c r="C91" s="44"/>
      <c r="D91" s="44"/>
      <c r="E91" s="44"/>
      <c r="F91" s="44"/>
      <c r="G91" s="44"/>
      <c r="H91" s="44"/>
    </row>
    <row r="92" spans="1:9" s="75" customFormat="1" ht="23.95" customHeight="1">
      <c r="A92" s="37"/>
      <c r="B92" s="105" t="s">
        <v>168</v>
      </c>
      <c r="C92" s="105"/>
      <c r="D92" s="105"/>
      <c r="E92" s="105"/>
      <c r="F92" s="105"/>
      <c r="G92" s="44"/>
      <c r="H92" s="44"/>
      <c r="I92" s="37"/>
    </row>
    <row r="93" spans="1:9" s="75" customFormat="1" ht="23.95" customHeight="1">
      <c r="B93" s="75" t="s">
        <v>128</v>
      </c>
    </row>
    <row r="94" spans="1:9" s="75" customFormat="1" ht="23.95" customHeight="1">
      <c r="B94" s="75" t="s">
        <v>140</v>
      </c>
    </row>
    <row r="95" spans="1:9" s="75" customFormat="1" ht="23.95" customHeight="1">
      <c r="B95" s="75" t="s">
        <v>130</v>
      </c>
    </row>
    <row r="96" spans="1:9" s="75" customFormat="1" ht="23.95" customHeight="1">
      <c r="B96" s="75" t="s">
        <v>141</v>
      </c>
    </row>
    <row r="97" spans="2:2" s="75" customFormat="1" ht="23.95" customHeight="1">
      <c r="B97" s="75" t="s">
        <v>143</v>
      </c>
    </row>
    <row r="98" spans="2:2" s="75" customFormat="1" ht="23.95" customHeight="1">
      <c r="B98" s="75" t="s">
        <v>153</v>
      </c>
    </row>
    <row r="99" spans="2:2" s="75" customFormat="1" ht="23.95" customHeight="1">
      <c r="B99" s="75" t="s">
        <v>157</v>
      </c>
    </row>
    <row r="100" spans="2:2" s="75" customFormat="1" ht="23.95" customHeight="1">
      <c r="B100" s="75" t="s">
        <v>202</v>
      </c>
    </row>
    <row r="101" spans="2:2" s="75" customFormat="1" ht="23.95" customHeight="1">
      <c r="B101" s="75" t="s">
        <v>180</v>
      </c>
    </row>
    <row r="102" spans="2:2" s="75" customFormat="1" ht="23.95" customHeight="1">
      <c r="B102" s="75" t="s">
        <v>172</v>
      </c>
    </row>
    <row r="103" spans="2:2" s="75" customFormat="1" ht="23.95" customHeight="1">
      <c r="B103" s="75" t="s">
        <v>145</v>
      </c>
    </row>
    <row r="104" spans="2:2" s="75" customFormat="1" ht="23.95" customHeight="1">
      <c r="B104" s="75" t="s">
        <v>147</v>
      </c>
    </row>
    <row r="105" spans="2:2" s="75" customFormat="1" ht="23.95" customHeight="1">
      <c r="B105" s="75" t="s">
        <v>155</v>
      </c>
    </row>
    <row r="106" spans="2:2" s="75" customFormat="1" ht="23.95" customHeight="1">
      <c r="B106" s="75" t="s">
        <v>160</v>
      </c>
    </row>
    <row r="107" spans="2:2" s="75" customFormat="1" ht="23.95" customHeight="1">
      <c r="B107" s="75" t="s">
        <v>162</v>
      </c>
    </row>
    <row r="108" spans="2:2" s="75" customFormat="1" ht="23.95" customHeight="1">
      <c r="B108" s="75" t="s">
        <v>203</v>
      </c>
    </row>
    <row r="109" spans="2:2" s="75" customFormat="1" ht="23.95" customHeight="1">
      <c r="B109" s="75" t="s">
        <v>167</v>
      </c>
    </row>
    <row r="110" spans="2:2" s="75" customFormat="1" ht="23.95" customHeight="1">
      <c r="B110" s="36" t="s">
        <v>173</v>
      </c>
    </row>
    <row r="111" spans="2:2" s="75" customFormat="1" ht="23.95" customHeight="1">
      <c r="B111" s="36" t="s">
        <v>174</v>
      </c>
    </row>
    <row r="112" spans="2:2" s="75" customFormat="1" ht="23.95" customHeight="1"/>
    <row r="113" spans="1:9" ht="23.95" customHeight="1">
      <c r="A113" s="75"/>
      <c r="B113" s="47" t="s">
        <v>55</v>
      </c>
      <c r="C113" s="43"/>
      <c r="D113" s="43"/>
      <c r="E113" s="43"/>
      <c r="F113" s="43"/>
      <c r="G113" s="43"/>
      <c r="H113" s="43"/>
      <c r="I113" s="75"/>
    </row>
    <row r="114" spans="1:9" s="75" customFormat="1" ht="23.95" customHeight="1">
      <c r="A114" s="74"/>
      <c r="B114" s="36" t="s">
        <v>132</v>
      </c>
      <c r="D114" s="43"/>
      <c r="E114" s="43"/>
      <c r="F114" s="43"/>
      <c r="G114" s="43"/>
      <c r="H114" s="43"/>
    </row>
    <row r="115" spans="1:9" s="75" customFormat="1" ht="23.95" customHeight="1">
      <c r="A115" s="74"/>
      <c r="B115" s="36" t="s">
        <v>134</v>
      </c>
      <c r="D115" s="43"/>
      <c r="E115" s="43"/>
      <c r="F115" s="43"/>
      <c r="G115" s="43"/>
      <c r="H115" s="43"/>
    </row>
    <row r="116" spans="1:9" s="75" customFormat="1" ht="23.95" customHeight="1">
      <c r="A116" s="74"/>
      <c r="B116" s="36" t="s">
        <v>135</v>
      </c>
      <c r="D116" s="43"/>
      <c r="E116" s="43"/>
      <c r="F116" s="43"/>
      <c r="G116" s="43"/>
      <c r="H116" s="43"/>
    </row>
    <row r="117" spans="1:9" s="75" customFormat="1" ht="23.95" customHeight="1">
      <c r="A117" s="74"/>
      <c r="B117" s="36" t="s">
        <v>136</v>
      </c>
      <c r="D117" s="43"/>
      <c r="E117" s="43"/>
      <c r="F117" s="43"/>
      <c r="G117" s="43"/>
      <c r="H117" s="43"/>
    </row>
    <row r="118" spans="1:9" s="75" customFormat="1" ht="23.95" customHeight="1">
      <c r="A118" s="74"/>
      <c r="B118" s="36" t="s">
        <v>138</v>
      </c>
      <c r="D118" s="43"/>
      <c r="E118" s="43"/>
      <c r="F118" s="43"/>
      <c r="G118" s="43"/>
      <c r="H118" s="43"/>
    </row>
    <row r="119" spans="1:9" s="75" customFormat="1" ht="23.95" customHeight="1">
      <c r="A119" s="74"/>
      <c r="B119" s="36" t="s">
        <v>148</v>
      </c>
      <c r="D119" s="43"/>
      <c r="E119" s="43"/>
      <c r="F119" s="43"/>
      <c r="G119" s="43"/>
      <c r="H119" s="43"/>
    </row>
    <row r="120" spans="1:9" s="75" customFormat="1" ht="23.95" customHeight="1">
      <c r="A120" s="74"/>
      <c r="B120" s="36" t="s">
        <v>159</v>
      </c>
      <c r="D120" s="43"/>
      <c r="E120" s="43"/>
      <c r="F120" s="43"/>
      <c r="G120" s="43"/>
      <c r="H120" s="43"/>
    </row>
    <row r="121" spans="1:9" s="75" customFormat="1" ht="23.95" customHeight="1">
      <c r="A121" s="74"/>
      <c r="B121" s="36" t="s">
        <v>161</v>
      </c>
      <c r="D121" s="43"/>
      <c r="E121" s="43"/>
      <c r="F121" s="43"/>
      <c r="G121" s="43"/>
      <c r="H121" s="43"/>
    </row>
    <row r="122" spans="1:9" s="75" customFormat="1" ht="23.95" customHeight="1">
      <c r="A122" s="74"/>
      <c r="B122" s="36" t="s">
        <v>164</v>
      </c>
      <c r="D122" s="43"/>
      <c r="E122" s="43"/>
      <c r="F122" s="43"/>
      <c r="G122" s="43"/>
      <c r="H122" s="43"/>
    </row>
    <row r="123" spans="1:9" s="75" customFormat="1" ht="23.95" customHeight="1">
      <c r="A123" s="74"/>
      <c r="B123" s="36" t="s">
        <v>194</v>
      </c>
      <c r="D123" s="43"/>
      <c r="E123" s="43"/>
      <c r="F123" s="43"/>
      <c r="G123" s="43"/>
      <c r="H123" s="43"/>
    </row>
    <row r="124" spans="1:9" s="75" customFormat="1" ht="23.95" customHeight="1">
      <c r="A124" s="74"/>
      <c r="B124" s="36" t="s">
        <v>195</v>
      </c>
      <c r="D124" s="43"/>
      <c r="E124" s="43"/>
      <c r="F124" s="43"/>
      <c r="G124" s="43"/>
      <c r="H124" s="43"/>
    </row>
    <row r="125" spans="1:9" s="74" customFormat="1" ht="23.95" customHeight="1">
      <c r="B125" s="36" t="s">
        <v>179</v>
      </c>
      <c r="C125" s="75"/>
      <c r="D125" s="43"/>
      <c r="E125" s="43"/>
      <c r="F125" s="43"/>
      <c r="G125" s="43"/>
      <c r="H125" s="43"/>
      <c r="I125" s="75"/>
    </row>
    <row r="126" spans="1:9" s="77" customFormat="1" ht="23.95" customHeight="1">
      <c r="B126" s="36"/>
      <c r="C126" s="74"/>
      <c r="D126" s="74"/>
      <c r="E126" s="43"/>
      <c r="F126" s="43"/>
      <c r="G126" s="43"/>
      <c r="H126" s="43"/>
      <c r="I126" s="74"/>
    </row>
    <row r="127" spans="1:9" s="77" customFormat="1" ht="23.95" customHeight="1">
      <c r="B127" s="50" t="s">
        <v>56</v>
      </c>
      <c r="C127" s="41"/>
      <c r="D127" s="41"/>
      <c r="E127" s="41"/>
      <c r="F127" s="41"/>
      <c r="G127" s="41"/>
      <c r="H127" s="41"/>
    </row>
    <row r="128" spans="1:9" s="77" customFormat="1" ht="23.95" customHeight="1">
      <c r="B128" s="36" t="s">
        <v>156</v>
      </c>
      <c r="C128" s="41"/>
      <c r="D128" s="41"/>
      <c r="E128" s="41"/>
      <c r="F128" s="41"/>
      <c r="G128" s="41"/>
      <c r="H128" s="41"/>
    </row>
    <row r="129" spans="2:9" s="77" customFormat="1" ht="23.95" customHeight="1">
      <c r="B129" s="75" t="s">
        <v>129</v>
      </c>
      <c r="C129" s="41"/>
      <c r="D129" s="41"/>
      <c r="E129" s="41"/>
      <c r="F129" s="41"/>
      <c r="G129" s="41"/>
      <c r="H129" s="41"/>
    </row>
    <row r="130" spans="2:9" s="77" customFormat="1" ht="23.95" customHeight="1">
      <c r="B130" s="36" t="s">
        <v>131</v>
      </c>
      <c r="C130" s="41"/>
      <c r="D130" s="41"/>
      <c r="E130" s="41"/>
      <c r="F130" s="41"/>
      <c r="G130" s="41"/>
      <c r="H130" s="41"/>
    </row>
    <row r="131" spans="2:9" s="77" customFormat="1" ht="23.95" customHeight="1">
      <c r="B131" s="75" t="s">
        <v>196</v>
      </c>
      <c r="D131" s="41"/>
      <c r="E131" s="41"/>
      <c r="F131" s="41"/>
      <c r="G131" s="41"/>
      <c r="H131" s="41"/>
      <c r="I131" s="41"/>
    </row>
    <row r="132" spans="2:9" s="77" customFormat="1" ht="23.95" customHeight="1">
      <c r="B132" s="36" t="s">
        <v>137</v>
      </c>
      <c r="C132" s="41"/>
      <c r="D132" s="41"/>
      <c r="E132" s="41"/>
      <c r="F132" s="41"/>
      <c r="G132" s="41"/>
      <c r="H132" s="41"/>
    </row>
    <row r="133" spans="2:9" s="77" customFormat="1" ht="23.95" customHeight="1">
      <c r="B133" s="36" t="s">
        <v>146</v>
      </c>
      <c r="E133" s="41"/>
      <c r="F133" s="41"/>
      <c r="G133" s="41"/>
      <c r="H133" s="41"/>
      <c r="I133" s="41"/>
    </row>
    <row r="134" spans="2:9" s="77" customFormat="1" ht="23.95" customHeight="1">
      <c r="B134" s="36" t="s">
        <v>144</v>
      </c>
      <c r="E134" s="41"/>
      <c r="F134" s="41"/>
      <c r="G134" s="41"/>
      <c r="H134" s="41"/>
      <c r="I134" s="41"/>
    </row>
    <row r="135" spans="2:9" s="77" customFormat="1" ht="23.95" customHeight="1">
      <c r="B135" s="75" t="s">
        <v>139</v>
      </c>
      <c r="E135" s="41"/>
      <c r="F135" s="41"/>
      <c r="G135" s="41"/>
      <c r="H135" s="41"/>
      <c r="I135" s="41"/>
    </row>
    <row r="136" spans="2:9" s="77" customFormat="1" ht="23.95" customHeight="1">
      <c r="B136" s="39" t="s">
        <v>149</v>
      </c>
      <c r="E136" s="41"/>
      <c r="F136" s="41"/>
      <c r="G136" s="41"/>
      <c r="H136" s="41"/>
      <c r="I136" s="41"/>
    </row>
    <row r="137" spans="2:9" s="77" customFormat="1" ht="23.95" customHeight="1">
      <c r="B137" s="39" t="s">
        <v>150</v>
      </c>
      <c r="E137" s="41"/>
      <c r="F137" s="41"/>
      <c r="G137" s="41"/>
      <c r="H137" s="41"/>
      <c r="I137" s="41"/>
    </row>
    <row r="138" spans="2:9" s="77" customFormat="1" ht="23.95" customHeight="1">
      <c r="B138" s="39" t="s">
        <v>151</v>
      </c>
      <c r="E138" s="41"/>
      <c r="F138" s="41"/>
      <c r="G138" s="41"/>
      <c r="H138" s="41"/>
      <c r="I138" s="41"/>
    </row>
    <row r="139" spans="2:9" s="77" customFormat="1" ht="23.95" customHeight="1">
      <c r="B139" s="39" t="s">
        <v>152</v>
      </c>
      <c r="E139" s="41"/>
      <c r="F139" s="41"/>
      <c r="G139" s="41"/>
      <c r="H139" s="41"/>
      <c r="I139" s="41"/>
    </row>
    <row r="140" spans="2:9" s="77" customFormat="1" ht="23.95" customHeight="1">
      <c r="B140" s="39" t="s">
        <v>154</v>
      </c>
      <c r="E140" s="41"/>
      <c r="F140" s="41"/>
      <c r="G140" s="41"/>
      <c r="H140" s="41"/>
      <c r="I140" s="41"/>
    </row>
    <row r="141" spans="2:9" s="77" customFormat="1" ht="23.95" customHeight="1">
      <c r="B141" s="39" t="s">
        <v>158</v>
      </c>
      <c r="E141" s="41"/>
      <c r="F141" s="41"/>
      <c r="G141" s="41"/>
      <c r="H141" s="41"/>
      <c r="I141" s="41"/>
    </row>
    <row r="142" spans="2:9" s="77" customFormat="1" ht="23.95" customHeight="1">
      <c r="B142" s="39" t="s">
        <v>201</v>
      </c>
      <c r="E142" s="41"/>
      <c r="F142" s="41"/>
      <c r="G142" s="41"/>
      <c r="H142" s="41"/>
      <c r="I142" s="41"/>
    </row>
    <row r="143" spans="2:9" s="77" customFormat="1" ht="23.95" customHeight="1">
      <c r="B143" s="75" t="s">
        <v>165</v>
      </c>
      <c r="E143" s="41"/>
      <c r="F143" s="41"/>
      <c r="G143" s="41"/>
      <c r="H143" s="41"/>
      <c r="I143" s="41"/>
    </row>
    <row r="144" spans="2:9" s="77" customFormat="1" ht="23.95" customHeight="1">
      <c r="B144" s="75" t="s">
        <v>166</v>
      </c>
      <c r="E144" s="41"/>
      <c r="F144" s="41"/>
      <c r="G144" s="41"/>
      <c r="H144" s="41"/>
      <c r="I144" s="41"/>
    </row>
    <row r="145" spans="1:9" s="77" customFormat="1" ht="23.95" customHeight="1">
      <c r="B145" s="75" t="s">
        <v>178</v>
      </c>
      <c r="E145" s="41"/>
      <c r="F145" s="41"/>
      <c r="G145" s="41"/>
      <c r="H145" s="41"/>
      <c r="I145" s="41"/>
    </row>
    <row r="146" spans="1:9" s="77" customFormat="1" ht="23.95" customHeight="1">
      <c r="B146" s="75" t="s">
        <v>169</v>
      </c>
      <c r="E146" s="41"/>
      <c r="F146" s="41"/>
      <c r="G146" s="41"/>
      <c r="H146" s="41"/>
      <c r="I146" s="41"/>
    </row>
    <row r="147" spans="1:9" s="77" customFormat="1" ht="23.95" customHeight="1">
      <c r="B147" s="75" t="s">
        <v>170</v>
      </c>
      <c r="E147" s="41"/>
      <c r="F147" s="41"/>
      <c r="G147" s="41"/>
      <c r="H147" s="41"/>
      <c r="I147" s="41"/>
    </row>
    <row r="148" spans="1:9" s="77" customFormat="1" ht="23.95" customHeight="1">
      <c r="B148" s="75" t="s">
        <v>171</v>
      </c>
      <c r="E148" s="41"/>
      <c r="F148" s="41"/>
      <c r="G148" s="41"/>
      <c r="H148" s="41"/>
      <c r="I148" s="41"/>
    </row>
    <row r="149" spans="1:9" s="77" customFormat="1" ht="23.95" customHeight="1">
      <c r="B149" s="75" t="s">
        <v>176</v>
      </c>
      <c r="E149" s="41"/>
      <c r="F149" s="41"/>
      <c r="G149" s="41"/>
      <c r="H149" s="41"/>
      <c r="I149" s="41"/>
    </row>
    <row r="150" spans="1:9" s="77" customFormat="1" ht="23.95" customHeight="1">
      <c r="B150" s="75" t="s">
        <v>175</v>
      </c>
      <c r="E150" s="41"/>
      <c r="F150" s="41"/>
      <c r="G150" s="41"/>
      <c r="H150" s="41"/>
      <c r="I150" s="41"/>
    </row>
    <row r="151" spans="1:9" s="77" customFormat="1" ht="23.95" customHeight="1">
      <c r="B151" s="75" t="s">
        <v>177</v>
      </c>
      <c r="E151" s="41"/>
      <c r="F151" s="41"/>
      <c r="G151" s="41"/>
      <c r="H151" s="41"/>
      <c r="I151" s="41"/>
    </row>
    <row r="152" spans="1:9" s="77" customFormat="1" ht="23.95" customHeight="1">
      <c r="B152" s="75" t="s">
        <v>181</v>
      </c>
      <c r="E152" s="41"/>
      <c r="F152" s="41"/>
      <c r="G152" s="41"/>
      <c r="H152" s="41"/>
      <c r="I152" s="41"/>
    </row>
    <row r="153" spans="1:9" s="77" customFormat="1" ht="23.95" customHeight="1">
      <c r="B153" s="75"/>
      <c r="C153" s="41"/>
      <c r="D153" s="41"/>
      <c r="E153" s="41"/>
      <c r="F153" s="41"/>
      <c r="G153" s="41"/>
      <c r="H153" s="41"/>
    </row>
    <row r="154" spans="1:9" s="77" customFormat="1" ht="23.95" customHeight="1">
      <c r="B154" s="36"/>
      <c r="C154" s="38"/>
      <c r="D154" s="38"/>
      <c r="E154" s="38"/>
      <c r="F154" s="38"/>
      <c r="G154" s="38"/>
      <c r="H154" s="38"/>
    </row>
    <row r="155" spans="1:9" s="77" customFormat="1" ht="23.95" customHeight="1">
      <c r="B155" s="39"/>
      <c r="C155" s="38"/>
      <c r="D155" s="38"/>
      <c r="E155" s="38"/>
      <c r="F155" s="38"/>
      <c r="G155" s="38"/>
      <c r="H155" s="38"/>
    </row>
    <row r="156" spans="1:9" s="77" customFormat="1" ht="23.95" customHeight="1">
      <c r="B156" s="36"/>
      <c r="C156" s="41"/>
      <c r="D156" s="41"/>
      <c r="E156" s="41"/>
      <c r="F156" s="41"/>
      <c r="G156" s="41"/>
      <c r="H156" s="41"/>
    </row>
    <row r="157" spans="1:9" s="77" customFormat="1" ht="23.95" customHeight="1">
      <c r="B157" s="36"/>
      <c r="C157" s="41"/>
      <c r="D157" s="41"/>
      <c r="E157" s="41"/>
      <c r="F157" s="41"/>
      <c r="G157" s="41"/>
      <c r="H157" s="41"/>
    </row>
    <row r="158" spans="1:9" s="77" customFormat="1" ht="23.95" customHeight="1">
      <c r="A158" s="75"/>
      <c r="B158" s="36"/>
      <c r="C158" s="41"/>
      <c r="D158" s="41"/>
      <c r="E158" s="41"/>
      <c r="F158" s="41"/>
      <c r="G158" s="41"/>
      <c r="H158" s="41"/>
    </row>
    <row r="159" spans="1:9" s="77" customFormat="1" ht="23.95" customHeight="1">
      <c r="A159" s="75"/>
      <c r="C159" s="41"/>
      <c r="D159" s="41"/>
      <c r="E159" s="41"/>
      <c r="F159" s="41"/>
      <c r="G159" s="41"/>
      <c r="H159" s="41"/>
    </row>
    <row r="160" spans="1:9" ht="23.95" customHeight="1">
      <c r="A160" s="75"/>
      <c r="B160" s="36"/>
      <c r="C160" s="41"/>
      <c r="D160" s="41"/>
      <c r="E160" s="41"/>
      <c r="F160" s="41"/>
      <c r="G160" s="41"/>
      <c r="H160" s="41"/>
      <c r="I160" s="77"/>
    </row>
    <row r="161" spans="1:9" s="75" customFormat="1" ht="23.95" customHeight="1">
      <c r="B161" s="37"/>
      <c r="C161" s="48"/>
      <c r="D161" s="48"/>
      <c r="E161" s="51"/>
      <c r="F161" s="51"/>
      <c r="G161" s="51"/>
      <c r="H161" s="48"/>
      <c r="I161" s="37"/>
    </row>
    <row r="162" spans="1:9" s="75" customFormat="1" ht="23.95" customHeight="1">
      <c r="A162" s="77"/>
      <c r="C162" s="43"/>
      <c r="D162" s="43"/>
      <c r="E162" s="43"/>
      <c r="F162" s="43"/>
      <c r="G162" s="43"/>
      <c r="H162" s="43"/>
    </row>
    <row r="163" spans="1:9" s="77" customFormat="1" ht="23.95" customHeight="1">
      <c r="A163" s="75"/>
      <c r="B163" s="75"/>
      <c r="C163" s="43"/>
      <c r="D163" s="43"/>
      <c r="E163" s="43"/>
      <c r="F163" s="43"/>
      <c r="G163" s="43"/>
      <c r="H163" s="43"/>
      <c r="I163" s="75"/>
    </row>
    <row r="164" spans="1:9" s="77" customFormat="1" ht="23.95" customHeight="1">
      <c r="A164" s="75"/>
      <c r="C164" s="41"/>
      <c r="D164" s="41"/>
      <c r="E164" s="41"/>
      <c r="F164" s="41"/>
      <c r="G164" s="41"/>
      <c r="H164" s="41"/>
    </row>
    <row r="165" spans="1:9" s="75" customFormat="1" ht="23.95" customHeight="1">
      <c r="B165" s="49"/>
      <c r="C165" s="41"/>
      <c r="D165" s="41"/>
      <c r="E165" s="41"/>
      <c r="F165" s="41"/>
      <c r="G165" s="41"/>
      <c r="H165" s="41"/>
      <c r="I165" s="77"/>
    </row>
    <row r="166" spans="1:9" s="75" customFormat="1" ht="23.95" customHeight="1">
      <c r="B166" s="49"/>
      <c r="C166" s="43"/>
      <c r="D166" s="43"/>
      <c r="E166" s="43"/>
      <c r="F166" s="43"/>
      <c r="G166" s="43"/>
      <c r="H166" s="43"/>
    </row>
    <row r="167" spans="1:9" s="75" customFormat="1" ht="23.95" customHeight="1">
      <c r="A167" s="77"/>
      <c r="B167" s="49"/>
      <c r="C167" s="43"/>
      <c r="D167" s="43"/>
      <c r="E167" s="43"/>
      <c r="F167" s="43"/>
      <c r="G167" s="43"/>
      <c r="H167" s="43"/>
    </row>
    <row r="168" spans="1:9" s="75" customFormat="1" ht="23.95" customHeight="1">
      <c r="B168" s="49"/>
      <c r="C168" s="43"/>
      <c r="D168" s="43"/>
      <c r="E168" s="43"/>
      <c r="F168" s="43"/>
      <c r="G168" s="43"/>
      <c r="H168" s="43"/>
    </row>
    <row r="169" spans="1:9" s="77" customFormat="1" ht="23.95" customHeight="1">
      <c r="A169" s="75"/>
      <c r="B169" s="49"/>
      <c r="C169" s="43"/>
      <c r="D169" s="43"/>
      <c r="E169" s="43"/>
      <c r="F169" s="43"/>
      <c r="G169" s="43"/>
      <c r="H169" s="43"/>
      <c r="I169" s="75"/>
    </row>
    <row r="170" spans="1:9" s="75" customFormat="1" ht="23.95" customHeight="1">
      <c r="B170" s="46"/>
      <c r="C170" s="41"/>
      <c r="D170" s="41"/>
      <c r="E170" s="41"/>
      <c r="F170" s="41"/>
      <c r="G170" s="41"/>
      <c r="H170" s="41"/>
      <c r="I170" s="77"/>
    </row>
    <row r="171" spans="1:9" s="75" customFormat="1" ht="23.95" customHeight="1">
      <c r="B171" s="46"/>
      <c r="C171" s="43"/>
      <c r="D171" s="43"/>
      <c r="E171" s="43"/>
      <c r="F171" s="43"/>
      <c r="G171" s="43"/>
      <c r="H171" s="43"/>
    </row>
    <row r="172" spans="1:9" s="75" customFormat="1" ht="23.95" customHeight="1">
      <c r="B172" s="46"/>
      <c r="C172" s="43"/>
      <c r="D172" s="43"/>
      <c r="E172" s="43"/>
      <c r="F172" s="43"/>
      <c r="G172" s="43"/>
      <c r="H172" s="43"/>
    </row>
    <row r="173" spans="1:9" s="75" customFormat="1" ht="23.95" customHeight="1">
      <c r="B173" s="46"/>
      <c r="C173" s="43"/>
      <c r="D173" s="43"/>
      <c r="E173" s="43"/>
      <c r="F173" s="43"/>
      <c r="G173" s="43"/>
      <c r="H173" s="43"/>
    </row>
    <row r="174" spans="1:9" s="75" customFormat="1" ht="23.95" customHeight="1">
      <c r="B174" s="49"/>
      <c r="C174" s="43"/>
      <c r="D174" s="43"/>
      <c r="E174" s="43"/>
      <c r="F174" s="43"/>
      <c r="G174" s="43"/>
      <c r="H174" s="43"/>
    </row>
    <row r="175" spans="1:9" s="75" customFormat="1" ht="23.95" customHeight="1">
      <c r="B175" s="49"/>
      <c r="C175" s="43"/>
      <c r="D175" s="43"/>
      <c r="E175" s="43"/>
      <c r="F175" s="43"/>
      <c r="G175" s="43"/>
      <c r="H175" s="43"/>
    </row>
    <row r="176" spans="1:9" s="75" customFormat="1" ht="23.95" customHeight="1">
      <c r="B176" s="49"/>
      <c r="C176" s="43"/>
      <c r="D176" s="43"/>
      <c r="E176" s="43"/>
      <c r="F176" s="43"/>
      <c r="G176" s="43"/>
      <c r="H176" s="43"/>
    </row>
    <row r="177" spans="1:9" s="75" customFormat="1" ht="23.95" customHeight="1">
      <c r="B177" s="49"/>
      <c r="C177" s="43"/>
      <c r="D177" s="43"/>
      <c r="E177" s="43"/>
      <c r="F177" s="43"/>
      <c r="G177" s="43"/>
      <c r="H177" s="43"/>
    </row>
    <row r="178" spans="1:9" s="75" customFormat="1" ht="23.95" customHeight="1">
      <c r="B178" s="49"/>
      <c r="C178" s="43"/>
      <c r="D178" s="43"/>
      <c r="E178" s="43"/>
      <c r="F178" s="43"/>
      <c r="G178" s="43"/>
      <c r="H178" s="43"/>
    </row>
    <row r="179" spans="1:9" s="75" customFormat="1" ht="23.95" customHeight="1">
      <c r="B179" s="49"/>
      <c r="C179" s="43"/>
      <c r="D179" s="43"/>
      <c r="E179" s="43"/>
      <c r="F179" s="43"/>
      <c r="G179" s="43"/>
      <c r="H179" s="43"/>
    </row>
    <row r="180" spans="1:9" s="75" customFormat="1" ht="23.95" customHeight="1">
      <c r="B180" s="49"/>
      <c r="C180" s="43"/>
      <c r="D180" s="43"/>
      <c r="E180" s="43"/>
      <c r="F180" s="43"/>
      <c r="G180" s="43"/>
      <c r="H180" s="43"/>
    </row>
    <row r="181" spans="1:9" s="75" customFormat="1" ht="23.95" customHeight="1">
      <c r="B181" s="49"/>
      <c r="C181" s="43"/>
      <c r="D181" s="43"/>
      <c r="E181" s="43"/>
      <c r="F181" s="43"/>
      <c r="G181" s="43"/>
      <c r="H181" s="43"/>
    </row>
    <row r="182" spans="1:9" s="75" customFormat="1" ht="23.95" customHeight="1">
      <c r="B182" s="49"/>
      <c r="C182" s="43"/>
      <c r="D182" s="43"/>
      <c r="E182" s="43"/>
      <c r="F182" s="43"/>
      <c r="G182" s="43"/>
      <c r="H182" s="43"/>
    </row>
    <row r="183" spans="1:9" s="75" customFormat="1" ht="23.95" customHeight="1">
      <c r="B183" s="49"/>
      <c r="C183" s="43"/>
      <c r="D183" s="43"/>
      <c r="E183" s="43"/>
      <c r="F183" s="43"/>
      <c r="G183" s="43"/>
      <c r="H183" s="43"/>
    </row>
    <row r="184" spans="1:9" s="75" customFormat="1" ht="23.95" customHeight="1">
      <c r="B184" s="49"/>
      <c r="C184" s="43"/>
      <c r="D184" s="43"/>
      <c r="E184" s="43"/>
      <c r="F184" s="43"/>
      <c r="G184" s="43"/>
      <c r="H184" s="43"/>
    </row>
    <row r="185" spans="1:9" s="75" customFormat="1" ht="23.95" customHeight="1">
      <c r="B185" s="37"/>
      <c r="C185" s="43"/>
      <c r="D185" s="43"/>
      <c r="E185" s="43"/>
      <c r="F185" s="43"/>
      <c r="G185" s="43"/>
      <c r="H185" s="43"/>
    </row>
    <row r="186" spans="1:9" s="75" customFormat="1" ht="23.95" customHeight="1">
      <c r="B186" s="37"/>
      <c r="C186" s="43"/>
      <c r="D186" s="43"/>
      <c r="E186" s="43"/>
      <c r="F186" s="43"/>
      <c r="G186" s="43"/>
      <c r="H186" s="43"/>
    </row>
    <row r="187" spans="1:9" s="75" customFormat="1" ht="23.95" customHeight="1">
      <c r="B187" s="37"/>
      <c r="C187" s="43"/>
      <c r="D187" s="43"/>
      <c r="E187" s="43"/>
      <c r="F187" s="43"/>
      <c r="G187" s="43"/>
      <c r="H187" s="43"/>
    </row>
    <row r="188" spans="1:9" s="75" customFormat="1" ht="23.95" customHeight="1">
      <c r="B188" s="37"/>
      <c r="C188" s="43"/>
      <c r="D188" s="43"/>
      <c r="E188" s="43"/>
      <c r="F188" s="43"/>
      <c r="G188" s="43"/>
      <c r="H188" s="43"/>
    </row>
    <row r="189" spans="1:9" s="75" customFormat="1" ht="23.95" customHeight="1">
      <c r="A189" s="37"/>
      <c r="B189" s="37"/>
      <c r="C189" s="43"/>
      <c r="D189" s="43"/>
      <c r="E189" s="43"/>
      <c r="F189" s="43"/>
      <c r="G189" s="43"/>
      <c r="H189" s="43"/>
    </row>
    <row r="190" spans="1:9" s="75" customFormat="1" ht="23.95" customHeight="1">
      <c r="A190" s="37"/>
      <c r="B190" s="37"/>
      <c r="C190" s="43"/>
      <c r="D190" s="43"/>
      <c r="E190" s="43"/>
      <c r="F190" s="43"/>
      <c r="G190" s="43"/>
      <c r="H190" s="43"/>
    </row>
    <row r="191" spans="1:9">
      <c r="C191" s="43"/>
      <c r="D191" s="43"/>
      <c r="E191" s="43"/>
      <c r="F191" s="43"/>
      <c r="G191" s="43"/>
      <c r="H191" s="43"/>
      <c r="I191" s="75"/>
    </row>
  </sheetData>
  <mergeCells count="17">
    <mergeCell ref="B79:H79"/>
    <mergeCell ref="A1:I1"/>
    <mergeCell ref="B80:H80"/>
    <mergeCell ref="B92:F92"/>
    <mergeCell ref="B59:I59"/>
    <mergeCell ref="B58:H58"/>
    <mergeCell ref="B56:H56"/>
    <mergeCell ref="B61:H61"/>
    <mergeCell ref="B63:H63"/>
    <mergeCell ref="B65:H65"/>
    <mergeCell ref="B66:H66"/>
    <mergeCell ref="A13:B13"/>
    <mergeCell ref="A2:H2"/>
    <mergeCell ref="B5:H5"/>
    <mergeCell ref="B7:H7"/>
    <mergeCell ref="B6:H6"/>
    <mergeCell ref="A3:H3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 Table</vt:lpstr>
      <vt:lpstr>Summary</vt:lpstr>
      <vt:lpstr>'Total Table'!Print_Area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5384334</cp:lastModifiedBy>
  <cp:lastPrinted>2024-05-20T07:51:08Z</cp:lastPrinted>
  <dcterms:created xsi:type="dcterms:W3CDTF">2023-02-02T03:43:01Z</dcterms:created>
  <dcterms:modified xsi:type="dcterms:W3CDTF">2024-05-24T03:16:24Z</dcterms:modified>
</cp:coreProperties>
</file>