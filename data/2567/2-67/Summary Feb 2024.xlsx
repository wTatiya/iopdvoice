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8678" yWindow="-122" windowWidth="21953" windowHeight="12444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0">'Total Table'!$A$1:$N$115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/>
  <c r="H44" i="1"/>
  <c r="F44"/>
  <c r="B21"/>
  <c r="D90"/>
  <c r="C90"/>
  <c r="B90"/>
  <c r="H67"/>
  <c r="G21"/>
  <c r="M44"/>
  <c r="E44"/>
  <c r="M90" l="1"/>
  <c r="L90"/>
  <c r="E90"/>
  <c r="F90"/>
  <c r="G90"/>
  <c r="H90"/>
  <c r="I90"/>
  <c r="J90"/>
  <c r="K67"/>
  <c r="L67"/>
  <c r="M67"/>
  <c r="N67"/>
  <c r="J67"/>
  <c r="C67"/>
  <c r="D67"/>
  <c r="E67"/>
  <c r="F67"/>
  <c r="G67"/>
  <c r="B67"/>
  <c r="N44"/>
  <c r="L44"/>
  <c r="K44"/>
  <c r="J44"/>
  <c r="G44"/>
  <c r="N21"/>
  <c r="H21"/>
  <c r="I21"/>
  <c r="J21"/>
  <c r="K21"/>
  <c r="F21"/>
  <c r="C21"/>
  <c r="D21"/>
  <c r="F11" i="2"/>
  <c r="E11"/>
</calcChain>
</file>

<file path=xl/sharedStrings.xml><?xml version="1.0" encoding="utf-8"?>
<sst xmlns="http://schemas.openxmlformats.org/spreadsheetml/2006/main" count="501" uniqueCount="230">
  <si>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</si>
  <si>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</si>
  <si>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</si>
  <si>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</si>
  <si>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</si>
  <si>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</si>
  <si>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</si>
  <si>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</si>
  <si>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</si>
  <si>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</si>
  <si>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4. แพทย์ให้ความสำคัญกับการตรวจร่างกายเพื่อวินิจฉัยโรค</t>
  </si>
  <si>
    <t>5. แพทย์ให้ข้อมูล/แนะนำวิธีการและทางเลือกในการรักษา</t>
  </si>
  <si>
    <t>6. คำถามและข้อสงสัย ได้รับคำตอบที่ชัดเจนจากแพทย์</t>
  </si>
  <si>
    <t>7. แพทย์รับฟัง/พูดคุยให้ท่านคลายความกังวลในอาการเจ็บป่วย</t>
  </si>
  <si>
    <t>8. ท่านได้มีโอกาสพูดคุยกับพยาบาลหรือเจ้าหน้าที่เรื่องอาการเจ็บป่วย</t>
  </si>
  <si>
    <t>9. พยาบาลเจ้าหน้าที่สามารถตอบข้อสงสัยได้ชัดเจน</t>
  </si>
  <si>
    <t>10. ท่านได้รับการดูแลเอาใจใส่</t>
  </si>
  <si>
    <t>11. ท่านมีส่วนร่วมในการตัดสินใจเรื่องการรักษาพยาบาล</t>
  </si>
  <si>
    <t>12. ท่านได้รับการดูแลอย่างเท่าเทียม ไม่เลือกปฏิบัติ</t>
  </si>
  <si>
    <t>13. ท่านได้รับคำแนะนำและขั้นตอนในการรับบริการโรงพยาบาล</t>
  </si>
  <si>
    <t>14. อาการเจ็บป่วยทางกายและใจได้รับการดูแลอย่างดี</t>
  </si>
  <si>
    <t>15. แพทย์เปิดโอกาสให้ผู้ป่วย/ญาติได้ซักถาม</t>
  </si>
  <si>
    <t>16. ผู้ป่วยและญาติได้รับข้อมูลการรักษาที่เป็นประโยชน์ สามารถดูแลตัวเองได้</t>
  </si>
  <si>
    <t>ระดับคะแนนเฉลี่ย</t>
  </si>
  <si>
    <t>คิดเป็นร้อยละ</t>
  </si>
  <si>
    <t>ไตเทียม</t>
  </si>
  <si>
    <t>1. เจ้าหน้าที่ให้การต้อนรับด้วยใบหน้ายิ้มแย้ม กล่าวคำว่าสวัสดีฯ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</si>
  <si>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</si>
  <si>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</si>
  <si>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</si>
  <si>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</si>
  <si>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</si>
  <si>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</si>
  <si>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</si>
  <si>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</si>
  <si>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</si>
  <si>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</si>
  <si>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</si>
  <si>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</si>
  <si>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</si>
  <si>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</si>
  <si>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</si>
  <si>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</si>
  <si>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</si>
  <si>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</si>
  <si>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</si>
  <si>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</si>
  <si>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</si>
  <si>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</si>
  <si>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</si>
  <si>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</si>
  <si>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</si>
  <si>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</si>
  <si>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</si>
  <si>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</si>
  <si>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</si>
  <si>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</si>
  <si>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</si>
  <si>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</si>
  <si>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2. เจ้าหน้าที่พูดจาไพเราะ กิริยาสุภาพ อ่อนน้อม</t>
  </si>
  <si>
    <t>3. เจ้าหน้าที่พยายามให้ความสะดวกรวดเร็วในการบริการ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</si>
  <si>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</si>
  <si>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</si>
  <si>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</si>
  <si>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</si>
  <si>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</si>
  <si>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</si>
  <si>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</si>
  <si>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</si>
  <si>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</si>
  <si>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</si>
  <si>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-</t>
  </si>
  <si>
    <t>ฝังเข็ม</t>
  </si>
  <si>
    <t>เวชกรรมฟื้นฟู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</si>
  <si>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</si>
  <si>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</si>
  <si>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</si>
  <si>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</si>
  <si>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</si>
  <si>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</si>
  <si>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</si>
  <si>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</si>
  <si>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</si>
  <si>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</si>
  <si>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</si>
  <si>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>ชั้น 1 อาคาร 150 ปี</t>
  </si>
  <si>
    <t>สรุปการประเมินผล OP-IP VOICE เดือนกุมภาพันธ์ 2567</t>
  </si>
  <si>
    <t>29</t>
  </si>
  <si>
    <t>717</t>
  </si>
  <si>
    <t>550</t>
  </si>
  <si>
    <t>1089</t>
  </si>
  <si>
    <t xml:space="preserve">ค่าเฉลี่ยความพึงพอใจการใช้บริการของโรงพยาบาล OPD = 87.92% IPD = 91.34%  </t>
  </si>
  <si>
    <t xml:space="preserve">ค่าเฉลี่ยการแนะนำญาติหรือคนรู้จักให้มาใช้บริการที่โรงพยาบาล  OPD = 97.64% IPD = 99.54%  </t>
  </si>
  <si>
    <t xml:space="preserve"> - การจัดการหมอให้เพียงพอกับคนไข้ (มาเช้ากลับบ่าย รถเกือบหมด ควรขึ้นคิวรักษาที่หน้าจอทีวีเหมือน โรงพยาบาลจุฬาลงกรณ์ ) (คลินิกศัลยกรรมกระดูกและข้อ) </t>
  </si>
  <si>
    <t xml:space="preserve"> - การจัดคิว</t>
  </si>
  <si>
    <t xml:space="preserve"> - หมอน้อย ไม่พอต่อคนไข้</t>
  </si>
  <si>
    <t xml:space="preserve"> - การจัดการรัดกุมกว่านี้</t>
  </si>
  <si>
    <t xml:space="preserve"> - อาการแสดงออกทางสีหน้าของเจ้าหน้าที่บางท่าน  (ไม่พอใจ)</t>
  </si>
  <si>
    <t xml:space="preserve"> - การเรียกชื่อผู้ป่วยสำหรับเข้าห้องตรวจ เจ้าหน้าที่ควรให้มีไมค์สำหรับเรียกประกาศชื่อผู้ป่วย เนื่องจากต่างคนต่างพูด ทำให้ได้ยินชื่อผู้ป่วยไม่ชัดเจน (อายุรกรรม)</t>
  </si>
  <si>
    <t xml:space="preserve"> - การเข้าตึกอาคารช่วงเช้าควรบริหารจัดการให้ดีกว่านี้</t>
  </si>
  <si>
    <t xml:space="preserve"> - การปรับปรุงการลงทะเบียนให้ดีขึ้น</t>
  </si>
  <si>
    <t xml:space="preserve"> - คำแนะนำหน้าตึก คนไข้บางคนจะไม่ทราบอะไร บางครั้งเข้าคิวแล้ว เข้าคิวอีก จะช้า และเสียเวลามาก ๆ ทั้งเจ้าหน้าที่และคนไข้</t>
  </si>
  <si>
    <t xml:space="preserve"> - ห้องรับยา ช้ามาก กว่าจะได้รับ ควรปรับปรุงให้เร็วกว่านี้</t>
  </si>
  <si>
    <t xml:space="preserve"> - รวดเร็วกว่านี้</t>
  </si>
  <si>
    <t xml:space="preserve"> - ให้พูดจากับคนไข้ดีดี</t>
  </si>
  <si>
    <t xml:space="preserve"> - การลงทะเบียนตรวจสอบสิทธิ์ล่าช้า (2)</t>
  </si>
  <si>
    <t xml:space="preserve"> - ทำงานช้ามากค่ะ กรุณาปรับเยอะ ๆ </t>
  </si>
  <si>
    <t xml:space="preserve"> - ควรเพิ่มเสียงในขั้นตอนที่เรียกคิวให้เสียงดังกว่านี้ค่ะ เนื่องจากที่นั่งมีจำกัด</t>
  </si>
  <si>
    <t xml:space="preserve"> - ฝ่ายลงทะเบียนแจ้งไม่ละเอียดว่าจะให้ไปทำอะไร ไปต่อที่จุดไหน
 </t>
  </si>
  <si>
    <t xml:space="preserve"> - เจ้าหน้าที่จุดลงทะเบียนบางท่านไม่ชี้แจงขั้นตอนที่ชัดเจนในการบริการ ต้องคอยสอบถามทุกรอบว่าต้องไปจุดไหนต่อ</t>
  </si>
  <si>
    <t xml:space="preserve"> - ที่ทานอาหารชั้น 3 มีขนาดเล็กเกินไป (ตึก 150 ปี)</t>
  </si>
  <si>
    <t xml:space="preserve"> - ขั้นตอนการเงิน และรับยา ยังมีขั้นตอนที่ยุ่งยาก และล่าช้า</t>
  </si>
  <si>
    <t xml:space="preserve"> - อยากให้มีบอร์ด รันคิว ที่ชัดเจน  (คลินิกตา)</t>
  </si>
  <si>
    <t xml:space="preserve"> - ลิฟต์ขึ้นลงช้ามาก </t>
  </si>
  <si>
    <t xml:space="preserve"> - ควรปรับปรุงห้องหัตถการและบุคลากรในห้องหัตถการให้มีความเอาใจใส่ผู้ป่วยให้มากกว่านี้ ควรจะทำงานเต็มที่ และควรทำงานที่ได้รับมอบหมาย</t>
  </si>
  <si>
    <t xml:space="preserve">   อย่างสุดความสามารถ ไม่สมควรปล่อยปะละเลยผู้ป่วยอย่างที่ผ่านมาบุคลากรชอบเลิกงานก่อนเวลาและโยนงานที่ตนเองรับผิดชอบให้แผนกอื่นต้องดูแลต่อ </t>
  </si>
  <si>
    <t xml:space="preserve">   ฝากไว้ให้ปรับปรุงแก้ไขด้วย </t>
  </si>
  <si>
    <t xml:space="preserve"> - การดูแลสวัสดิการให้กับหมอและพยาบาลอยากให้มีมากกว่านี้ทุกคนทำงานหนักอย่าจุกจิกมาก ปี 2024 แล้ว ห้ามหมอ พยาบาลทำผม ห้ามโน่น ห้ามนี่ เยอะแยะ </t>
  </si>
  <si>
    <t xml:space="preserve">   คนทำงานขาดกำลังใจ และตึกที่มารับบริการคนไข้เยอะมากแต่ส่วนเจ้าหน้าที่มาประจำน้อยไปค่ะ </t>
  </si>
  <si>
    <t xml:space="preserve"> - ระบบการส่งเอกสารบางครั้งยุ่งยาก</t>
  </si>
  <si>
    <t xml:space="preserve"> - ลิฟต์งงมากค่ะ</t>
  </si>
  <si>
    <t xml:space="preserve"> - เจ้าหน้าที่ชั้น 7 บริการไม่ดี</t>
  </si>
  <si>
    <t xml:space="preserve"> - คุณหมอบางท่านไม่เหมาะกับการรักษาผู้ป่วย</t>
  </si>
  <si>
    <t xml:space="preserve"> - ระบบคัดกรอง ลงทะเบียนช้า ผู้สูงอายุลำบากในการยืนเข้าแถวนาน ๆ</t>
  </si>
  <si>
    <t xml:space="preserve"> - คลินิกทันตกรรม ควรมีการบริการที่ยิ้มแย้มแจ่มใส</t>
  </si>
  <si>
    <t xml:space="preserve"> - เฉพาะหน้าเคาน์เตอร์..แต่ละคนที่ให้บริการ เช่น ใบหน้ากับน้ำเสียงถึงแม้ใช้คำพูดดีแต่น้ำเสีงไม่ได้ออกจากใจพูดให้เยอะก็ไม่ได้รู้สึกว่าดีค่ะ..</t>
  </si>
  <si>
    <t xml:space="preserve">   เพราะคนที่ได้รับบริการเสียค่าบริการค่ะ..เราต้องทำด้วยความเต็มใจนะคะ (คลินิกทันตกรรม)</t>
  </si>
  <si>
    <t xml:space="preserve"> - เจ้าหน้าที่หน้าห้องทำฟันควรปรับปรุงพฤติกรรมบริการมาก ๆ ๆ ๆ ๆ</t>
  </si>
  <si>
    <t xml:space="preserve"> - อยากให้เจ้าหน้าที่ปรับปรุงเรื่องมารยาท และให้คำแนะนำผู้มารับบริการให้ดีกว่าที่ดิฉันเจอมากับตังเองด้วยนะคะ จะขอบคุณมากคะ(คลินิกทันตกรรม)</t>
  </si>
  <si>
    <t xml:space="preserve"> - ควรให้เบิกจ่ายได้ทุกสิทธิ์การรักษา เช่น บัตรทอง คนพิการ 30 บาทรักษาทุกโรค ฯลฯ</t>
  </si>
  <si>
    <t xml:space="preserve"> - อยากให้เพิ่มเติมเรื่องแจ้งอาการ ผู้เข้ารับผ่าตัดให้ถี่ขึ้นครับ ญาติรู้สึกกระวนกระวาย</t>
  </si>
  <si>
    <t xml:space="preserve"> - หมอยังมีจำนวนจำกัด</t>
  </si>
  <si>
    <t xml:space="preserve"> - ลิฟต์ ระบบยังไม่ดี</t>
  </si>
  <si>
    <t xml:space="preserve"> - การเจาะหาเส้นเลือดแดงเป็นอะไรที่เจ็บปวดมาก ต้องใช้ความอดทนสูง อยากให้คุณหมอใส่ใจความเจ็บปวดของคนไข้โดยการเจาะทีละคน ไม่อยากให้เจาะพร้อมกัน 2 คน </t>
  </si>
  <si>
    <t xml:space="preserve"> - ควรค่อย ๆ พูดกับคนไข้กรณีคนไข้ขัดขืนหรือไม่ปฏิบัติตาม ถามไถ่อาการอย่างประนีประนอมคิดเสมือนเป็นญาติตนเอง</t>
  </si>
  <si>
    <t xml:space="preserve"> - พนักงานบริการและพยาบาลที่ต้อนรับขณะเข้ารับบริการควรพูดจาและควรแนะนำคนไข้ให้ดีกว่านี้เวลาที่มารักษาโดยเฉพาะคลินิกนอกเวลา</t>
  </si>
  <si>
    <t xml:space="preserve"> - อยากให้ผัดผักใส่หมู  </t>
  </si>
  <si>
    <t xml:space="preserve"> - การเปิดเข็มพยายามเปิดให้แม่นยำกว่านี้นะคะ (18B)</t>
  </si>
  <si>
    <t xml:space="preserve"> - อยากให้อาหารมีตัวเลือกหรือการปรับเปลี่ยนอาหารของผู้ป่วย</t>
  </si>
  <si>
    <t xml:space="preserve"> - ห้องน้ำอยู่ไกล  (19A)</t>
  </si>
  <si>
    <t xml:space="preserve"> - อยากให้มีการบริการด้วยใจและบริการมาจากความเป็นตัวเองในหน้าที่การงาน</t>
  </si>
  <si>
    <t xml:space="preserve"> - ข้าวจืดไม่มีผลไม้ ส้มซักลูก กล้วยซักลูกจะดีมาก ๆ</t>
  </si>
  <si>
    <t xml:space="preserve"> - ที่นอนเป็นหลุมตรงกลาง (19B)</t>
  </si>
  <si>
    <t xml:space="preserve"> - อาหารไม่อร่อยเลย บางวันอาหารก็จืด บางวันอาหารก็เค็ม อาหารจืด เช่น ต้มผักกับเนื้อ ต้มไชเท้ากับเนื้อ อาหารเค็ม เช่น ปลาเค็ม ไก่ต้มน้ำปลา ไม่ว่าอาหารจะจืดหรือเค็ม</t>
  </si>
  <si>
    <t xml:space="preserve">   ก็ไม่อร่อยเลยเหมือนคนทำไม่ได้ชิมอาหารที่เค้าทำว่าเป็นอย่างไร บางวันก็มีปลาทูแต่ปลาทูจืดมาก ไม่มีรสปลาทูเลยมันจืดทุกอย่างจริง ๆ หรือเพราะมันเป็นปลาทูน้ำจืดมันไม่อร่อยเลย </t>
  </si>
  <si>
    <t xml:space="preserve">   ฝากบอกคนทำ ทำไข่ต้มกับน้ำปลามาให้กินผมยังอร่อยกว่าทำง่ายด้วย </t>
  </si>
  <si>
    <t xml:space="preserve"> - อย่าใส่อารมณ์กับคนไข้นะครับพยาบาลคนไข้ตกใจหมด (19B)</t>
  </si>
  <si>
    <t xml:space="preserve"> - อยากให้ญาติเฝ้าได้</t>
  </si>
  <si>
    <t xml:space="preserve"> - เจอหมอยากไปหน่อยพยาบาลเวรดึกขอของยาก ค่ะ ไปนิดนึง </t>
  </si>
  <si>
    <t xml:space="preserve"> - ควรมีมาตรการควบคุมดูแลดูแลคนไข้บางคนที่คุ้มคลั่งเอะอะโวยวายหรือเสียงดังเหมือนคนบ้าเพราะความเจ็บปวด เพื่อความสงบเรียบร้อยแล้วและความปลอดภัยของทุกคน </t>
  </si>
  <si>
    <t xml:space="preserve"> - ควรระมัดระวังเวลาเจาะเข็มฉีดยาไม่ควรเจาะหลายครั้งและมีสมาธิเวลาฉีดเสมอ </t>
  </si>
  <si>
    <t xml:space="preserve"> - ไม่ควรเจาะเข็มที่ฉีดยาที่สายน้ำเกลือยาฆ่าเชื้อที่บริเวณข้อมือหรือข้อพับข้อศอกเพราะเจ็บปวดมาก </t>
  </si>
  <si>
    <t xml:space="preserve"> - การใช้เข็มจากปากกาที่ปลายนิ้วค่อยวัดน้ำตาลควรกดเพียง 1-2 ครั้งก็พอถ้า 3-4 ครั้งจะเจ็บระบม และบ่งบอกว่าอุปกรณ์ทางการแพทย์ไม่มีประสิทธิภาพ</t>
  </si>
  <si>
    <t xml:space="preserve"> - ก่อนคนไข้จะกลับบ้านควรอธิบายชี้แจงช้า ๆ ชัด ๆ ว่าควรทานยาอย่างไรบ้าง มีนัดหมอวันไหนควรทานอาหารอะไร</t>
  </si>
  <si>
    <t xml:space="preserve"> - เจ้าหน้าที่ไม่เพียงพอ </t>
  </si>
  <si>
    <t xml:space="preserve"> - อาหารบางมื้อเผ็ดไป </t>
  </si>
  <si>
    <t xml:space="preserve"> - อยากให้แจ้งเวลาที่สามารถเข้าเยี่ยมได้จะได้ทราบเพื่อไม่ให้รบกวนเวลาเข้าเยี่ยมค่ะ (19D)</t>
  </si>
  <si>
    <t xml:space="preserve"> - น้ำเสียงและคำพูด </t>
  </si>
  <si>
    <t xml:space="preserve"> - ควรมีพื้นที่ให้ผู้ป่วยให้เดินเล่นเพื่อย่อยอาหาร เปลี่ยนอาริยาบท อยู่แต่บนเตียงในห้องเป็นสัปดาห์มันเหนื่อยมาก</t>
  </si>
  <si>
    <t xml:space="preserve"> - อาหารผู้ป่วย ถึงแม้จะต้องจำกัดโซเดีย ก็อยากให้มีรสชาติอื่นขึ้นอีกเล็กน้อย</t>
  </si>
  <si>
    <t xml:space="preserve"> - อากาศค่อนข้างหนาวคนแก่ทนไม่ค่อยไหว  (22B)</t>
  </si>
  <si>
    <t xml:space="preserve"> - ควรแยกผู้ป่วยอาการหนัก กับคนป่วยปกติ</t>
  </si>
  <si>
    <t xml:space="preserve"> - เรื่องรสชาติอาหาร และแอร์ ชั้น 19C ไม่ค่อยเย็น</t>
  </si>
  <si>
    <t xml:space="preserve"> - ไม่ควรถามว่าคนไข้ทำไมไม่ไปโรงพยาบาลแหลมฉบัง เราเบิกจ่ายตรงอยู่แล้ว ถึงไม่เบิกจ่ายตรง คำถามนี้ก็ไม่ควรถาม </t>
  </si>
  <si>
    <t xml:space="preserve"> - ขอถุงยาด้วยนะคะ (22D)</t>
  </si>
  <si>
    <t xml:space="preserve"> - ผ้าห่ม ผ้าเช็ดตัว เป็นขุย ๆ สีขาว</t>
  </si>
  <si>
    <t xml:space="preserve"> - แผนกรถเข็น เปล ที่รับคนไข้ มีน้อยไปค่ะ</t>
  </si>
  <si>
    <t xml:space="preserve"> - ไม่มีอุปกรณ์ในการล้างจาน  (24A)</t>
  </si>
  <si>
    <t xml:space="preserve"> - เจาะเลือกหลายครั้ง</t>
  </si>
  <si>
    <t xml:space="preserve"> - สายฉีดชำระไม่ดี ในห้องน้ำ  (25A)</t>
  </si>
  <si>
    <t xml:space="preserve"> - ข้อมูลที่ได้รับจากต้นไม่ค่อยชัดเจนฟังแล้วเลยคิดและเข้าใจผิด (OPD)</t>
  </si>
  <si>
    <t xml:space="preserve"> - ควรทำอาหารร้อน ๆ ให้คนไข้กิน เพราะทุกมื้อเย็นมาก กินแทบไม่ได้ (2)</t>
  </si>
  <si>
    <t xml:space="preserve"> - หากผ่าตัด รักษาได้เร็วกว่านี้จะดีมากเลยค่ะ เพราะรอนานมาก (2)</t>
  </si>
  <si>
    <t xml:space="preserve"> - จำนวนญาติเข้าเยี่ยมจำกัด  ควรมีเมนูอาหารให้คนเฝ้าไข้ </t>
  </si>
  <si>
    <t xml:space="preserve"> - พื้นห้องน้ำไม่โอเค ควรปรับปรุง (25B)</t>
  </si>
  <si>
    <t xml:space="preserve"> - ควรประเมินค่าใช้จ่ายให้ใกล้เคียงกับความเป็นจริง </t>
  </si>
  <si>
    <t xml:space="preserve"> - ที่นั่งรอเวลารับการตรวจที่ชั้น 1 มีน้อย </t>
  </si>
  <si>
    <t xml:space="preserve"> - ติดต่อสอบถามต้องมีเจ้าหน้าที่คอยให้คำแนะนำขั้นตอนให้ผู้ป่วยเพื่อดำเนินการให้ถูกต้องและรวดเร็ว </t>
  </si>
  <si>
    <t xml:space="preserve"> - ไม่ว่าจะเป็นใครพยาบาลก็ต้องให้ให้ความช่วยเหลือดูแล ส่วนนายแพทย์ถ้ารักจะเป็นแพทย์ หรือเป็นพยาบาลคุณต้องไม่แบ่งชนชั้นวรรณะ </t>
  </si>
  <si>
    <t xml:space="preserve"> - บุคคลากรบริการไม่ดีควรปรับปรุงในเรื่องของความใส่ใจคนไข้ การพูดจา</t>
  </si>
  <si>
    <t xml:space="preserve"> - ในเรื่องค่าใช้จ่ายประเมินไว้แต่เกินการประเมินไปเกือบเท่าตัว 25B</t>
  </si>
  <si>
    <t xml:space="preserve"> - น่าจะมีพยาบาลที่ดูแลเฉพาะเด็กเล็กจะได้ดูแล และเข้าใจการดูแลเด็กเล็กได้มากกว่านี้เพราะถ้ามีแค่พยาบาลทั่วไปจะดูแลได้แต่อาการโดยรวม ดูแลทุกอาการเหมือนกันหมด </t>
  </si>
  <si>
    <t xml:space="preserve"> - ค่าจอดรถแพง (2)</t>
  </si>
  <si>
    <t xml:space="preserve"> - อยากให้หมอแต่ละระบบให้คำแนะนำ และแนวทางการรักษามากกว่านี้</t>
  </si>
  <si>
    <t xml:space="preserve"> - รองเท้าสำรองไม่มีในห้อง (25B) (26B) / (2)</t>
  </si>
  <si>
    <t xml:space="preserve"> - ตึกเก่า (สว่างวัฒนา)</t>
  </si>
  <si>
    <t>อันดับ 2 การทำงานและพฤติกรรมของบุคลากร (OPD : 17 IPD : 8 )</t>
  </si>
  <si>
    <t xml:space="preserve"> - พนักงานที่ดูสูงอายุจะยิ้มค่อนข้างยาก ดูดุดุนิดนึง แต่โดยรวมก็ไม่ได้แย่ (25A)</t>
  </si>
  <si>
    <t xml:space="preserve"> - ควรระมัดระวังคำพูดคำจาด้วยความสุภาพกับญาติคนไข้ที่มาเยี่ยม  (19C)</t>
  </si>
  <si>
    <t xml:space="preserve"> - การปรับอุณหภูมิในห้อง การต่ออินเตอร์เน็ตอินเตอร์เน็ต Wi-Fi พอหมดอายุแล้วก็ใช้ไม่ได้อีก ทั้งที่ใช้พาสเวิร์ดเดิมแต่กลับเป็นพาสเวิร์ดที่ไม่ถูกต้อง (25B)</t>
  </si>
  <si>
    <t xml:space="preserve"> - ที่รับยา ควรอยู่ในชั้นเดียวกันกับคลีนิกนอกเวลา</t>
  </si>
  <si>
    <t xml:space="preserve"> - รอหมอนาน (3)</t>
  </si>
  <si>
    <t xml:space="preserve"> - พนักงานจุดคัดกรองก็ดีค่ะ แต่เรื่องวิธีการพูดอาจต้องปรับนิดหน่อยมันดูใส่อารมณ์ไป</t>
  </si>
  <si>
    <t xml:space="preserve"> - ห้องยา พูดจาแย่มากกกก ทุกชั้นค่ะ</t>
  </si>
  <si>
    <t xml:space="preserve"> - ควรเพิ่มเจ้าหน้าที่  จะได้มีเวลาไปทานข้าวบ้าง</t>
  </si>
  <si>
    <r>
      <t xml:space="preserve"> - </t>
    </r>
    <r>
      <rPr>
        <sz val="16"/>
        <color theme="1"/>
        <rFont val="TH SarabunPSK"/>
        <family val="2"/>
      </rPr>
      <t>ช้า รอตรวจอนาน (6)</t>
    </r>
  </si>
  <si>
    <t xml:space="preserve"> - รีบเกิน ตรวจแป๊บนึงก็ให้ออก หรือเพราะคนไข้เยอะเลยรีบรักษา</t>
  </si>
  <si>
    <t xml:space="preserve"> - ใส่ใจนิด ๆ ถามคนไข้สัก 5 คำถามก็ได้</t>
  </si>
  <si>
    <t xml:space="preserve"> - ควรเพิ่ม พยาบาลในการวัดความดันตรงจุดลงทะเบียนชั้น 1 ในช่วงเช้าสำหรับ ผู้ป่วยที่นั่งรถเข็นและ รถนอน</t>
  </si>
  <si>
    <t xml:space="preserve"> - ค่าบริการที่เรียกเก็บเพิ่มโดยไม่แจ้งรายละเอียด ไปแต่ละครั้งราคาไม่เท่ากัน บิลค่าตรวจปัสสาวะ 20 บาท ถึงการเงินจ่าย 140 โดยมียอดที่เรียกเก็บโดยไม่ระบุว่าเป็นค่าอะไร</t>
  </si>
  <si>
    <t xml:space="preserve">   บางครั้งมีนัด 2 หมอ ตรวจปัสสาวะฝากครรภ์กับตรวจเลือดเบาหวาน โดนเรียกเก็บแพงกว่าตรวจปัสสาวะอย่างเดียวทั้งที่ตรวจเลือดเบาหวานใช้สิทธิ์ประกันสังคมได้ และเจ้าหน้าที่</t>
  </si>
  <si>
    <t xml:space="preserve">   ไม่มีคำชี้แจงใด ๆ กับยอดเรียกเก็บเวลาแย้งถามก็เอาเอกสารไปตรวจสอบแต่ไม่มีคำอธิบาย อยากให้มีรายการแจงรายการเรียกเก็บที่ใบเสร็จให้ครบตามยอดเงินที่เก็บจริง</t>
  </si>
  <si>
    <t xml:space="preserve">   ควรให้คนไข้นั่งทานให้เสร็จไม่ใช่มาไล่ย้ายโต๊ะทั้งที่คนไข้นั่งทานด้วยความรีบกินรีบไปถ้านั่งเขี่ยจอมือถือก็ว่าไปอย่าง</t>
  </si>
  <si>
    <t xml:space="preserve"> - ที่จอดรถตึกจอดรถใหม่ ช่องทางแคบ ขับยาก (4)</t>
  </si>
  <si>
    <t xml:space="preserve"> - ควรแจ้งสวัสดิการที่จำเป็นในเว็บ รพ.เพื่อการค้นหา</t>
  </si>
  <si>
    <t xml:space="preserve"> - พยาบาลชั้น 19 ห้องกระดูกหญิง บางคนพูดจาไม่ดี ใช้อารมณ์กับคนไข้</t>
  </si>
  <si>
    <t xml:space="preserve"> - พัฒนาต่อไป</t>
  </si>
  <si>
    <t xml:space="preserve"> - การนัดทำหัตถการบางอย่างยังไม่ตรงจุดที่ให้บริการ.</t>
  </si>
  <si>
    <t xml:space="preserve"> - การจัดการคิวที่ช้าหมอมาทำงานประมาณ 09.00-12.00 ก็ไปพักไม่มีการแจ้งคิวไหนช่วงเช้าคิวไหนช่วงบ่ายเพราะมาเช้าแต่ได้ตรวจเกือบบ่าย 3 เสียเวลาจะได้เอาเวลาไปทำอย่างอื่น</t>
  </si>
  <si>
    <t xml:space="preserve">   รอคนแก่รอบางคนน่าสงสารอาจตายได้ขนาดผมเองยังเกือบวีนส่วนช่วงบ่ายหมอมาตรวจเกือบบ่าย2แล้วเลิกกี่โมงเห็นใจประชาชนบ้างถ้ามีตังไปรักษาเอกชนแล้วแผนกอายุรกรรม</t>
  </si>
  <si>
    <t xml:space="preserve">   ทำงานช้าทั้งแผนกมีแต่พยาบาลมีอายุส่วนผู้ช่วยบางคนก็อวดเก่งบางคนแทบจะกินหัวคนไข้หมอบางคนพูดจาไม่ดีสุนัขไม่รับประทาน</t>
  </si>
  <si>
    <t xml:space="preserve"> - ที่จอดรถควรจอดได้ไม่จำกัดเวลาเพราะหมอจะทำการตรวจเสร็จต้องลงเลื่อนรถทุกสามชั่วโมงครับ</t>
  </si>
  <si>
    <t xml:space="preserve"> - ขอออกความคิดเห็นนะครับ เก็บค่าจอดคันละ 10 บาทก็ได้จอดจนทำการรักษาเสร็จครับ
</t>
  </si>
  <si>
    <t xml:space="preserve"> - ความรวดเร็วของการบริการ รอนาน (5)</t>
  </si>
  <si>
    <t xml:space="preserve"> - กับข้าวไม่อร่อย แผนกตรวจชั้น 4 ทำงานช้ามาก 1ชั่วโมงเรียก 3 คนบางทีคนอื่นเขาเป็นมาแบบไม่ไหว เช่นปวดท้องไข้ขึ้นกว่าหมอจะเรียกไม่ตายก่อนหรือคะ </t>
  </si>
  <si>
    <t xml:space="preserve">   ทำงานให้ไวกว่านี้หรือมองดูอาการคนที่มารอคิวหน่อยค่ะว่าใครทนได้ไม่ได้</t>
  </si>
  <si>
    <t xml:space="preserve"> - ที่แจ้งเป็นเจ้าหน้าที่ด้านล่างเจ้าหน้าเคาน์เตอร์พยายาลที่นัด (ไม่ใช่เจ้าหน้าหรือพยาบาลที่ชั้น25) (เพราะต้องระบุว่าเข้ารักษาที่ชั้นไหนและไม่มีระบุแยกให้)ไม่ได้รับการช่วยเหลือ </t>
  </si>
  <si>
    <t xml:space="preserve">   สอบถามก็มีแต่บอกไม่รู้ให้คุยกับหมอเองไม่ประสารงานไม่กระตือรือร้นในการช่วยเบื้องต้น รอนานไม่แจ้งไม่บอกถ้าไม่เข้าไปสอบถามหลาย ๆ ครั้งเอง การทำนัดผิด ไม่มีการช่วยเหลือ</t>
  </si>
  <si>
    <r>
      <t xml:space="preserve"> - </t>
    </r>
    <r>
      <rPr>
        <sz val="16"/>
        <color theme="1"/>
        <rFont val="TH SarabunPSK"/>
        <family val="2"/>
      </rPr>
      <t>สถานที่จอดรถ</t>
    </r>
    <r>
      <rPr>
        <sz val="16"/>
        <color rgb="FF000000"/>
        <rFont val="TH SarabunPSK"/>
        <family val="2"/>
      </rPr>
      <t>ไม่สะดวก (3)</t>
    </r>
  </si>
  <si>
    <t>อันดับ 1 การให้บริการโดยรวม (OPD : 35 IPD : 40 )</t>
  </si>
  <si>
    <t>อันดับ 3 อุปกรณ์ เครื่องมือ และสถานที่ไม่สมบูรณ์ (OPD : 8 IPD : 10 )</t>
  </si>
  <si>
    <t xml:space="preserve">   มานอนรอที่รพ.เสียค่าห้องค่าอื่น ๆ ไปโดยใช่เหตุ โรงพยาบาลก็ไม่มีการรับผิดชอบหรือลดค่าใช้จ่ายใด ๆ มีแค่โทรมาขอโทษถ้าไม่ร้องเรียนไปก็ไม่มีใครโทรมาขอโทษ เสียเงินเสียเวลา </t>
  </si>
  <si>
    <t xml:space="preserve">   ถ้าเงินก้อนนั้นคนไข้เก็บเพื่อมารักษาตัว มานอนโรงพยาบาล 1 คืนพอวันจริงมาบอกว่ายกเลิกคือมานอนเสียเงินฟรี ๆ ไม่ได้ทำอะไรแต่เก็บค่าใช้จ่ายเต็มจำนวนทั้งที่ไม่ใช่คนผิด</t>
  </si>
  <si>
    <t xml:space="preserve">   คุณคิดว่าอย่างไร รับผิดชอบอะไรเขา ช่วยเหลืออะไรเขา ทำงานผิดพลาดแต่เก็บค่าใช้จ่ายคนไข้เต็มจำนวน รพ.ช่วยอะไรได้อยากรู้</t>
  </si>
  <si>
    <t xml:space="preserve">   จากเจ้าหน้าที่และโรงพยาบาล เจ้าหน้าที่ชั้น 25 ดูแลดี แต่ไม่พอใจระบบงานระบบการทำนัด ทำให้เสียเวลาเสียเงินและเจ็บตัว ไม่ได้มาช่วยเยียวยาพูดคุยแนะนำอะไรถ้านัดผิดพลาด</t>
  </si>
  <si>
    <t xml:space="preserve"> - ต้องอบรมคำพูคำจาพยาบาลรุ่นเก่า ๆ</t>
  </si>
  <si>
    <t xml:space="preserve"> - จิตแพทย์ ที่ชั้น 5 พูดจาไม่เหมาะสมกับที่เป็นแพทย์</t>
  </si>
  <si>
    <t xml:space="preserve"> - น้ำในห้องน้ำเดี่ยว มีความร้อน ๆ มากในตอนเช้า แม้กระทั่งสายฉีดชำระ ร้อนมาก</t>
  </si>
  <si>
    <t xml:space="preserve"> - โรงอาหารเปิดให้บริการตลอดเวลาทำการแต่ที่เวลาบ่ายโมงพนักงานทำความสะอาดจะมาไล่คนไข้ให้ย้ายไปนั่งที่ขอบกระจกเพื่อจะทำความสะอาดพื้นที่โดยไม่สนใจว่าคนไข้</t>
  </si>
  <si>
    <t xml:space="preserve">   นั่งเล่นหรือนั่งทานข้าวอยู่ มาตรฐานพื้นที่บริการควรมีเวลาแจ้งให้ชัดเจนเวลาใดนั่งได้เวลาใดนั่งไม่ได้คนไข้ทนหิวเพื่อรอพบแพทย์พอมานั่งกินก็รีบกินรีบไปกลัวพยาบาลเรียกไม่พบ</t>
  </si>
</sst>
</file>

<file path=xl/styles.xml><?xml version="1.0" encoding="utf-8"?>
<styleSheet xmlns="http://schemas.openxmlformats.org/spreadsheetml/2006/main">
  <numFmts count="1">
    <numFmt numFmtId="164" formatCode="###0.00"/>
  </numFmts>
  <fonts count="30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b/>
      <sz val="18"/>
      <color theme="1"/>
      <name val="TH SarabunPSK"/>
      <family val="2"/>
    </font>
    <font>
      <b/>
      <sz val="12"/>
      <color rgb="FF000000"/>
      <name val="TH SarabunPSK"/>
      <family val="2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64" fontId="19" fillId="0" borderId="1" xfId="11" applyNumberFormat="1" applyFont="1" applyBorder="1" applyAlignment="1">
      <alignment horizontal="center" vertical="center"/>
    </xf>
    <xf numFmtId="164" fontId="19" fillId="0" borderId="1" xfId="13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2" fontId="21" fillId="6" borderId="1" xfId="0" applyNumberFormat="1" applyFont="1" applyFill="1" applyBorder="1" applyAlignment="1">
      <alignment horizontal="center" vertical="center" wrapText="1"/>
    </xf>
    <xf numFmtId="164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64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64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64" fontId="16" fillId="7" borderId="4" xfId="10" applyNumberForma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49" fontId="26" fillId="0" borderId="0" xfId="0" applyNumberFormat="1" applyFont="1" applyAlignment="1">
      <alignment vertical="center" wrapText="1"/>
    </xf>
    <xf numFmtId="164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 indent="6"/>
    </xf>
    <xf numFmtId="49" fontId="14" fillId="0" borderId="0" xfId="0" applyNumberFormat="1" applyFont="1"/>
    <xf numFmtId="164" fontId="27" fillId="0" borderId="1" xfId="11" applyNumberFormat="1" applyFont="1" applyBorder="1" applyAlignment="1">
      <alignment horizontal="center" vertical="center"/>
    </xf>
    <xf numFmtId="164" fontId="14" fillId="7" borderId="4" xfId="10" applyNumberFormat="1" applyFont="1" applyFill="1" applyBorder="1" applyAlignment="1">
      <alignment horizontal="center" vertical="center"/>
    </xf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0" fontId="29" fillId="2" borderId="1" xfId="0" applyFont="1" applyFill="1" applyBorder="1" applyAlignment="1">
      <alignment horizontal="center" vertical="center" wrapText="1"/>
    </xf>
    <xf numFmtId="164" fontId="19" fillId="0" borderId="1" xfId="13" applyNumberFormat="1" applyFont="1" applyFill="1" applyBorder="1" applyAlignment="1">
      <alignment horizontal="center" vertical="center"/>
    </xf>
    <xf numFmtId="164" fontId="19" fillId="0" borderId="1" xfId="12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164" fontId="18" fillId="0" borderId="1" xfId="1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 vertical="center" wrapText="1"/>
    </xf>
    <xf numFmtId="49" fontId="26" fillId="0" borderId="0" xfId="0" applyNumberFormat="1" applyFont="1" applyAlignment="1">
      <alignment horizontal="left" vertical="center" wrapText="1"/>
    </xf>
    <xf numFmtId="49" fontId="26" fillId="0" borderId="0" xfId="0" applyNumberFormat="1" applyFont="1" applyAlignment="1">
      <alignment horizontal="left" vertical="top" wrapText="1"/>
    </xf>
    <xf numFmtId="49" fontId="10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top" wrapText="1"/>
    </xf>
    <xf numFmtId="49" fontId="15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</cellXfs>
  <cellStyles count="18">
    <cellStyle name="Normal" xfId="0" builtinId="0"/>
    <cellStyle name="Normal_IPD November" xfId="12"/>
    <cellStyle name="Normal_IPD_1" xfId="13"/>
    <cellStyle name="Normal_OPD August" xfId="11"/>
    <cellStyle name="Normal_OPD July" xfId="10"/>
    <cellStyle name="Normal_OPD_1" xfId="14"/>
    <cellStyle name="style1683707694983" xfId="1"/>
    <cellStyle name="style1683707695268" xfId="2"/>
    <cellStyle name="style1683707695497" xfId="3"/>
    <cellStyle name="style1683873781043" xfId="4"/>
    <cellStyle name="style1683873781293" xfId="5"/>
    <cellStyle name="style1683873781509" xfId="6"/>
    <cellStyle name="style1690951585398" xfId="8"/>
    <cellStyle name="style1690951585625" xfId="9"/>
    <cellStyle name="style1690951585802" xfId="7"/>
    <cellStyle name="ปกติ 2" xfId="16"/>
    <cellStyle name="ปกติ 3" xfId="17"/>
    <cellStyle name="ปกติ 4" xfId="1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tabSelected="1" zoomScaleNormal="100" zoomScaleSheetLayoutView="80" workbookViewId="0">
      <selection activeCell="A6" sqref="A6"/>
    </sheetView>
  </sheetViews>
  <sheetFormatPr defaultColWidth="9" defaultRowHeight="21.1"/>
  <cols>
    <col min="1" max="1" width="62.625" style="4" customWidth="1"/>
    <col min="2" max="2" width="9" style="4" customWidth="1"/>
    <col min="3" max="5" width="9" style="3"/>
    <col min="6" max="6" width="9.625" style="3" customWidth="1"/>
    <col min="7" max="8" width="9" style="3"/>
    <col min="9" max="9" width="9.625" style="3" bestFit="1" customWidth="1"/>
    <col min="10" max="12" width="9" style="3"/>
    <col min="13" max="13" width="10.75" style="3" customWidth="1"/>
    <col min="14" max="14" width="10.125" style="3" bestFit="1" customWidth="1"/>
    <col min="15" max="16384" width="9" style="3"/>
  </cols>
  <sheetData>
    <row r="1" spans="1:15" s="14" customFormat="1" ht="49.75" customHeight="1">
      <c r="A1" s="92" t="s">
        <v>86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5" s="2" customFormat="1" ht="44.5" customHeight="1">
      <c r="A2" s="6" t="s">
        <v>0</v>
      </c>
      <c r="B2" s="1" t="s">
        <v>2</v>
      </c>
      <c r="C2" s="1" t="s">
        <v>76</v>
      </c>
      <c r="D2" s="1" t="s">
        <v>82</v>
      </c>
      <c r="E2" s="1" t="s">
        <v>77</v>
      </c>
      <c r="F2" s="1" t="s">
        <v>3</v>
      </c>
      <c r="G2" s="1" t="s">
        <v>4</v>
      </c>
      <c r="H2" s="1" t="s">
        <v>79</v>
      </c>
      <c r="I2" s="1" t="s">
        <v>66</v>
      </c>
      <c r="J2" s="1" t="s">
        <v>58</v>
      </c>
      <c r="K2" s="1" t="s">
        <v>5</v>
      </c>
      <c r="L2" s="1" t="s">
        <v>80</v>
      </c>
      <c r="M2" s="1" t="s">
        <v>73</v>
      </c>
      <c r="N2" s="1" t="s">
        <v>84</v>
      </c>
      <c r="O2" s="68"/>
    </row>
    <row r="3" spans="1:15" s="2" customFormat="1" ht="24.8" customHeight="1">
      <c r="A3" s="64" t="s">
        <v>9</v>
      </c>
      <c r="B3" s="65">
        <v>38</v>
      </c>
      <c r="C3" s="66">
        <v>6</v>
      </c>
      <c r="D3" s="67">
        <v>45</v>
      </c>
      <c r="E3" s="66" t="s">
        <v>71</v>
      </c>
      <c r="F3" s="66">
        <v>16</v>
      </c>
      <c r="G3" s="66">
        <v>8</v>
      </c>
      <c r="H3" s="66">
        <v>43</v>
      </c>
      <c r="I3" s="66">
        <v>2</v>
      </c>
      <c r="J3" s="66">
        <v>111</v>
      </c>
      <c r="K3" s="66">
        <v>95</v>
      </c>
      <c r="L3" s="66" t="s">
        <v>71</v>
      </c>
      <c r="M3" s="66" t="s">
        <v>71</v>
      </c>
      <c r="N3" s="66">
        <v>20</v>
      </c>
    </row>
    <row r="4" spans="1:15" s="2" customFormat="1" ht="23.95" customHeight="1">
      <c r="A4" s="8" t="s">
        <v>26</v>
      </c>
      <c r="B4" s="33">
        <v>4.5263157894736832</v>
      </c>
      <c r="C4" s="21">
        <v>4.3333333333333339</v>
      </c>
      <c r="D4" s="26">
        <v>4.2444444444444445</v>
      </c>
      <c r="E4" s="20" t="s">
        <v>71</v>
      </c>
      <c r="F4" s="21">
        <v>4.9375</v>
      </c>
      <c r="G4" s="21">
        <v>4.25</v>
      </c>
      <c r="H4" s="21">
        <v>4.069767441860467</v>
      </c>
      <c r="I4" s="21">
        <v>4.5</v>
      </c>
      <c r="J4" s="21">
        <v>4.3783783783783772</v>
      </c>
      <c r="K4" s="21">
        <v>4.4526315789473703</v>
      </c>
      <c r="L4" s="20" t="s">
        <v>71</v>
      </c>
      <c r="M4" s="20" t="s">
        <v>71</v>
      </c>
      <c r="N4" s="26">
        <v>4.4499999999999993</v>
      </c>
    </row>
    <row r="5" spans="1:15" s="2" customFormat="1" ht="23.95" customHeight="1">
      <c r="A5" s="8" t="s">
        <v>59</v>
      </c>
      <c r="B5" s="33">
        <v>4.526315789473685</v>
      </c>
      <c r="C5" s="21">
        <v>4.3333333333333339</v>
      </c>
      <c r="D5" s="26">
        <v>4.177777777777778</v>
      </c>
      <c r="E5" s="20" t="s">
        <v>71</v>
      </c>
      <c r="F5" s="21">
        <v>4.875</v>
      </c>
      <c r="G5" s="21">
        <v>4.25</v>
      </c>
      <c r="H5" s="21">
        <v>4.0697674418604661</v>
      </c>
      <c r="I5" s="21">
        <v>5</v>
      </c>
      <c r="J5" s="21">
        <v>4.3963963963963941</v>
      </c>
      <c r="K5" s="21">
        <v>4.5157894736842108</v>
      </c>
      <c r="L5" s="20" t="s">
        <v>71</v>
      </c>
      <c r="M5" s="20" t="s">
        <v>71</v>
      </c>
      <c r="N5" s="26">
        <v>4.3999999999999986</v>
      </c>
    </row>
    <row r="6" spans="1:15" s="2" customFormat="1" ht="23.95" customHeight="1">
      <c r="A6" s="8" t="s">
        <v>60</v>
      </c>
      <c r="B6" s="33">
        <v>4.5263157894736841</v>
      </c>
      <c r="C6" s="21">
        <v>4.3333333333333339</v>
      </c>
      <c r="D6" s="26">
        <v>4.0666666666666664</v>
      </c>
      <c r="E6" s="20" t="s">
        <v>71</v>
      </c>
      <c r="F6" s="21">
        <v>4.8125</v>
      </c>
      <c r="G6" s="21">
        <v>4.25</v>
      </c>
      <c r="H6" s="21">
        <v>4.0930232558139545</v>
      </c>
      <c r="I6" s="21">
        <v>4.5</v>
      </c>
      <c r="J6" s="21">
        <v>4.3873873873873865</v>
      </c>
      <c r="K6" s="21">
        <v>4.5052631578947357</v>
      </c>
      <c r="L6" s="20" t="s">
        <v>71</v>
      </c>
      <c r="M6" s="20" t="s">
        <v>71</v>
      </c>
      <c r="N6" s="26">
        <v>4.3499999999999996</v>
      </c>
    </row>
    <row r="7" spans="1:15" s="2" customFormat="1" ht="23.95" customHeight="1">
      <c r="A7" s="8" t="s">
        <v>10</v>
      </c>
      <c r="B7" s="33">
        <v>4.5526315789473681</v>
      </c>
      <c r="C7" s="21">
        <v>4.3333333333333339</v>
      </c>
      <c r="D7" s="26">
        <v>4.1333333333333337</v>
      </c>
      <c r="E7" s="20" t="s">
        <v>71</v>
      </c>
      <c r="F7" s="21">
        <v>4.875</v>
      </c>
      <c r="G7" s="21">
        <v>4.25</v>
      </c>
      <c r="H7" s="21">
        <v>4.0930232558139528</v>
      </c>
      <c r="I7" s="21">
        <v>5</v>
      </c>
      <c r="J7" s="21">
        <v>4.3873873873873857</v>
      </c>
      <c r="K7" s="21">
        <v>4.4842105263157865</v>
      </c>
      <c r="L7" s="20" t="s">
        <v>71</v>
      </c>
      <c r="M7" s="20" t="s">
        <v>71</v>
      </c>
      <c r="N7" s="26">
        <v>4.4999999999999991</v>
      </c>
    </row>
    <row r="8" spans="1:15" s="2" customFormat="1" ht="23.95" customHeight="1">
      <c r="A8" s="8" t="s">
        <v>11</v>
      </c>
      <c r="B8" s="33">
        <v>4.2368421052631584</v>
      </c>
      <c r="C8" s="21">
        <v>4.166666666666667</v>
      </c>
      <c r="D8" s="26">
        <v>3.9555555555555553</v>
      </c>
      <c r="E8" s="20" t="s">
        <v>71</v>
      </c>
      <c r="F8" s="21">
        <v>4.8125</v>
      </c>
      <c r="G8" s="21">
        <v>4.375</v>
      </c>
      <c r="H8" s="21">
        <v>3.8604651162790691</v>
      </c>
      <c r="I8" s="21">
        <v>4</v>
      </c>
      <c r="J8" s="21">
        <v>4.243243243243243</v>
      </c>
      <c r="K8" s="21">
        <v>4.3578947368421055</v>
      </c>
      <c r="L8" s="20" t="s">
        <v>71</v>
      </c>
      <c r="M8" s="20" t="s">
        <v>71</v>
      </c>
      <c r="N8" s="26">
        <v>4.3499999999999996</v>
      </c>
    </row>
    <row r="9" spans="1:15" s="2" customFormat="1" ht="23.95" customHeight="1">
      <c r="A9" s="8" t="s">
        <v>12</v>
      </c>
      <c r="B9" s="33">
        <v>4.2631578947368425</v>
      </c>
      <c r="C9" s="21">
        <v>4.166666666666667</v>
      </c>
      <c r="D9" s="26">
        <v>4.0222222222222221</v>
      </c>
      <c r="E9" s="20" t="s">
        <v>71</v>
      </c>
      <c r="F9" s="21">
        <v>4.8125</v>
      </c>
      <c r="G9" s="21">
        <v>4.125</v>
      </c>
      <c r="H9" s="21">
        <v>3.9069767441860463</v>
      </c>
      <c r="I9" s="21">
        <v>4</v>
      </c>
      <c r="J9" s="21">
        <v>4.378378378378379</v>
      </c>
      <c r="K9" s="21">
        <v>4.4631578947368427</v>
      </c>
      <c r="L9" s="20" t="s">
        <v>71</v>
      </c>
      <c r="M9" s="20" t="s">
        <v>71</v>
      </c>
      <c r="N9" s="26">
        <v>4.3000000000000007</v>
      </c>
    </row>
    <row r="10" spans="1:15" s="2" customFormat="1" ht="23.95" customHeight="1">
      <c r="A10" s="8" t="s">
        <v>13</v>
      </c>
      <c r="B10" s="33">
        <v>4.3157894736842106</v>
      </c>
      <c r="C10" s="21">
        <v>4.3333333333333339</v>
      </c>
      <c r="D10" s="26">
        <v>4.1111111111111107</v>
      </c>
      <c r="E10" s="20" t="s">
        <v>71</v>
      </c>
      <c r="F10" s="21">
        <v>4.875</v>
      </c>
      <c r="G10" s="21">
        <v>4.3750000000000009</v>
      </c>
      <c r="H10" s="21">
        <v>3.86046511627907</v>
      </c>
      <c r="I10" s="21">
        <v>4</v>
      </c>
      <c r="J10" s="21">
        <v>4.360360360360362</v>
      </c>
      <c r="K10" s="21">
        <v>4.4947368421052625</v>
      </c>
      <c r="L10" s="20" t="s">
        <v>71</v>
      </c>
      <c r="M10" s="20" t="s">
        <v>71</v>
      </c>
      <c r="N10" s="26">
        <v>4.3</v>
      </c>
    </row>
    <row r="11" spans="1:15" s="2" customFormat="1" ht="23.95" customHeight="1">
      <c r="A11" s="8" t="s">
        <v>14</v>
      </c>
      <c r="B11" s="33">
        <v>4.2368421052631584</v>
      </c>
      <c r="C11" s="21">
        <v>4.3333333333333339</v>
      </c>
      <c r="D11" s="26">
        <v>4.0222222222222221</v>
      </c>
      <c r="E11" s="20" t="s">
        <v>71</v>
      </c>
      <c r="F11" s="21">
        <v>4.875</v>
      </c>
      <c r="G11" s="21">
        <v>4.375</v>
      </c>
      <c r="H11" s="21">
        <v>3.9069767441860455</v>
      </c>
      <c r="I11" s="21">
        <v>4</v>
      </c>
      <c r="J11" s="21">
        <v>4.3243243243243246</v>
      </c>
      <c r="K11" s="21">
        <v>4.4736842105263142</v>
      </c>
      <c r="L11" s="20" t="s">
        <v>71</v>
      </c>
      <c r="M11" s="20" t="s">
        <v>71</v>
      </c>
      <c r="N11" s="26">
        <v>4.25</v>
      </c>
    </row>
    <row r="12" spans="1:15" s="2" customFormat="1" ht="23.95" customHeight="1">
      <c r="A12" s="8" t="s">
        <v>15</v>
      </c>
      <c r="B12" s="33">
        <v>4.4210526315789478</v>
      </c>
      <c r="C12" s="21">
        <v>4.3333333333333339</v>
      </c>
      <c r="D12" s="26">
        <v>4.200000000000002</v>
      </c>
      <c r="E12" s="20" t="s">
        <v>71</v>
      </c>
      <c r="F12" s="21">
        <v>4.9375</v>
      </c>
      <c r="G12" s="21">
        <v>4.5</v>
      </c>
      <c r="H12" s="21">
        <v>4.0232558139534875</v>
      </c>
      <c r="I12" s="21">
        <v>4.5</v>
      </c>
      <c r="J12" s="21">
        <v>4.3783783783783781</v>
      </c>
      <c r="K12" s="21">
        <v>4.5263157894736823</v>
      </c>
      <c r="L12" s="20" t="s">
        <v>71</v>
      </c>
      <c r="M12" s="20" t="s">
        <v>71</v>
      </c>
      <c r="N12" s="26">
        <v>4.3499999999999996</v>
      </c>
    </row>
    <row r="13" spans="1:15" s="2" customFormat="1" ht="23.95" customHeight="1">
      <c r="A13" s="8" t="s">
        <v>16</v>
      </c>
      <c r="B13" s="33">
        <v>4.447368421052631</v>
      </c>
      <c r="C13" s="21">
        <v>4.3333333333333339</v>
      </c>
      <c r="D13" s="26">
        <v>4.1555555555555568</v>
      </c>
      <c r="E13" s="20" t="s">
        <v>71</v>
      </c>
      <c r="F13" s="21">
        <v>4.9375</v>
      </c>
      <c r="G13" s="21">
        <v>4.375</v>
      </c>
      <c r="H13" s="21">
        <v>3.9069767441860463</v>
      </c>
      <c r="I13" s="21">
        <v>4</v>
      </c>
      <c r="J13" s="21">
        <v>4.414414414414412</v>
      </c>
      <c r="K13" s="21">
        <v>4.4947368421052607</v>
      </c>
      <c r="L13" s="20" t="s">
        <v>71</v>
      </c>
      <c r="M13" s="20" t="s">
        <v>71</v>
      </c>
      <c r="N13" s="26">
        <v>4.3</v>
      </c>
    </row>
    <row r="14" spans="1:15" s="2" customFormat="1" ht="23.95" customHeight="1">
      <c r="A14" s="8" t="s">
        <v>17</v>
      </c>
      <c r="B14" s="33">
        <v>4.3421052631578938</v>
      </c>
      <c r="C14" s="21">
        <v>4.3333333333333339</v>
      </c>
      <c r="D14" s="26">
        <v>4.0888888888888895</v>
      </c>
      <c r="E14" s="20" t="s">
        <v>71</v>
      </c>
      <c r="F14" s="21">
        <v>4.9375</v>
      </c>
      <c r="G14" s="21">
        <v>4.25</v>
      </c>
      <c r="H14" s="21">
        <v>3.9534883720930232</v>
      </c>
      <c r="I14" s="21">
        <v>4</v>
      </c>
      <c r="J14" s="21">
        <v>4.2972972972972938</v>
      </c>
      <c r="K14" s="21">
        <v>4.4947368421052607</v>
      </c>
      <c r="L14" s="20" t="s">
        <v>71</v>
      </c>
      <c r="M14" s="20" t="s">
        <v>71</v>
      </c>
      <c r="N14" s="26">
        <v>4.3499999999999996</v>
      </c>
    </row>
    <row r="15" spans="1:15" s="2" customFormat="1" ht="23.95" customHeight="1">
      <c r="A15" s="8" t="s">
        <v>18</v>
      </c>
      <c r="B15" s="33">
        <v>4.473684210526315</v>
      </c>
      <c r="C15" s="21">
        <v>4.3333333333333339</v>
      </c>
      <c r="D15" s="26">
        <v>4.0444444444444452</v>
      </c>
      <c r="E15" s="20" t="s">
        <v>71</v>
      </c>
      <c r="F15" s="21">
        <v>4.875</v>
      </c>
      <c r="G15" s="21">
        <v>4.375</v>
      </c>
      <c r="H15" s="21">
        <v>4.0465116279069768</v>
      </c>
      <c r="I15" s="21">
        <v>4</v>
      </c>
      <c r="J15" s="21">
        <v>4.4324324324324316</v>
      </c>
      <c r="K15" s="21">
        <v>4.505263157894734</v>
      </c>
      <c r="L15" s="20" t="s">
        <v>71</v>
      </c>
      <c r="M15" s="20" t="s">
        <v>71</v>
      </c>
      <c r="N15" s="26">
        <v>4.4999999999999991</v>
      </c>
    </row>
    <row r="16" spans="1:15" s="2" customFormat="1" ht="23.95" customHeight="1">
      <c r="A16" s="8" t="s">
        <v>19</v>
      </c>
      <c r="B16" s="33">
        <v>4.3947368421052637</v>
      </c>
      <c r="C16" s="21">
        <v>4.3333333333333339</v>
      </c>
      <c r="D16" s="26">
        <v>4.1111111111111107</v>
      </c>
      <c r="E16" s="20" t="s">
        <v>71</v>
      </c>
      <c r="F16" s="21">
        <v>4.875</v>
      </c>
      <c r="G16" s="21">
        <v>4.125</v>
      </c>
      <c r="H16" s="21">
        <v>4.0697674418604661</v>
      </c>
      <c r="I16" s="21">
        <v>4</v>
      </c>
      <c r="J16" s="21">
        <v>4.3513513513513491</v>
      </c>
      <c r="K16" s="21">
        <v>4.505263157894734</v>
      </c>
      <c r="L16" s="20" t="s">
        <v>71</v>
      </c>
      <c r="M16" s="20" t="s">
        <v>71</v>
      </c>
      <c r="N16" s="26">
        <v>4.3000000000000007</v>
      </c>
    </row>
    <row r="17" spans="1:14" s="2" customFormat="1" ht="23.95" customHeight="1">
      <c r="A17" s="8" t="s">
        <v>20</v>
      </c>
      <c r="B17" s="33">
        <v>4.3684210526315788</v>
      </c>
      <c r="C17" s="21">
        <v>4.3333333333333339</v>
      </c>
      <c r="D17" s="26">
        <v>4.0666666666666673</v>
      </c>
      <c r="E17" s="20" t="s">
        <v>71</v>
      </c>
      <c r="F17" s="21">
        <v>4.875</v>
      </c>
      <c r="G17" s="21">
        <v>4.125</v>
      </c>
      <c r="H17" s="21">
        <v>4.1395348837209305</v>
      </c>
      <c r="I17" s="21">
        <v>4.5</v>
      </c>
      <c r="J17" s="21">
        <v>4.3783783783783772</v>
      </c>
      <c r="K17" s="21">
        <v>4.4842105263157901</v>
      </c>
      <c r="L17" s="20" t="s">
        <v>71</v>
      </c>
      <c r="M17" s="20" t="s">
        <v>71</v>
      </c>
      <c r="N17" s="26">
        <v>4.25</v>
      </c>
    </row>
    <row r="18" spans="1:14" s="2" customFormat="1" ht="23.95" customHeight="1">
      <c r="A18" s="8" t="s">
        <v>21</v>
      </c>
      <c r="B18" s="33">
        <v>4.4736842105263159</v>
      </c>
      <c r="C18" s="21">
        <v>4.3333333333333339</v>
      </c>
      <c r="D18" s="26">
        <v>4.1111111111111107</v>
      </c>
      <c r="E18" s="20" t="s">
        <v>71</v>
      </c>
      <c r="F18" s="21">
        <v>4.875</v>
      </c>
      <c r="G18" s="21">
        <v>4.125</v>
      </c>
      <c r="H18" s="21">
        <v>4.1395348837209331</v>
      </c>
      <c r="I18" s="21">
        <v>4.5</v>
      </c>
      <c r="J18" s="21">
        <v>4.4234234234234231</v>
      </c>
      <c r="K18" s="21">
        <v>4.5473684210526333</v>
      </c>
      <c r="L18" s="20" t="s">
        <v>71</v>
      </c>
      <c r="M18" s="20" t="s">
        <v>71</v>
      </c>
      <c r="N18" s="26">
        <v>4.4499999999999993</v>
      </c>
    </row>
    <row r="19" spans="1:14" s="2" customFormat="1" ht="23.95" customHeight="1">
      <c r="A19" s="8" t="s">
        <v>22</v>
      </c>
      <c r="B19" s="33">
        <v>4.5789473684210531</v>
      </c>
      <c r="C19" s="21">
        <v>4.3333333333333339</v>
      </c>
      <c r="D19" s="26">
        <v>4.2222222222222223</v>
      </c>
      <c r="E19" s="20" t="s">
        <v>71</v>
      </c>
      <c r="F19" s="21">
        <v>4.9375</v>
      </c>
      <c r="G19" s="21">
        <v>4.5</v>
      </c>
      <c r="H19" s="21">
        <v>4.0697674418604652</v>
      </c>
      <c r="I19" s="21">
        <v>5</v>
      </c>
      <c r="J19" s="21">
        <v>4.4504504504504494</v>
      </c>
      <c r="K19" s="21">
        <v>4.5894736842105299</v>
      </c>
      <c r="L19" s="20" t="s">
        <v>71</v>
      </c>
      <c r="M19" s="20" t="s">
        <v>71</v>
      </c>
      <c r="N19" s="26">
        <v>4.55</v>
      </c>
    </row>
    <row r="20" spans="1:14" s="2" customFormat="1" ht="23.95" customHeight="1">
      <c r="A20" s="16" t="s">
        <v>23</v>
      </c>
      <c r="B20" s="33">
        <v>4.4177631578947363</v>
      </c>
      <c r="C20" s="21">
        <v>4.3125</v>
      </c>
      <c r="D20" s="26">
        <v>4.1083333333333325</v>
      </c>
      <c r="E20" s="20" t="s">
        <v>71</v>
      </c>
      <c r="F20" s="21">
        <v>4.8828125</v>
      </c>
      <c r="G20" s="21">
        <v>4.2890625</v>
      </c>
      <c r="H20" s="21">
        <v>4.0130813953488378</v>
      </c>
      <c r="I20" s="21">
        <v>4.34375</v>
      </c>
      <c r="J20" s="21">
        <v>4.3738738738738734</v>
      </c>
      <c r="K20" s="21">
        <v>4.4934210526315805</v>
      </c>
      <c r="L20" s="20" t="s">
        <v>71</v>
      </c>
      <c r="M20" s="20" t="s">
        <v>71</v>
      </c>
      <c r="N20" s="26">
        <v>4.3718750000000002</v>
      </c>
    </row>
    <row r="21" spans="1:14" s="2" customFormat="1" ht="24.8" customHeight="1">
      <c r="A21" s="9" t="s">
        <v>24</v>
      </c>
      <c r="B21" s="71">
        <f>B20*20</f>
        <v>88.355263157894726</v>
      </c>
      <c r="C21" s="71">
        <f>C20*20</f>
        <v>86.25</v>
      </c>
      <c r="D21" s="71">
        <f>D20*20</f>
        <v>82.166666666666657</v>
      </c>
      <c r="E21" s="72" t="s">
        <v>71</v>
      </c>
      <c r="F21" s="71">
        <f t="shared" ref="F21:K21" si="0">F20*20</f>
        <v>97.65625</v>
      </c>
      <c r="G21" s="71">
        <f>G20*20</f>
        <v>85.78125</v>
      </c>
      <c r="H21" s="71">
        <f t="shared" si="0"/>
        <v>80.261627906976756</v>
      </c>
      <c r="I21" s="71">
        <f t="shared" si="0"/>
        <v>86.875</v>
      </c>
      <c r="J21" s="71">
        <f t="shared" si="0"/>
        <v>87.477477477477464</v>
      </c>
      <c r="K21" s="71">
        <f t="shared" si="0"/>
        <v>89.868421052631618</v>
      </c>
      <c r="L21" s="72" t="s">
        <v>71</v>
      </c>
      <c r="M21" s="72" t="s">
        <v>71</v>
      </c>
      <c r="N21" s="71">
        <f>N20*20</f>
        <v>87.4375</v>
      </c>
    </row>
    <row r="22" spans="1:14">
      <c r="A22" s="17" t="s">
        <v>61</v>
      </c>
      <c r="B22" s="70">
        <v>94.73684210526315</v>
      </c>
      <c r="C22" s="70">
        <v>66.666666666666657</v>
      </c>
      <c r="D22" s="70">
        <v>95.555555555555557</v>
      </c>
      <c r="E22" s="23" t="s">
        <v>71</v>
      </c>
      <c r="F22" s="70">
        <v>100</v>
      </c>
      <c r="G22" s="70">
        <v>87.5</v>
      </c>
      <c r="H22" s="70">
        <v>95.348837209302332</v>
      </c>
      <c r="I22" s="70">
        <v>100</v>
      </c>
      <c r="J22" s="70">
        <v>100</v>
      </c>
      <c r="K22" s="70">
        <v>100</v>
      </c>
      <c r="L22" s="23" t="s">
        <v>71</v>
      </c>
      <c r="M22" s="23" t="s">
        <v>71</v>
      </c>
      <c r="N22" s="70">
        <v>100</v>
      </c>
    </row>
    <row r="24" spans="1:14" ht="23.95" customHeight="1"/>
    <row r="25" spans="1:14" ht="54" customHeight="1">
      <c r="A25" s="6" t="s">
        <v>0</v>
      </c>
      <c r="B25" s="1" t="s">
        <v>72</v>
      </c>
      <c r="C25" s="1" t="s">
        <v>7</v>
      </c>
      <c r="D25" s="1" t="s">
        <v>6</v>
      </c>
      <c r="E25" s="1" t="s">
        <v>8</v>
      </c>
      <c r="F25" s="1" t="s">
        <v>75</v>
      </c>
      <c r="G25" s="1" t="s">
        <v>81</v>
      </c>
      <c r="H25" s="1" t="s">
        <v>78</v>
      </c>
      <c r="I25" s="1" t="s">
        <v>25</v>
      </c>
      <c r="J25" s="1" t="s">
        <v>62</v>
      </c>
      <c r="K25" s="1" t="s">
        <v>67</v>
      </c>
      <c r="L25" s="1" t="s">
        <v>74</v>
      </c>
      <c r="M25" s="1" t="s">
        <v>1</v>
      </c>
      <c r="N25" s="87" t="s">
        <v>85</v>
      </c>
    </row>
    <row r="26" spans="1:14" s="29" customFormat="1" ht="23.95" customHeight="1">
      <c r="A26" s="9" t="s">
        <v>9</v>
      </c>
      <c r="B26" s="27" t="s">
        <v>71</v>
      </c>
      <c r="C26" s="27" t="s">
        <v>71</v>
      </c>
      <c r="D26" s="27" t="s">
        <v>71</v>
      </c>
      <c r="E26" s="27">
        <v>7</v>
      </c>
      <c r="F26" s="27">
        <v>37</v>
      </c>
      <c r="G26" s="28">
        <v>20</v>
      </c>
      <c r="H26" s="27">
        <v>29</v>
      </c>
      <c r="I26" s="27" t="s">
        <v>71</v>
      </c>
      <c r="J26" s="27">
        <v>27</v>
      </c>
      <c r="K26" s="27">
        <v>18</v>
      </c>
      <c r="L26" s="27">
        <v>13</v>
      </c>
      <c r="M26" s="27">
        <v>11</v>
      </c>
      <c r="N26" s="27">
        <v>2</v>
      </c>
    </row>
    <row r="27" spans="1:14" ht="23.95" customHeight="1">
      <c r="A27" s="8" t="s">
        <v>26</v>
      </c>
      <c r="B27" s="20" t="s">
        <v>71</v>
      </c>
      <c r="C27" s="20" t="s">
        <v>71</v>
      </c>
      <c r="D27" s="20" t="s">
        <v>71</v>
      </c>
      <c r="E27" s="21">
        <v>4.8571428571428568</v>
      </c>
      <c r="F27" s="26">
        <v>4.378378378378379</v>
      </c>
      <c r="G27" s="21">
        <v>4.9000000000000004</v>
      </c>
      <c r="H27" s="21">
        <v>4.6896551724137936</v>
      </c>
      <c r="I27" s="20" t="s">
        <v>71</v>
      </c>
      <c r="J27" s="21">
        <v>4.6296296296296289</v>
      </c>
      <c r="K27" s="26">
        <v>4.7777777777777768</v>
      </c>
      <c r="L27" s="21">
        <v>4.2307692307692308</v>
      </c>
      <c r="M27" s="26">
        <v>4.2727272727272734</v>
      </c>
      <c r="N27" s="26">
        <v>3.5</v>
      </c>
    </row>
    <row r="28" spans="1:14" ht="23.95" customHeight="1">
      <c r="A28" s="8" t="s">
        <v>59</v>
      </c>
      <c r="B28" s="20" t="s">
        <v>71</v>
      </c>
      <c r="C28" s="20" t="s">
        <v>71</v>
      </c>
      <c r="D28" s="20" t="s">
        <v>71</v>
      </c>
      <c r="E28" s="21">
        <v>5</v>
      </c>
      <c r="F28" s="26">
        <v>4.3513513513513526</v>
      </c>
      <c r="G28" s="21">
        <v>4.8500000000000005</v>
      </c>
      <c r="H28" s="21">
        <v>4.4482758620689653</v>
      </c>
      <c r="I28" s="20" t="s">
        <v>71</v>
      </c>
      <c r="J28" s="21">
        <v>4.5925925925925926</v>
      </c>
      <c r="K28" s="26">
        <v>4.7222222222222214</v>
      </c>
      <c r="L28" s="21">
        <v>4.1538461538461533</v>
      </c>
      <c r="M28" s="26">
        <v>4.1818181818181808</v>
      </c>
      <c r="N28" s="26">
        <v>4</v>
      </c>
    </row>
    <row r="29" spans="1:14" ht="23.95" customHeight="1">
      <c r="A29" s="8" t="s">
        <v>60</v>
      </c>
      <c r="B29" s="20" t="s">
        <v>71</v>
      </c>
      <c r="C29" s="20" t="s">
        <v>71</v>
      </c>
      <c r="D29" s="20" t="s">
        <v>71</v>
      </c>
      <c r="E29" s="21">
        <v>4.8571428571428568</v>
      </c>
      <c r="F29" s="26">
        <v>4.2972972972972974</v>
      </c>
      <c r="G29" s="21">
        <v>4.8000000000000007</v>
      </c>
      <c r="H29" s="21">
        <v>4.5172413793103452</v>
      </c>
      <c r="I29" s="20" t="s">
        <v>71</v>
      </c>
      <c r="J29" s="21">
        <v>4.5555555555555554</v>
      </c>
      <c r="K29" s="26">
        <v>4.7222222222222214</v>
      </c>
      <c r="L29" s="21">
        <v>4.0000000000000009</v>
      </c>
      <c r="M29" s="26">
        <v>4.1818181818181825</v>
      </c>
      <c r="N29" s="26">
        <v>4</v>
      </c>
    </row>
    <row r="30" spans="1:14" ht="23.95" customHeight="1">
      <c r="A30" s="8" t="s">
        <v>10</v>
      </c>
      <c r="B30" s="20" t="s">
        <v>71</v>
      </c>
      <c r="C30" s="20" t="s">
        <v>71</v>
      </c>
      <c r="D30" s="20" t="s">
        <v>71</v>
      </c>
      <c r="E30" s="21">
        <v>4.7142857142857135</v>
      </c>
      <c r="F30" s="26">
        <v>4.2702702702702711</v>
      </c>
      <c r="G30" s="21">
        <v>4.9000000000000004</v>
      </c>
      <c r="H30" s="21">
        <v>4.2758620689655169</v>
      </c>
      <c r="I30" s="20" t="s">
        <v>71</v>
      </c>
      <c r="J30" s="21">
        <v>4.5185185185185182</v>
      </c>
      <c r="K30" s="26">
        <v>4.7222222222222214</v>
      </c>
      <c r="L30" s="21">
        <v>4.1538461538461533</v>
      </c>
      <c r="M30" s="26">
        <v>4.1818181818181808</v>
      </c>
      <c r="N30" s="26">
        <v>4</v>
      </c>
    </row>
    <row r="31" spans="1:14" ht="23.95" customHeight="1">
      <c r="A31" s="8" t="s">
        <v>11</v>
      </c>
      <c r="B31" s="20" t="s">
        <v>71</v>
      </c>
      <c r="C31" s="20" t="s">
        <v>71</v>
      </c>
      <c r="D31" s="20" t="s">
        <v>71</v>
      </c>
      <c r="E31" s="21">
        <v>4.5714285714285712</v>
      </c>
      <c r="F31" s="26">
        <v>4.135135135135136</v>
      </c>
      <c r="G31" s="21">
        <v>4.8000000000000007</v>
      </c>
      <c r="H31" s="21">
        <v>4.3448275862068968</v>
      </c>
      <c r="I31" s="20" t="s">
        <v>71</v>
      </c>
      <c r="J31" s="21">
        <v>4.5185185185185182</v>
      </c>
      <c r="K31" s="26">
        <v>4.7222222222222214</v>
      </c>
      <c r="L31" s="21">
        <v>3.7692307692307692</v>
      </c>
      <c r="M31" s="26">
        <v>3.5454545454545454</v>
      </c>
      <c r="N31" s="26">
        <v>3.5</v>
      </c>
    </row>
    <row r="32" spans="1:14" ht="23.95" customHeight="1">
      <c r="A32" s="8" t="s">
        <v>12</v>
      </c>
      <c r="B32" s="20" t="s">
        <v>71</v>
      </c>
      <c r="C32" s="20" t="s">
        <v>71</v>
      </c>
      <c r="D32" s="20" t="s">
        <v>71</v>
      </c>
      <c r="E32" s="21">
        <v>4.5714285714285712</v>
      </c>
      <c r="F32" s="26">
        <v>4.2432432432432439</v>
      </c>
      <c r="G32" s="21">
        <v>4.8000000000000007</v>
      </c>
      <c r="H32" s="21">
        <v>4.4482758620689662</v>
      </c>
      <c r="I32" s="20" t="s">
        <v>71</v>
      </c>
      <c r="J32" s="21">
        <v>4.5185185185185182</v>
      </c>
      <c r="K32" s="26">
        <v>4.7777777777777768</v>
      </c>
      <c r="L32" s="21">
        <v>4.0000000000000009</v>
      </c>
      <c r="M32" s="26">
        <v>3.5454545454545454</v>
      </c>
      <c r="N32" s="26">
        <v>3.5</v>
      </c>
    </row>
    <row r="33" spans="1:14" ht="23.95" customHeight="1">
      <c r="A33" s="8" t="s">
        <v>13</v>
      </c>
      <c r="B33" s="20" t="s">
        <v>71</v>
      </c>
      <c r="C33" s="20" t="s">
        <v>71</v>
      </c>
      <c r="D33" s="20" t="s">
        <v>71</v>
      </c>
      <c r="E33" s="21">
        <v>4.7142857142857135</v>
      </c>
      <c r="F33" s="26">
        <v>4.3243243243243246</v>
      </c>
      <c r="G33" s="21">
        <v>4.8500000000000005</v>
      </c>
      <c r="H33" s="21">
        <v>4.6551724137931041</v>
      </c>
      <c r="I33" s="20" t="s">
        <v>71</v>
      </c>
      <c r="J33" s="21">
        <v>4.5925925925925926</v>
      </c>
      <c r="K33" s="26">
        <v>4.8888888888888893</v>
      </c>
      <c r="L33" s="21">
        <v>4.1538461538461533</v>
      </c>
      <c r="M33" s="26">
        <v>3.6363636363636362</v>
      </c>
      <c r="N33" s="26">
        <v>3</v>
      </c>
    </row>
    <row r="34" spans="1:14" ht="23.95" customHeight="1">
      <c r="A34" s="8" t="s">
        <v>14</v>
      </c>
      <c r="B34" s="20" t="s">
        <v>71</v>
      </c>
      <c r="C34" s="20" t="s">
        <v>71</v>
      </c>
      <c r="D34" s="20" t="s">
        <v>71</v>
      </c>
      <c r="E34" s="21">
        <v>4.8571428571428568</v>
      </c>
      <c r="F34" s="26">
        <v>4.1621621621621623</v>
      </c>
      <c r="G34" s="21">
        <v>4.9000000000000004</v>
      </c>
      <c r="H34" s="21">
        <v>4.4827586206896539</v>
      </c>
      <c r="I34" s="20" t="s">
        <v>71</v>
      </c>
      <c r="J34" s="21">
        <v>4.5555555555555554</v>
      </c>
      <c r="K34" s="26">
        <v>4.666666666666667</v>
      </c>
      <c r="L34" s="21">
        <v>3.9230769230769229</v>
      </c>
      <c r="M34" s="26">
        <v>4.0909090909090908</v>
      </c>
      <c r="N34" s="26">
        <v>4</v>
      </c>
    </row>
    <row r="35" spans="1:14" ht="23.95" customHeight="1">
      <c r="A35" s="8" t="s">
        <v>15</v>
      </c>
      <c r="B35" s="20" t="s">
        <v>71</v>
      </c>
      <c r="C35" s="20" t="s">
        <v>71</v>
      </c>
      <c r="D35" s="20" t="s">
        <v>71</v>
      </c>
      <c r="E35" s="21">
        <v>4.8571428571428568</v>
      </c>
      <c r="F35" s="26">
        <v>4.2972972972972965</v>
      </c>
      <c r="G35" s="21">
        <v>4.8500000000000005</v>
      </c>
      <c r="H35" s="21">
        <v>4.6551724137931041</v>
      </c>
      <c r="I35" s="20" t="s">
        <v>71</v>
      </c>
      <c r="J35" s="21">
        <v>4.6296296296296298</v>
      </c>
      <c r="K35" s="26">
        <v>4.7777777777777768</v>
      </c>
      <c r="L35" s="21">
        <v>4.4615384615384608</v>
      </c>
      <c r="M35" s="26">
        <v>3.8181818181818183</v>
      </c>
      <c r="N35" s="26">
        <v>3.5</v>
      </c>
    </row>
    <row r="36" spans="1:14" ht="23.95" customHeight="1">
      <c r="A36" s="8" t="s">
        <v>16</v>
      </c>
      <c r="B36" s="20" t="s">
        <v>71</v>
      </c>
      <c r="C36" s="20" t="s">
        <v>71</v>
      </c>
      <c r="D36" s="20" t="s">
        <v>71</v>
      </c>
      <c r="E36" s="21">
        <v>4.8571428571428568</v>
      </c>
      <c r="F36" s="26">
        <v>4.3243243243243246</v>
      </c>
      <c r="G36" s="21">
        <v>4.8000000000000007</v>
      </c>
      <c r="H36" s="21">
        <v>4.6206896551724137</v>
      </c>
      <c r="I36" s="20" t="s">
        <v>71</v>
      </c>
      <c r="J36" s="21">
        <v>4.5925925925925926</v>
      </c>
      <c r="K36" s="26">
        <v>4.7222222222222214</v>
      </c>
      <c r="L36" s="21">
        <v>3.8461538461538458</v>
      </c>
      <c r="M36" s="26">
        <v>3.9090909090909092</v>
      </c>
      <c r="N36" s="26">
        <v>3.5</v>
      </c>
    </row>
    <row r="37" spans="1:14" ht="23.95" customHeight="1">
      <c r="A37" s="8" t="s">
        <v>17</v>
      </c>
      <c r="B37" s="20" t="s">
        <v>71</v>
      </c>
      <c r="C37" s="20" t="s">
        <v>71</v>
      </c>
      <c r="D37" s="20" t="s">
        <v>71</v>
      </c>
      <c r="E37" s="21">
        <v>4.8571428571428568</v>
      </c>
      <c r="F37" s="26">
        <v>4.3513513513513509</v>
      </c>
      <c r="G37" s="21">
        <v>4.8500000000000005</v>
      </c>
      <c r="H37" s="21">
        <v>4.5517241379310338</v>
      </c>
      <c r="I37" s="20" t="s">
        <v>71</v>
      </c>
      <c r="J37" s="21">
        <v>4.6296296296296298</v>
      </c>
      <c r="K37" s="26">
        <v>4.7777777777777768</v>
      </c>
      <c r="L37" s="21">
        <v>4.0000000000000009</v>
      </c>
      <c r="M37" s="26">
        <v>3.8181818181818179</v>
      </c>
      <c r="N37" s="26">
        <v>3.5</v>
      </c>
    </row>
    <row r="38" spans="1:14" ht="23.95" customHeight="1">
      <c r="A38" s="8" t="s">
        <v>18</v>
      </c>
      <c r="B38" s="20" t="s">
        <v>71</v>
      </c>
      <c r="C38" s="20" t="s">
        <v>71</v>
      </c>
      <c r="D38" s="20" t="s">
        <v>71</v>
      </c>
      <c r="E38" s="21">
        <v>4.8571428571428568</v>
      </c>
      <c r="F38" s="26">
        <v>4.2972972972972983</v>
      </c>
      <c r="G38" s="21">
        <v>4.9000000000000004</v>
      </c>
      <c r="H38" s="21">
        <v>4.4137931034482758</v>
      </c>
      <c r="I38" s="20" t="s">
        <v>71</v>
      </c>
      <c r="J38" s="21">
        <v>4.481481481481481</v>
      </c>
      <c r="K38" s="26">
        <v>4.7777777777777768</v>
      </c>
      <c r="L38" s="21">
        <v>4</v>
      </c>
      <c r="M38" s="26">
        <v>4</v>
      </c>
      <c r="N38" s="26">
        <v>4</v>
      </c>
    </row>
    <row r="39" spans="1:14" ht="23.95" customHeight="1">
      <c r="A39" s="8" t="s">
        <v>19</v>
      </c>
      <c r="B39" s="20" t="s">
        <v>71</v>
      </c>
      <c r="C39" s="20" t="s">
        <v>71</v>
      </c>
      <c r="D39" s="20" t="s">
        <v>71</v>
      </c>
      <c r="E39" s="21">
        <v>4.8571428571428568</v>
      </c>
      <c r="F39" s="26">
        <v>4.3243243243243237</v>
      </c>
      <c r="G39" s="21">
        <v>4.8500000000000005</v>
      </c>
      <c r="H39" s="21">
        <v>4.4137931034482758</v>
      </c>
      <c r="I39" s="20" t="s">
        <v>71</v>
      </c>
      <c r="J39" s="21">
        <v>4.5925925925925926</v>
      </c>
      <c r="K39" s="26">
        <v>4.7777777777777768</v>
      </c>
      <c r="L39" s="21">
        <v>4.2307692307692308</v>
      </c>
      <c r="M39" s="26">
        <v>4.1818181818181808</v>
      </c>
      <c r="N39" s="26">
        <v>3.5</v>
      </c>
    </row>
    <row r="40" spans="1:14" ht="23.95" customHeight="1">
      <c r="A40" s="8" t="s">
        <v>20</v>
      </c>
      <c r="B40" s="20" t="s">
        <v>71</v>
      </c>
      <c r="C40" s="20" t="s">
        <v>71</v>
      </c>
      <c r="D40" s="20" t="s">
        <v>71</v>
      </c>
      <c r="E40" s="21">
        <v>4.5714285714285712</v>
      </c>
      <c r="F40" s="26">
        <v>4.2972972972972983</v>
      </c>
      <c r="G40" s="21">
        <v>4.8500000000000005</v>
      </c>
      <c r="H40" s="21">
        <v>4.4482758620689653</v>
      </c>
      <c r="I40" s="20" t="s">
        <v>71</v>
      </c>
      <c r="J40" s="21">
        <v>4.6296296296296306</v>
      </c>
      <c r="K40" s="26">
        <v>4.7222222222222214</v>
      </c>
      <c r="L40" s="21">
        <v>4.2307692307692308</v>
      </c>
      <c r="M40" s="26">
        <v>4.1818181818181808</v>
      </c>
      <c r="N40" s="26">
        <v>3.5</v>
      </c>
    </row>
    <row r="41" spans="1:14" ht="23.95" customHeight="1">
      <c r="A41" s="8" t="s">
        <v>21</v>
      </c>
      <c r="B41" s="20" t="s">
        <v>71</v>
      </c>
      <c r="C41" s="20" t="s">
        <v>71</v>
      </c>
      <c r="D41" s="20" t="s">
        <v>71</v>
      </c>
      <c r="E41" s="21">
        <v>4.7142857142857144</v>
      </c>
      <c r="F41" s="26">
        <v>4.3783783783783781</v>
      </c>
      <c r="G41" s="21">
        <v>4.8500000000000005</v>
      </c>
      <c r="H41" s="21">
        <v>4.5862068965517233</v>
      </c>
      <c r="I41" s="20" t="s">
        <v>71</v>
      </c>
      <c r="J41" s="21">
        <v>4.5555555555555554</v>
      </c>
      <c r="K41" s="26">
        <v>4.7222222222222214</v>
      </c>
      <c r="L41" s="21">
        <v>4.0769230769230758</v>
      </c>
      <c r="M41" s="26">
        <v>4.2727272727272725</v>
      </c>
      <c r="N41" s="26">
        <v>4</v>
      </c>
    </row>
    <row r="42" spans="1:14" ht="23.95" customHeight="1">
      <c r="A42" s="8" t="s">
        <v>22</v>
      </c>
      <c r="B42" s="20" t="s">
        <v>71</v>
      </c>
      <c r="C42" s="20" t="s">
        <v>71</v>
      </c>
      <c r="D42" s="20" t="s">
        <v>71</v>
      </c>
      <c r="E42" s="21">
        <v>5</v>
      </c>
      <c r="F42" s="26">
        <v>4.5675675675675667</v>
      </c>
      <c r="G42" s="21">
        <v>4.8000000000000007</v>
      </c>
      <c r="H42" s="21">
        <v>4.6896551724137936</v>
      </c>
      <c r="I42" s="20" t="s">
        <v>71</v>
      </c>
      <c r="J42" s="21">
        <v>4.5925925925925934</v>
      </c>
      <c r="K42" s="26">
        <v>4.8333333333333321</v>
      </c>
      <c r="L42" s="21">
        <v>4.3076923076923084</v>
      </c>
      <c r="M42" s="26">
        <v>4</v>
      </c>
      <c r="N42" s="26">
        <v>4</v>
      </c>
    </row>
    <row r="43" spans="1:14" ht="23.95" customHeight="1">
      <c r="A43" s="9" t="s">
        <v>23</v>
      </c>
      <c r="B43" s="20" t="s">
        <v>71</v>
      </c>
      <c r="C43" s="20" t="s">
        <v>71</v>
      </c>
      <c r="D43" s="20" t="s">
        <v>71</v>
      </c>
      <c r="E43" s="21">
        <v>4.7946428571428568</v>
      </c>
      <c r="F43" s="26">
        <v>4.3124999999999991</v>
      </c>
      <c r="G43" s="21">
        <v>4.8468749999999998</v>
      </c>
      <c r="H43" s="21">
        <v>4.5150862068965498</v>
      </c>
      <c r="I43" s="20" t="s">
        <v>71</v>
      </c>
      <c r="J43" s="21">
        <v>4.5740740740740735</v>
      </c>
      <c r="K43" s="26">
        <v>4.7569444444444438</v>
      </c>
      <c r="L43" s="21">
        <v>4.0961538461538458</v>
      </c>
      <c r="M43" s="26">
        <v>3.9886363636363638</v>
      </c>
      <c r="N43" s="26">
        <v>3.6875</v>
      </c>
    </row>
    <row r="44" spans="1:14">
      <c r="A44" s="9" t="s">
        <v>24</v>
      </c>
      <c r="B44" s="72" t="s">
        <v>71</v>
      </c>
      <c r="C44" s="72" t="s">
        <v>71</v>
      </c>
      <c r="D44" s="72" t="s">
        <v>71</v>
      </c>
      <c r="E44" s="71">
        <f>E43*20</f>
        <v>95.892857142857139</v>
      </c>
      <c r="F44" s="71">
        <f>F43*20</f>
        <v>86.249999999999986</v>
      </c>
      <c r="G44" s="71">
        <f>G43*20</f>
        <v>96.9375</v>
      </c>
      <c r="H44" s="71">
        <f>H43*20</f>
        <v>90.301724137930989</v>
      </c>
      <c r="I44" s="72" t="s">
        <v>71</v>
      </c>
      <c r="J44" s="71">
        <f>J43*20</f>
        <v>91.481481481481467</v>
      </c>
      <c r="K44" s="71">
        <f>K43*20</f>
        <v>95.138888888888872</v>
      </c>
      <c r="L44" s="71">
        <f>L43*20</f>
        <v>81.92307692307692</v>
      </c>
      <c r="M44" s="71">
        <f>M43*20</f>
        <v>79.77272727272728</v>
      </c>
      <c r="N44" s="71">
        <f>N43*20</f>
        <v>73.75</v>
      </c>
    </row>
    <row r="45" spans="1:14">
      <c r="A45" s="17" t="s">
        <v>61</v>
      </c>
      <c r="B45" s="23" t="s">
        <v>71</v>
      </c>
      <c r="C45" s="23" t="s">
        <v>71</v>
      </c>
      <c r="D45" s="23" t="s">
        <v>71</v>
      </c>
      <c r="E45" s="70">
        <v>100</v>
      </c>
      <c r="F45" s="70">
        <v>97.3</v>
      </c>
      <c r="G45" s="70">
        <v>100</v>
      </c>
      <c r="H45" s="70">
        <v>100</v>
      </c>
      <c r="I45" s="23" t="s">
        <v>71</v>
      </c>
      <c r="J45" s="70">
        <v>100</v>
      </c>
      <c r="K45" s="70">
        <v>100</v>
      </c>
      <c r="L45" s="70">
        <v>100</v>
      </c>
      <c r="M45" s="24">
        <v>72.727272727272734</v>
      </c>
      <c r="N45" s="70">
        <v>100</v>
      </c>
    </row>
    <row r="47" spans="1:14" ht="23.95" customHeight="1"/>
    <row r="48" spans="1:14" s="15" customFormat="1" ht="23.95" customHeight="1">
      <c r="A48" s="6" t="s">
        <v>0</v>
      </c>
      <c r="B48" s="5" t="s">
        <v>63</v>
      </c>
      <c r="C48" s="5" t="s">
        <v>27</v>
      </c>
      <c r="D48" s="5" t="s">
        <v>65</v>
      </c>
      <c r="E48" s="5" t="s">
        <v>29</v>
      </c>
      <c r="F48" s="18" t="s">
        <v>69</v>
      </c>
      <c r="G48" s="5" t="s">
        <v>30</v>
      </c>
      <c r="H48" s="5" t="s">
        <v>31</v>
      </c>
      <c r="I48" s="5" t="s">
        <v>32</v>
      </c>
      <c r="J48" s="5" t="s">
        <v>33</v>
      </c>
      <c r="K48" s="5" t="s">
        <v>34</v>
      </c>
      <c r="L48" s="5" t="s">
        <v>64</v>
      </c>
      <c r="M48" s="5" t="s">
        <v>35</v>
      </c>
      <c r="N48" s="5" t="s">
        <v>36</v>
      </c>
    </row>
    <row r="49" spans="1:14" s="29" customFormat="1" ht="23.95" customHeight="1">
      <c r="A49" s="9" t="s">
        <v>9</v>
      </c>
      <c r="B49" s="27">
        <v>28</v>
      </c>
      <c r="C49" s="34">
        <v>54</v>
      </c>
      <c r="D49" s="27">
        <v>31</v>
      </c>
      <c r="E49" s="27">
        <v>14</v>
      </c>
      <c r="F49" s="27">
        <v>4</v>
      </c>
      <c r="G49" s="27">
        <v>69</v>
      </c>
      <c r="H49" s="27">
        <v>69</v>
      </c>
      <c r="I49" s="27" t="s">
        <v>71</v>
      </c>
      <c r="J49" s="30">
        <v>41</v>
      </c>
      <c r="K49" s="31">
        <v>76</v>
      </c>
      <c r="L49" s="27">
        <v>94</v>
      </c>
      <c r="M49" s="27">
        <v>25</v>
      </c>
      <c r="N49" s="27">
        <v>91</v>
      </c>
    </row>
    <row r="50" spans="1:14" ht="23.95" customHeight="1">
      <c r="A50" s="8" t="s">
        <v>26</v>
      </c>
      <c r="B50" s="22">
        <v>4.4642857142857135</v>
      </c>
      <c r="C50" s="35">
        <v>4.5740740740740744</v>
      </c>
      <c r="D50" s="22">
        <v>4.6129032258064511</v>
      </c>
      <c r="E50" s="22">
        <v>4.7142857142857135</v>
      </c>
      <c r="F50" s="22">
        <v>5</v>
      </c>
      <c r="G50" s="22">
        <v>4.449275362318839</v>
      </c>
      <c r="H50" s="22">
        <v>4.6956521739130457</v>
      </c>
      <c r="I50" s="20" t="s">
        <v>71</v>
      </c>
      <c r="J50" s="22">
        <v>4.6341463414634143</v>
      </c>
      <c r="K50" s="22">
        <v>4.6184210526315788</v>
      </c>
      <c r="L50" s="22">
        <v>4.574468085106381</v>
      </c>
      <c r="M50" s="22">
        <v>4.5999999999999988</v>
      </c>
      <c r="N50" s="25">
        <v>4.604395604395604</v>
      </c>
    </row>
    <row r="51" spans="1:14" ht="23.95" customHeight="1">
      <c r="A51" s="8" t="s">
        <v>59</v>
      </c>
      <c r="B51" s="22">
        <v>4.5</v>
      </c>
      <c r="C51" s="35">
        <v>4.5000000000000018</v>
      </c>
      <c r="D51" s="22">
        <v>4.5483870967741931</v>
      </c>
      <c r="E51" s="22">
        <v>4.6428571428571432</v>
      </c>
      <c r="F51" s="22">
        <v>5</v>
      </c>
      <c r="G51" s="22">
        <v>4.4782608695652169</v>
      </c>
      <c r="H51" s="22">
        <v>4.6376811594202909</v>
      </c>
      <c r="I51" s="20" t="s">
        <v>71</v>
      </c>
      <c r="J51" s="22">
        <v>4.5609756097560981</v>
      </c>
      <c r="K51" s="22">
        <v>4.5789473684210522</v>
      </c>
      <c r="L51" s="22">
        <v>4.4468085106382986</v>
      </c>
      <c r="M51" s="22">
        <v>4.6399999999999997</v>
      </c>
      <c r="N51" s="25">
        <v>4.593406593406594</v>
      </c>
    </row>
    <row r="52" spans="1:14" ht="23.95" customHeight="1">
      <c r="A52" s="8" t="s">
        <v>60</v>
      </c>
      <c r="B52" s="22">
        <v>4.5714285714285694</v>
      </c>
      <c r="C52" s="35">
        <v>4.4814814814814827</v>
      </c>
      <c r="D52" s="22">
        <v>4.6129032258064511</v>
      </c>
      <c r="E52" s="22">
        <v>4.7142857142857144</v>
      </c>
      <c r="F52" s="22">
        <v>4.75</v>
      </c>
      <c r="G52" s="22">
        <v>4.4202898550724665</v>
      </c>
      <c r="H52" s="22">
        <v>4.6086956521739131</v>
      </c>
      <c r="I52" s="20" t="s">
        <v>71</v>
      </c>
      <c r="J52" s="22">
        <v>4.48780487804878</v>
      </c>
      <c r="K52" s="22">
        <v>4.4868421052631557</v>
      </c>
      <c r="L52" s="22">
        <v>4.457446808510638</v>
      </c>
      <c r="M52" s="22">
        <v>4.4799999999999995</v>
      </c>
      <c r="N52" s="25">
        <v>4.6373626373626369</v>
      </c>
    </row>
    <row r="53" spans="1:14" ht="23.95" customHeight="1">
      <c r="A53" s="8" t="s">
        <v>10</v>
      </c>
      <c r="B53" s="22">
        <v>4.6071428571428568</v>
      </c>
      <c r="C53" s="35">
        <v>4.4629629629629637</v>
      </c>
      <c r="D53" s="22">
        <v>4.5161290322580649</v>
      </c>
      <c r="E53" s="22">
        <v>4.4285714285714279</v>
      </c>
      <c r="F53" s="22">
        <v>5</v>
      </c>
      <c r="G53" s="22">
        <v>4.3768115942028984</v>
      </c>
      <c r="H53" s="22">
        <v>4.6086956521739149</v>
      </c>
      <c r="I53" s="20" t="s">
        <v>71</v>
      </c>
      <c r="J53" s="22">
        <v>4.6097560975609762</v>
      </c>
      <c r="K53" s="22">
        <v>4.473684210526315</v>
      </c>
      <c r="L53" s="22">
        <v>4.3723404255319158</v>
      </c>
      <c r="M53" s="22">
        <v>4.4799999999999995</v>
      </c>
      <c r="N53" s="25">
        <v>4.6153846153846159</v>
      </c>
    </row>
    <row r="54" spans="1:14" ht="23.95" customHeight="1">
      <c r="A54" s="8" t="s">
        <v>11</v>
      </c>
      <c r="B54" s="22">
        <v>4.5714285714285703</v>
      </c>
      <c r="C54" s="35">
        <v>4.4259259259259283</v>
      </c>
      <c r="D54" s="22">
        <v>4.5806451612903221</v>
      </c>
      <c r="E54" s="22">
        <v>4.2857142857142847</v>
      </c>
      <c r="F54" s="22">
        <v>5</v>
      </c>
      <c r="G54" s="22">
        <v>4.3188405797101446</v>
      </c>
      <c r="H54" s="22">
        <v>4.5797101449275388</v>
      </c>
      <c r="I54" s="20" t="s">
        <v>71</v>
      </c>
      <c r="J54" s="22">
        <v>4.4390243902439019</v>
      </c>
      <c r="K54" s="22">
        <v>4.473684210526315</v>
      </c>
      <c r="L54" s="22">
        <v>4.382978723404257</v>
      </c>
      <c r="M54" s="22">
        <v>4.4000000000000004</v>
      </c>
      <c r="N54" s="25">
        <v>4.5494505494505511</v>
      </c>
    </row>
    <row r="55" spans="1:14" ht="23.95" customHeight="1">
      <c r="A55" s="8" t="s">
        <v>12</v>
      </c>
      <c r="B55" s="22">
        <v>4.3928571428571432</v>
      </c>
      <c r="C55" s="35">
        <v>4.4259259259259256</v>
      </c>
      <c r="D55" s="22">
        <v>4.6774193548387091</v>
      </c>
      <c r="E55" s="22">
        <v>4.4285714285714279</v>
      </c>
      <c r="F55" s="22">
        <v>5</v>
      </c>
      <c r="G55" s="22">
        <v>4.4347826086956541</v>
      </c>
      <c r="H55" s="22">
        <v>4.5507246376811592</v>
      </c>
      <c r="I55" s="20" t="s">
        <v>71</v>
      </c>
      <c r="J55" s="22">
        <v>4.4146341463414629</v>
      </c>
      <c r="K55" s="22">
        <v>4.5263157894736832</v>
      </c>
      <c r="L55" s="22">
        <v>4.3829787234042561</v>
      </c>
      <c r="M55" s="22">
        <v>4.5599999999999978</v>
      </c>
      <c r="N55" s="25">
        <v>4.5054945054945055</v>
      </c>
    </row>
    <row r="56" spans="1:14" ht="23.95" customHeight="1">
      <c r="A56" s="8" t="s">
        <v>13</v>
      </c>
      <c r="B56" s="22">
        <v>4.4642857142857135</v>
      </c>
      <c r="C56" s="35">
        <v>4.5555555555555571</v>
      </c>
      <c r="D56" s="22">
        <v>4.6129032258064511</v>
      </c>
      <c r="E56" s="22">
        <v>4.4285714285714279</v>
      </c>
      <c r="F56" s="22">
        <v>5</v>
      </c>
      <c r="G56" s="22">
        <v>4.4347826086956497</v>
      </c>
      <c r="H56" s="22">
        <v>4.6956521739130439</v>
      </c>
      <c r="I56" s="20" t="s">
        <v>71</v>
      </c>
      <c r="J56" s="22">
        <v>4.5365853658536581</v>
      </c>
      <c r="K56" s="22">
        <v>4.5394736842105257</v>
      </c>
      <c r="L56" s="22">
        <v>4.4468085106382977</v>
      </c>
      <c r="M56" s="22">
        <v>4.6399999999999997</v>
      </c>
      <c r="N56" s="25">
        <v>4.5824175824175821</v>
      </c>
    </row>
    <row r="57" spans="1:14" ht="23.95" customHeight="1">
      <c r="A57" s="8" t="s">
        <v>14</v>
      </c>
      <c r="B57" s="22">
        <v>4.4642857142857135</v>
      </c>
      <c r="C57" s="35">
        <v>4.4629629629629628</v>
      </c>
      <c r="D57" s="22">
        <v>4.5806451612903221</v>
      </c>
      <c r="E57" s="22">
        <v>4.5</v>
      </c>
      <c r="F57" s="22">
        <v>5</v>
      </c>
      <c r="G57" s="22">
        <v>4.3623188405797109</v>
      </c>
      <c r="H57" s="22">
        <v>4.5797101449275379</v>
      </c>
      <c r="I57" s="20" t="s">
        <v>71</v>
      </c>
      <c r="J57" s="22">
        <v>4.463414634146341</v>
      </c>
      <c r="K57" s="22">
        <v>4.5263157894736841</v>
      </c>
      <c r="L57" s="22">
        <v>4.3085106382978724</v>
      </c>
      <c r="M57" s="22">
        <v>4.5199999999999996</v>
      </c>
      <c r="N57" s="25">
        <v>4.4835164835164827</v>
      </c>
    </row>
    <row r="58" spans="1:14" ht="23.95" customHeight="1">
      <c r="A58" s="8" t="s">
        <v>15</v>
      </c>
      <c r="B58" s="22">
        <v>4.5357142857142856</v>
      </c>
      <c r="C58" s="35">
        <v>4.5185185185185199</v>
      </c>
      <c r="D58" s="22">
        <v>4.6129032258064511</v>
      </c>
      <c r="E58" s="22">
        <v>4.4285714285714279</v>
      </c>
      <c r="F58" s="22">
        <v>5</v>
      </c>
      <c r="G58" s="22">
        <v>4.4492753623188399</v>
      </c>
      <c r="H58" s="22">
        <v>4.6811594202898572</v>
      </c>
      <c r="I58" s="20" t="s">
        <v>71</v>
      </c>
      <c r="J58" s="22">
        <v>4.5853658536585371</v>
      </c>
      <c r="K58" s="22">
        <v>4.6052631578947372</v>
      </c>
      <c r="L58" s="22">
        <v>4.5212765957446814</v>
      </c>
      <c r="M58" s="22">
        <v>4.7200000000000015</v>
      </c>
      <c r="N58" s="25">
        <v>4.5934065934065957</v>
      </c>
    </row>
    <row r="59" spans="1:14" ht="23.95" customHeight="1">
      <c r="A59" s="8" t="s">
        <v>16</v>
      </c>
      <c r="B59" s="22">
        <v>4.3928571428571432</v>
      </c>
      <c r="C59" s="35">
        <v>4.5185185185185182</v>
      </c>
      <c r="D59" s="22">
        <v>4.6774193548387091</v>
      </c>
      <c r="E59" s="22">
        <v>4.3571428571428568</v>
      </c>
      <c r="F59" s="22">
        <v>5</v>
      </c>
      <c r="G59" s="22">
        <v>4.3913043478260878</v>
      </c>
      <c r="H59" s="22">
        <v>4.5652173913043503</v>
      </c>
      <c r="I59" s="20" t="s">
        <v>71</v>
      </c>
      <c r="J59" s="22">
        <v>4.5609756097560989</v>
      </c>
      <c r="K59" s="22">
        <v>4.5394736842105248</v>
      </c>
      <c r="L59" s="22">
        <v>4.4468085106382986</v>
      </c>
      <c r="M59" s="22">
        <v>4.5999999999999979</v>
      </c>
      <c r="N59" s="25">
        <v>4.5934065934065949</v>
      </c>
    </row>
    <row r="60" spans="1:14" ht="23.95" customHeight="1">
      <c r="A60" s="8" t="s">
        <v>17</v>
      </c>
      <c r="B60" s="22">
        <v>4.5</v>
      </c>
      <c r="C60" s="35">
        <v>4.4444444444444446</v>
      </c>
      <c r="D60" s="22">
        <v>4.6129032258064511</v>
      </c>
      <c r="E60" s="22">
        <v>4.5714285714285712</v>
      </c>
      <c r="F60" s="22">
        <v>5</v>
      </c>
      <c r="G60" s="22">
        <v>4.36231884057971</v>
      </c>
      <c r="H60" s="22">
        <v>4.5797101449275397</v>
      </c>
      <c r="I60" s="20" t="s">
        <v>71</v>
      </c>
      <c r="J60" s="22">
        <v>4.5609756097560989</v>
      </c>
      <c r="K60" s="22">
        <v>4.5</v>
      </c>
      <c r="L60" s="22">
        <v>4.4787234042553168</v>
      </c>
      <c r="M60" s="22">
        <v>4.6399999999999988</v>
      </c>
      <c r="N60" s="25">
        <v>4.5494505494505519</v>
      </c>
    </row>
    <row r="61" spans="1:14" ht="23.95" customHeight="1">
      <c r="A61" s="8" t="s">
        <v>18</v>
      </c>
      <c r="B61" s="22">
        <v>4.5357142857142847</v>
      </c>
      <c r="C61" s="35">
        <v>4.4259259259259274</v>
      </c>
      <c r="D61" s="22">
        <v>4.4838709677419351</v>
      </c>
      <c r="E61" s="22">
        <v>4.5714285714285712</v>
      </c>
      <c r="F61" s="22">
        <v>4.75</v>
      </c>
      <c r="G61" s="22">
        <v>4.3478260869565206</v>
      </c>
      <c r="H61" s="22">
        <v>4.579710144927537</v>
      </c>
      <c r="I61" s="20" t="s">
        <v>71</v>
      </c>
      <c r="J61" s="22">
        <v>4.5121951219512191</v>
      </c>
      <c r="K61" s="22">
        <v>4.5131578947368434</v>
      </c>
      <c r="L61" s="22">
        <v>4.3510638297872335</v>
      </c>
      <c r="M61" s="22">
        <v>4.4000000000000004</v>
      </c>
      <c r="N61" s="25">
        <v>4.52747252747253</v>
      </c>
    </row>
    <row r="62" spans="1:14" ht="23.95" customHeight="1">
      <c r="A62" s="8" t="s">
        <v>19</v>
      </c>
      <c r="B62" s="22">
        <v>4.5357142857142856</v>
      </c>
      <c r="C62" s="35">
        <v>4.4814814814814827</v>
      </c>
      <c r="D62" s="22">
        <v>4.5806451612903221</v>
      </c>
      <c r="E62" s="22">
        <v>4.3571428571428568</v>
      </c>
      <c r="F62" s="22">
        <v>5</v>
      </c>
      <c r="G62" s="22">
        <v>4.3913043478260869</v>
      </c>
      <c r="H62" s="22">
        <v>4.5652173913043494</v>
      </c>
      <c r="I62" s="20" t="s">
        <v>71</v>
      </c>
      <c r="J62" s="22">
        <v>4.48780487804878</v>
      </c>
      <c r="K62" s="22">
        <v>4.5131578947368434</v>
      </c>
      <c r="L62" s="22">
        <v>4.372340425531914</v>
      </c>
      <c r="M62" s="22">
        <v>4.5599999999999996</v>
      </c>
      <c r="N62" s="25">
        <v>4.5384615384615401</v>
      </c>
    </row>
    <row r="63" spans="1:14" ht="23.95" customHeight="1">
      <c r="A63" s="8" t="s">
        <v>20</v>
      </c>
      <c r="B63" s="22">
        <v>4.4642857142857135</v>
      </c>
      <c r="C63" s="35">
        <v>4.5555555555555562</v>
      </c>
      <c r="D63" s="22">
        <v>4.5161290322580649</v>
      </c>
      <c r="E63" s="22">
        <v>4.3571428571428568</v>
      </c>
      <c r="F63" s="22">
        <v>5</v>
      </c>
      <c r="G63" s="22">
        <v>4.4057971014492727</v>
      </c>
      <c r="H63" s="22">
        <v>4.5797101449275397</v>
      </c>
      <c r="I63" s="20" t="s">
        <v>71</v>
      </c>
      <c r="J63" s="22">
        <v>4.6097560975609744</v>
      </c>
      <c r="K63" s="22">
        <v>4.5657894736842097</v>
      </c>
      <c r="L63" s="22">
        <v>4.3510638297872317</v>
      </c>
      <c r="M63" s="22">
        <v>4.6399999999999997</v>
      </c>
      <c r="N63" s="25">
        <v>4.5714285714285703</v>
      </c>
    </row>
    <row r="64" spans="1:14" ht="23.95" customHeight="1">
      <c r="A64" s="8" t="s">
        <v>21</v>
      </c>
      <c r="B64" s="22">
        <v>4.4999999999999991</v>
      </c>
      <c r="C64" s="35">
        <v>4.4629629629629628</v>
      </c>
      <c r="D64" s="22">
        <v>4.6129032258064511</v>
      </c>
      <c r="E64" s="22">
        <v>4.3571428571428568</v>
      </c>
      <c r="F64" s="22">
        <v>5</v>
      </c>
      <c r="G64" s="22">
        <v>4.4492753623188399</v>
      </c>
      <c r="H64" s="22">
        <v>4.5362318840579725</v>
      </c>
      <c r="I64" s="20" t="s">
        <v>71</v>
      </c>
      <c r="J64" s="22">
        <v>4.6097560975609744</v>
      </c>
      <c r="K64" s="22">
        <v>4.5657894736842097</v>
      </c>
      <c r="L64" s="22">
        <v>4.3936170212765964</v>
      </c>
      <c r="M64" s="22">
        <v>4.6800000000000015</v>
      </c>
      <c r="N64" s="25">
        <v>4.6043956043956031</v>
      </c>
    </row>
    <row r="65" spans="1:16" ht="23.95" customHeight="1">
      <c r="A65" s="8" t="s">
        <v>22</v>
      </c>
      <c r="B65" s="22">
        <v>4.6071428571428559</v>
      </c>
      <c r="C65" s="35">
        <v>4.6111111111111107</v>
      </c>
      <c r="D65" s="22">
        <v>4.6451612903225801</v>
      </c>
      <c r="E65" s="22">
        <v>4.4285714285714279</v>
      </c>
      <c r="F65" s="22">
        <v>5</v>
      </c>
      <c r="G65" s="22">
        <v>4.507246376811592</v>
      </c>
      <c r="H65" s="22">
        <v>4.6956521739130448</v>
      </c>
      <c r="I65" s="20" t="s">
        <v>71</v>
      </c>
      <c r="J65" s="22">
        <v>4.6341463414634143</v>
      </c>
      <c r="K65" s="22">
        <v>4.6184210526315796</v>
      </c>
      <c r="L65" s="22">
        <v>4.6063829787234036</v>
      </c>
      <c r="M65" s="22">
        <v>4.6800000000000006</v>
      </c>
      <c r="N65" s="25">
        <v>4.6483516483516469</v>
      </c>
    </row>
    <row r="66" spans="1:16" ht="23.95" customHeight="1">
      <c r="A66" s="9" t="s">
        <v>23</v>
      </c>
      <c r="B66" s="88">
        <v>4.5066964285714288</v>
      </c>
      <c r="C66" s="89">
        <v>4.4942129629629619</v>
      </c>
      <c r="D66" s="88">
        <v>4.5927419354838701</v>
      </c>
      <c r="E66" s="88">
        <v>4.4732142857142856</v>
      </c>
      <c r="F66" s="88">
        <v>4.96875</v>
      </c>
      <c r="G66" s="88">
        <v>4.4112318840579698</v>
      </c>
      <c r="H66" s="88">
        <v>4.6086956521739149</v>
      </c>
      <c r="I66" s="90" t="s">
        <v>71</v>
      </c>
      <c r="J66" s="88">
        <v>4.5442073170731696</v>
      </c>
      <c r="K66" s="88">
        <v>4.5402960526315761</v>
      </c>
      <c r="L66" s="88">
        <v>4.4308510638297856</v>
      </c>
      <c r="M66" s="88">
        <v>4.5775000000000006</v>
      </c>
      <c r="N66" s="91">
        <v>4.5748626373626395</v>
      </c>
    </row>
    <row r="67" spans="1:16">
      <c r="A67" s="9" t="s">
        <v>24</v>
      </c>
      <c r="B67" s="71">
        <f t="shared" ref="B67:H67" si="1">B66*20</f>
        <v>90.133928571428584</v>
      </c>
      <c r="C67" s="71">
        <f t="shared" si="1"/>
        <v>89.884259259259238</v>
      </c>
      <c r="D67" s="71">
        <f t="shared" si="1"/>
        <v>91.854838709677409</v>
      </c>
      <c r="E67" s="71">
        <f t="shared" si="1"/>
        <v>89.464285714285708</v>
      </c>
      <c r="F67" s="71">
        <f t="shared" si="1"/>
        <v>99.375</v>
      </c>
      <c r="G67" s="71">
        <f t="shared" si="1"/>
        <v>88.224637681159393</v>
      </c>
      <c r="H67" s="71">
        <f t="shared" si="1"/>
        <v>92.173913043478294</v>
      </c>
      <c r="I67" s="72" t="s">
        <v>71</v>
      </c>
      <c r="J67" s="71">
        <f>J66*20</f>
        <v>90.884146341463392</v>
      </c>
      <c r="K67" s="71">
        <f>K66*20</f>
        <v>90.805921052631518</v>
      </c>
      <c r="L67" s="71">
        <f>L66*20</f>
        <v>88.617021276595707</v>
      </c>
      <c r="M67" s="71">
        <f>M66*20</f>
        <v>91.550000000000011</v>
      </c>
      <c r="N67" s="71">
        <f>N66*20</f>
        <v>91.497252747252787</v>
      </c>
    </row>
    <row r="68" spans="1:16">
      <c r="A68" s="17" t="s">
        <v>61</v>
      </c>
      <c r="B68" s="70">
        <v>100</v>
      </c>
      <c r="C68" s="70">
        <v>100</v>
      </c>
      <c r="D68" s="70">
        <v>100</v>
      </c>
      <c r="E68" s="70">
        <v>100</v>
      </c>
      <c r="F68" s="70">
        <v>100</v>
      </c>
      <c r="G68" s="73">
        <v>98.550724637681199</v>
      </c>
      <c r="H68" s="73">
        <v>98.550724637681199</v>
      </c>
      <c r="I68" s="23" t="s">
        <v>71</v>
      </c>
      <c r="J68" s="70">
        <v>100</v>
      </c>
      <c r="K68" s="70">
        <v>100</v>
      </c>
      <c r="L68" s="70">
        <v>100</v>
      </c>
      <c r="M68" s="70">
        <v>100</v>
      </c>
      <c r="N68" s="70">
        <v>100</v>
      </c>
    </row>
    <row r="70" spans="1:16" ht="23.95" customHeight="1"/>
    <row r="71" spans="1:16" s="15" customFormat="1" ht="23.95" customHeight="1">
      <c r="A71" s="7" t="s">
        <v>0</v>
      </c>
      <c r="B71" s="5" t="s">
        <v>37</v>
      </c>
      <c r="C71" s="5" t="s">
        <v>38</v>
      </c>
      <c r="D71" s="5" t="s">
        <v>39</v>
      </c>
      <c r="E71" s="10" t="s">
        <v>40</v>
      </c>
      <c r="F71" s="5" t="s">
        <v>41</v>
      </c>
      <c r="G71" s="5" t="s">
        <v>42</v>
      </c>
      <c r="H71" s="5" t="s">
        <v>43</v>
      </c>
      <c r="I71" s="5" t="s">
        <v>44</v>
      </c>
      <c r="J71" s="5" t="s">
        <v>45</v>
      </c>
      <c r="K71" s="5" t="s">
        <v>46</v>
      </c>
      <c r="L71" s="5" t="s">
        <v>47</v>
      </c>
      <c r="M71" s="5" t="s">
        <v>28</v>
      </c>
      <c r="N71" s="5" t="s">
        <v>83</v>
      </c>
      <c r="O71" s="29"/>
      <c r="P71" s="3"/>
    </row>
    <row r="72" spans="1:16" s="29" customFormat="1" ht="23.95" customHeight="1">
      <c r="A72" s="9" t="s">
        <v>9</v>
      </c>
      <c r="B72" s="27">
        <v>18</v>
      </c>
      <c r="C72" s="27">
        <v>5</v>
      </c>
      <c r="D72" s="27">
        <v>38</v>
      </c>
      <c r="E72" s="27">
        <v>41</v>
      </c>
      <c r="F72" s="27">
        <v>67</v>
      </c>
      <c r="G72" s="27">
        <v>57</v>
      </c>
      <c r="H72" s="27">
        <v>55</v>
      </c>
      <c r="I72" s="27">
        <v>49</v>
      </c>
      <c r="J72" s="27">
        <v>92</v>
      </c>
      <c r="K72" s="27" t="s">
        <v>71</v>
      </c>
      <c r="L72" s="20">
        <v>51</v>
      </c>
      <c r="M72" s="20">
        <v>20</v>
      </c>
      <c r="N72" s="27" t="s">
        <v>71</v>
      </c>
      <c r="O72" s="3"/>
      <c r="P72" s="75"/>
    </row>
    <row r="73" spans="1:16" ht="23.95" customHeight="1">
      <c r="A73" s="8" t="s">
        <v>26</v>
      </c>
      <c r="B73" s="22">
        <v>4.5555555555555545</v>
      </c>
      <c r="C73" s="22">
        <v>4.4000000000000004</v>
      </c>
      <c r="D73" s="22">
        <v>4.7894736842105265</v>
      </c>
      <c r="E73" s="22">
        <v>4.609756097560977</v>
      </c>
      <c r="F73" s="22">
        <v>4.5671641791044779</v>
      </c>
      <c r="G73" s="22">
        <v>4.719298245614036</v>
      </c>
      <c r="H73" s="22">
        <v>4.7272727272727275</v>
      </c>
      <c r="I73" s="22">
        <v>4.795918367346939</v>
      </c>
      <c r="J73" s="22">
        <v>4.6956521739130448</v>
      </c>
      <c r="K73" s="20" t="s">
        <v>71</v>
      </c>
      <c r="L73" s="22">
        <v>4.6274509803921573</v>
      </c>
      <c r="M73" s="22">
        <v>4.6500000000000004</v>
      </c>
      <c r="N73" s="20" t="s">
        <v>71</v>
      </c>
    </row>
    <row r="74" spans="1:16" ht="23.95" customHeight="1">
      <c r="A74" s="8" t="s">
        <v>59</v>
      </c>
      <c r="B74" s="22">
        <v>4.666666666666667</v>
      </c>
      <c r="C74" s="22">
        <v>4.4000000000000004</v>
      </c>
      <c r="D74" s="22">
        <v>4.7631578947368434</v>
      </c>
      <c r="E74" s="22">
        <v>4.5365853658536599</v>
      </c>
      <c r="F74" s="22">
        <v>4.5522388059701511</v>
      </c>
      <c r="G74" s="22">
        <v>4.6491228070175445</v>
      </c>
      <c r="H74" s="22">
        <v>4.7818181818181822</v>
      </c>
      <c r="I74" s="22">
        <v>4.7755102040816331</v>
      </c>
      <c r="J74" s="22">
        <v>4.6630434782608701</v>
      </c>
      <c r="K74" s="20" t="s">
        <v>71</v>
      </c>
      <c r="L74" s="22">
        <v>4.5490196078431371</v>
      </c>
      <c r="M74" s="22">
        <v>4.6500000000000004</v>
      </c>
      <c r="N74" s="20" t="s">
        <v>71</v>
      </c>
    </row>
    <row r="75" spans="1:16" ht="23.95" customHeight="1">
      <c r="A75" s="8" t="s">
        <v>60</v>
      </c>
      <c r="B75" s="22">
        <v>4.7222222222222223</v>
      </c>
      <c r="C75" s="22">
        <v>4.4000000000000004</v>
      </c>
      <c r="D75" s="22">
        <v>4.8157894736842106</v>
      </c>
      <c r="E75" s="22">
        <v>4.5853658536585362</v>
      </c>
      <c r="F75" s="22">
        <v>4.552238805970152</v>
      </c>
      <c r="G75" s="22">
        <v>4.5789473684210513</v>
      </c>
      <c r="H75" s="22">
        <v>4.7636363636363646</v>
      </c>
      <c r="I75" s="22">
        <v>4.6938775510204103</v>
      </c>
      <c r="J75" s="22">
        <v>4.6304347826086953</v>
      </c>
      <c r="K75" s="20" t="s">
        <v>71</v>
      </c>
      <c r="L75" s="22">
        <v>4.5294117647058831</v>
      </c>
      <c r="M75" s="22">
        <v>4.55</v>
      </c>
      <c r="N75" s="20" t="s">
        <v>71</v>
      </c>
    </row>
    <row r="76" spans="1:16" ht="23.95" customHeight="1">
      <c r="A76" s="8" t="s">
        <v>10</v>
      </c>
      <c r="B76" s="22">
        <v>4.6111111111111116</v>
      </c>
      <c r="C76" s="22">
        <v>4.4000000000000004</v>
      </c>
      <c r="D76" s="22">
        <v>4.7894736842105257</v>
      </c>
      <c r="E76" s="22">
        <v>4.4878048780487809</v>
      </c>
      <c r="F76" s="22">
        <v>4.5223880597014938</v>
      </c>
      <c r="G76" s="22">
        <v>4.6315789473684221</v>
      </c>
      <c r="H76" s="22">
        <v>4.7818181818181831</v>
      </c>
      <c r="I76" s="22">
        <v>4.6734693877551008</v>
      </c>
      <c r="J76" s="22">
        <v>4.619565217391302</v>
      </c>
      <c r="K76" s="20" t="s">
        <v>71</v>
      </c>
      <c r="L76" s="22">
        <v>4.5294117647058822</v>
      </c>
      <c r="M76" s="22">
        <v>4.55</v>
      </c>
      <c r="N76" s="20" t="s">
        <v>71</v>
      </c>
    </row>
    <row r="77" spans="1:16" ht="23.95" customHeight="1">
      <c r="A77" s="8" t="s">
        <v>11</v>
      </c>
      <c r="B77" s="22">
        <v>4.6111111111111116</v>
      </c>
      <c r="C77" s="22">
        <v>4.4000000000000004</v>
      </c>
      <c r="D77" s="22">
        <v>4.6842105263157885</v>
      </c>
      <c r="E77" s="22">
        <v>4.5365853658536581</v>
      </c>
      <c r="F77" s="22">
        <v>4.3731343283582103</v>
      </c>
      <c r="G77" s="22">
        <v>4.5964912280701755</v>
      </c>
      <c r="H77" s="22">
        <v>4.709090909090909</v>
      </c>
      <c r="I77" s="22">
        <v>4.6938775510204076</v>
      </c>
      <c r="J77" s="22">
        <v>4.5652173913043494</v>
      </c>
      <c r="K77" s="20" t="s">
        <v>71</v>
      </c>
      <c r="L77" s="22">
        <v>4.5882352941176485</v>
      </c>
      <c r="M77" s="22">
        <v>4.5500000000000007</v>
      </c>
      <c r="N77" s="20" t="s">
        <v>71</v>
      </c>
    </row>
    <row r="78" spans="1:16" ht="23.95" customHeight="1">
      <c r="A78" s="8" t="s">
        <v>12</v>
      </c>
      <c r="B78" s="22">
        <v>4.6111111111111116</v>
      </c>
      <c r="C78" s="22">
        <v>4.2</v>
      </c>
      <c r="D78" s="22">
        <v>4.7105263157894752</v>
      </c>
      <c r="E78" s="22">
        <v>4.585365853658538</v>
      </c>
      <c r="F78" s="22">
        <v>4.3283582089552217</v>
      </c>
      <c r="G78" s="22">
        <v>4.6491228070175445</v>
      </c>
      <c r="H78" s="22">
        <v>4.6727272727272728</v>
      </c>
      <c r="I78" s="22">
        <v>4.6326530612244898</v>
      </c>
      <c r="J78" s="22">
        <v>4.5217391304347823</v>
      </c>
      <c r="K78" s="20" t="s">
        <v>71</v>
      </c>
      <c r="L78" s="22">
        <v>4.549019607843138</v>
      </c>
      <c r="M78" s="22">
        <v>4.5</v>
      </c>
      <c r="N78" s="20" t="s">
        <v>71</v>
      </c>
    </row>
    <row r="79" spans="1:16" ht="23.95" customHeight="1">
      <c r="A79" s="8" t="s">
        <v>13</v>
      </c>
      <c r="B79" s="22">
        <v>4.8333333333333321</v>
      </c>
      <c r="C79" s="22">
        <v>4.2</v>
      </c>
      <c r="D79" s="22">
        <v>4.7631578947368425</v>
      </c>
      <c r="E79" s="22">
        <v>4.5609756097560972</v>
      </c>
      <c r="F79" s="22">
        <v>4.522388059701492</v>
      </c>
      <c r="G79" s="22">
        <v>4.6666666666666679</v>
      </c>
      <c r="H79" s="22">
        <v>4.7272727272727284</v>
      </c>
      <c r="I79" s="22">
        <v>4.6938775510204094</v>
      </c>
      <c r="J79" s="22">
        <v>4.663043478260871</v>
      </c>
      <c r="K79" s="20" t="s">
        <v>71</v>
      </c>
      <c r="L79" s="22">
        <v>4.7058823529411775</v>
      </c>
      <c r="M79" s="22">
        <v>4.6500000000000004</v>
      </c>
      <c r="N79" s="20" t="s">
        <v>71</v>
      </c>
    </row>
    <row r="80" spans="1:16" ht="23.95" customHeight="1">
      <c r="A80" s="8" t="s">
        <v>14</v>
      </c>
      <c r="B80" s="22">
        <v>4.4999999999999991</v>
      </c>
      <c r="C80" s="22">
        <v>4.5999999999999996</v>
      </c>
      <c r="D80" s="22">
        <v>4.6315789473684195</v>
      </c>
      <c r="E80" s="22">
        <v>4.4146341463414638</v>
      </c>
      <c r="F80" s="22">
        <v>4.3880597014925371</v>
      </c>
      <c r="G80" s="22">
        <v>4.5789473684210522</v>
      </c>
      <c r="H80" s="22">
        <v>4.7272727272727275</v>
      </c>
      <c r="I80" s="22">
        <v>4.7142857142857135</v>
      </c>
      <c r="J80" s="22">
        <v>4.4782608695652177</v>
      </c>
      <c r="K80" s="20" t="s">
        <v>71</v>
      </c>
      <c r="L80" s="22">
        <v>4.549019607843138</v>
      </c>
      <c r="M80" s="22">
        <v>4.45</v>
      </c>
      <c r="N80" s="20" t="s">
        <v>71</v>
      </c>
    </row>
    <row r="81" spans="1:16" ht="23.95" customHeight="1">
      <c r="A81" s="8" t="s">
        <v>15</v>
      </c>
      <c r="B81" s="22">
        <v>4.7222222222222205</v>
      </c>
      <c r="C81" s="22">
        <v>4.5999999999999996</v>
      </c>
      <c r="D81" s="22">
        <v>4.7105263157894743</v>
      </c>
      <c r="E81" s="22">
        <v>4.5121951219512191</v>
      </c>
      <c r="F81" s="22">
        <v>4.567164179104477</v>
      </c>
      <c r="G81" s="22">
        <v>4.6842105263157894</v>
      </c>
      <c r="H81" s="22">
        <v>4.7090909090909117</v>
      </c>
      <c r="I81" s="22">
        <v>4.6938775510204094</v>
      </c>
      <c r="J81" s="22">
        <v>4.6195652173913047</v>
      </c>
      <c r="K81" s="20" t="s">
        <v>71</v>
      </c>
      <c r="L81" s="22">
        <v>4.6470588235294112</v>
      </c>
      <c r="M81" s="22">
        <v>4.5999999999999996</v>
      </c>
      <c r="N81" s="20" t="s">
        <v>71</v>
      </c>
    </row>
    <row r="82" spans="1:16" ht="23.95" customHeight="1">
      <c r="A82" s="8" t="s">
        <v>16</v>
      </c>
      <c r="B82" s="22">
        <v>4.5555555555555554</v>
      </c>
      <c r="C82" s="22">
        <v>4.4000000000000004</v>
      </c>
      <c r="D82" s="22">
        <v>4.6315789473684212</v>
      </c>
      <c r="E82" s="22">
        <v>4.585365853658538</v>
      </c>
      <c r="F82" s="22">
        <v>4.4477611940298507</v>
      </c>
      <c r="G82" s="22">
        <v>4.614035087719297</v>
      </c>
      <c r="H82" s="22">
        <v>4.6909090909090914</v>
      </c>
      <c r="I82" s="22">
        <v>4.7755102040816331</v>
      </c>
      <c r="J82" s="22">
        <v>4.5760869565217392</v>
      </c>
      <c r="K82" s="20" t="s">
        <v>71</v>
      </c>
      <c r="L82" s="22">
        <v>4.6078431372549034</v>
      </c>
      <c r="M82" s="22">
        <v>4.6500000000000004</v>
      </c>
      <c r="N82" s="20" t="s">
        <v>71</v>
      </c>
    </row>
    <row r="83" spans="1:16" ht="23.95" customHeight="1">
      <c r="A83" s="8" t="s">
        <v>17</v>
      </c>
      <c r="B83" s="22">
        <v>4.7222222222222214</v>
      </c>
      <c r="C83" s="22">
        <v>4.2</v>
      </c>
      <c r="D83" s="22">
        <v>4.6842105263157903</v>
      </c>
      <c r="E83" s="22">
        <v>4.5365853658536581</v>
      </c>
      <c r="F83" s="22">
        <v>4.4179104477611943</v>
      </c>
      <c r="G83" s="22">
        <v>4.7368421052631584</v>
      </c>
      <c r="H83" s="22">
        <v>4.7818181818181822</v>
      </c>
      <c r="I83" s="22">
        <v>4.6734693877551008</v>
      </c>
      <c r="J83" s="22">
        <v>4.6195652173913029</v>
      </c>
      <c r="K83" s="20" t="s">
        <v>71</v>
      </c>
      <c r="L83" s="22">
        <v>4.6666666666666679</v>
      </c>
      <c r="M83" s="22">
        <v>4.6500000000000004</v>
      </c>
      <c r="N83" s="20" t="s">
        <v>71</v>
      </c>
    </row>
    <row r="84" spans="1:16" ht="23.95" customHeight="1">
      <c r="A84" s="8" t="s">
        <v>18</v>
      </c>
      <c r="B84" s="22">
        <v>4.7222222222222223</v>
      </c>
      <c r="C84" s="22">
        <v>4.4000000000000004</v>
      </c>
      <c r="D84" s="22">
        <v>4.7105263157894743</v>
      </c>
      <c r="E84" s="22">
        <v>4.4634146341463419</v>
      </c>
      <c r="F84" s="22">
        <v>4.4776119402985062</v>
      </c>
      <c r="G84" s="22">
        <v>4.6491228070175454</v>
      </c>
      <c r="H84" s="22">
        <v>4.7818181818181831</v>
      </c>
      <c r="I84" s="22">
        <v>4.6530612244897949</v>
      </c>
      <c r="J84" s="22">
        <v>4.5434782608695663</v>
      </c>
      <c r="K84" s="20" t="s">
        <v>71</v>
      </c>
      <c r="L84" s="22">
        <v>4.5882352941176476</v>
      </c>
      <c r="M84" s="22">
        <v>4.4000000000000004</v>
      </c>
      <c r="N84" s="20" t="s">
        <v>71</v>
      </c>
    </row>
    <row r="85" spans="1:16" ht="23.95" customHeight="1">
      <c r="A85" s="8" t="s">
        <v>19</v>
      </c>
      <c r="B85" s="22">
        <v>4.666666666666667</v>
      </c>
      <c r="C85" s="22">
        <v>4.4000000000000004</v>
      </c>
      <c r="D85" s="22">
        <v>4.7105263157894735</v>
      </c>
      <c r="E85" s="22">
        <v>4.5609756097560981</v>
      </c>
      <c r="F85" s="22">
        <v>4.4477611940298498</v>
      </c>
      <c r="G85" s="22">
        <v>4.666666666666667</v>
      </c>
      <c r="H85" s="22">
        <v>4.7454545454545469</v>
      </c>
      <c r="I85" s="22">
        <v>4.6734693877551008</v>
      </c>
      <c r="J85" s="22">
        <v>4.5434782608695663</v>
      </c>
      <c r="K85" s="20" t="s">
        <v>71</v>
      </c>
      <c r="L85" s="22">
        <v>4.6274509803921573</v>
      </c>
      <c r="M85" s="22">
        <v>4.5500000000000007</v>
      </c>
      <c r="N85" s="20" t="s">
        <v>71</v>
      </c>
    </row>
    <row r="86" spans="1:16" ht="23.95" customHeight="1">
      <c r="A86" s="8" t="s">
        <v>20</v>
      </c>
      <c r="B86" s="22">
        <v>4.6111111111111107</v>
      </c>
      <c r="C86" s="22">
        <v>4.2</v>
      </c>
      <c r="D86" s="22">
        <v>4.7105263157894735</v>
      </c>
      <c r="E86" s="22">
        <v>4.5365853658536581</v>
      </c>
      <c r="F86" s="22">
        <v>4.5074626865671643</v>
      </c>
      <c r="G86" s="22">
        <v>4.6842105263157903</v>
      </c>
      <c r="H86" s="22">
        <v>4.7272727272727293</v>
      </c>
      <c r="I86" s="22">
        <v>4.7142857142857153</v>
      </c>
      <c r="J86" s="22">
        <v>4.6195652173913038</v>
      </c>
      <c r="K86" s="20" t="s">
        <v>71</v>
      </c>
      <c r="L86" s="22">
        <v>4.5686274509803919</v>
      </c>
      <c r="M86" s="22">
        <v>4.6000000000000005</v>
      </c>
      <c r="N86" s="20" t="s">
        <v>71</v>
      </c>
    </row>
    <row r="87" spans="1:16" ht="23.95" customHeight="1">
      <c r="A87" s="8" t="s">
        <v>21</v>
      </c>
      <c r="B87" s="22">
        <v>4.7222222222222214</v>
      </c>
      <c r="C87" s="22">
        <v>4.4000000000000004</v>
      </c>
      <c r="D87" s="22">
        <v>4.7368421052631584</v>
      </c>
      <c r="E87" s="22">
        <v>4.4878048780487809</v>
      </c>
      <c r="F87" s="22">
        <v>4.5373134328358189</v>
      </c>
      <c r="G87" s="22">
        <v>4.6842105263157894</v>
      </c>
      <c r="H87" s="22">
        <v>4.745454545454546</v>
      </c>
      <c r="I87" s="22">
        <v>4.7142857142857153</v>
      </c>
      <c r="J87" s="22">
        <v>4.5978260869565206</v>
      </c>
      <c r="K87" s="20" t="s">
        <v>71</v>
      </c>
      <c r="L87" s="22">
        <v>4.5686274509803919</v>
      </c>
      <c r="M87" s="22">
        <v>4.6500000000000004</v>
      </c>
      <c r="N87" s="20" t="s">
        <v>71</v>
      </c>
    </row>
    <row r="88" spans="1:16" ht="23.95" customHeight="1">
      <c r="A88" s="8" t="s">
        <v>22</v>
      </c>
      <c r="B88" s="22">
        <v>4.833333333333333</v>
      </c>
      <c r="C88" s="22">
        <v>4.5999999999999996</v>
      </c>
      <c r="D88" s="22">
        <v>4.7631578947368425</v>
      </c>
      <c r="E88" s="22">
        <v>4.5365853658536581</v>
      </c>
      <c r="F88" s="22">
        <v>4.6716417910447756</v>
      </c>
      <c r="G88" s="22">
        <v>4.719298245614036</v>
      </c>
      <c r="H88" s="22">
        <v>4.7818181818181813</v>
      </c>
      <c r="I88" s="22">
        <v>4.755102040816328</v>
      </c>
      <c r="J88" s="22">
        <v>4.6304347826086971</v>
      </c>
      <c r="K88" s="20" t="s">
        <v>71</v>
      </c>
      <c r="L88" s="22">
        <v>4.7450980392156872</v>
      </c>
      <c r="M88" s="22">
        <v>4.6500000000000004</v>
      </c>
      <c r="N88" s="20" t="s">
        <v>71</v>
      </c>
    </row>
    <row r="89" spans="1:16" ht="23.95" customHeight="1">
      <c r="A89" s="9" t="s">
        <v>23</v>
      </c>
      <c r="B89" s="22">
        <v>4.666666666666667</v>
      </c>
      <c r="C89" s="22">
        <v>4.3875000000000002</v>
      </c>
      <c r="D89" s="22">
        <v>4.7253289473684212</v>
      </c>
      <c r="E89" s="22">
        <v>4.5335365853658525</v>
      </c>
      <c r="F89" s="22">
        <v>4.4925373134328348</v>
      </c>
      <c r="G89" s="22">
        <v>4.6567982456140369</v>
      </c>
      <c r="H89" s="22">
        <v>4.7409090909090885</v>
      </c>
      <c r="I89" s="22">
        <v>4.7079081632653059</v>
      </c>
      <c r="J89" s="22">
        <v>4.5991847826086936</v>
      </c>
      <c r="K89" s="20" t="s">
        <v>71</v>
      </c>
      <c r="L89" s="22">
        <v>4.6029411764705888</v>
      </c>
      <c r="M89" s="22">
        <v>4.5812499999999998</v>
      </c>
      <c r="N89" s="20" t="s">
        <v>71</v>
      </c>
    </row>
    <row r="90" spans="1:16" s="75" customFormat="1">
      <c r="A90" s="74" t="s">
        <v>24</v>
      </c>
      <c r="B90" s="78">
        <f>B89*20</f>
        <v>93.333333333333343</v>
      </c>
      <c r="C90" s="71">
        <f>C89*20</f>
        <v>87.75</v>
      </c>
      <c r="D90" s="71">
        <f>D89*20</f>
        <v>94.506578947368425</v>
      </c>
      <c r="E90" s="71">
        <f t="shared" ref="E90:J90" si="2">E89*20</f>
        <v>90.670731707317046</v>
      </c>
      <c r="F90" s="71">
        <f t="shared" si="2"/>
        <v>89.850746268656692</v>
      </c>
      <c r="G90" s="71">
        <f t="shared" si="2"/>
        <v>93.135964912280741</v>
      </c>
      <c r="H90" s="71">
        <f t="shared" si="2"/>
        <v>94.81818181818177</v>
      </c>
      <c r="I90" s="71">
        <f t="shared" si="2"/>
        <v>94.158163265306115</v>
      </c>
      <c r="J90" s="71">
        <f t="shared" si="2"/>
        <v>91.983695652173878</v>
      </c>
      <c r="K90" s="20" t="s">
        <v>71</v>
      </c>
      <c r="L90" s="71">
        <f>L89*20</f>
        <v>92.058823529411768</v>
      </c>
      <c r="M90" s="71">
        <f>M89*20</f>
        <v>91.625</v>
      </c>
      <c r="N90" s="72" t="s">
        <v>71</v>
      </c>
      <c r="P90" s="3"/>
    </row>
    <row r="91" spans="1:16">
      <c r="A91" s="17" t="s">
        <v>61</v>
      </c>
      <c r="B91" s="70">
        <v>100</v>
      </c>
      <c r="C91" s="70">
        <v>100</v>
      </c>
      <c r="D91" s="70">
        <v>100</v>
      </c>
      <c r="E91" s="70">
        <v>100</v>
      </c>
      <c r="F91" s="70">
        <v>100</v>
      </c>
      <c r="G91" s="70">
        <v>100</v>
      </c>
      <c r="H91" s="70">
        <v>100</v>
      </c>
      <c r="I91" s="70">
        <v>100</v>
      </c>
      <c r="J91" s="70">
        <v>96.739130434782609</v>
      </c>
      <c r="K91" s="23" t="s">
        <v>71</v>
      </c>
      <c r="L91" s="70">
        <v>100</v>
      </c>
      <c r="M91" s="70">
        <v>100</v>
      </c>
      <c r="N91" s="70"/>
    </row>
    <row r="92" spans="1:16" ht="23.95" customHeight="1"/>
    <row r="93" spans="1:16" ht="23.95" customHeight="1"/>
    <row r="94" spans="1:16">
      <c r="B94" s="3"/>
      <c r="E94" s="11"/>
      <c r="F94" s="11"/>
    </row>
    <row r="95" spans="1:16">
      <c r="B95" s="3"/>
      <c r="E95" s="12"/>
      <c r="F95" s="12"/>
    </row>
    <row r="96" spans="1:16">
      <c r="B96" s="3"/>
      <c r="E96" s="12"/>
      <c r="F96" s="12"/>
    </row>
    <row r="97" spans="2:6">
      <c r="B97" s="3"/>
      <c r="E97" s="12"/>
      <c r="F97" s="12"/>
    </row>
    <row r="98" spans="2:6">
      <c r="B98" s="3"/>
      <c r="E98" s="12"/>
      <c r="F98" s="12"/>
    </row>
    <row r="99" spans="2:6">
      <c r="B99" s="3"/>
      <c r="E99" s="12"/>
      <c r="F99" s="12"/>
    </row>
    <row r="100" spans="2:6">
      <c r="B100" s="3"/>
      <c r="E100" s="12"/>
      <c r="F100" s="12"/>
    </row>
    <row r="101" spans="2:6">
      <c r="B101" s="3"/>
      <c r="E101" s="12"/>
      <c r="F101" s="12"/>
    </row>
    <row r="102" spans="2:6" ht="23.95" customHeight="1">
      <c r="B102" s="3"/>
      <c r="E102" s="12"/>
      <c r="F102" s="12"/>
    </row>
    <row r="103" spans="2:6" ht="23.95" customHeight="1">
      <c r="B103" s="3"/>
      <c r="E103" s="12"/>
      <c r="F103" s="12"/>
    </row>
    <row r="104" spans="2:6">
      <c r="B104" s="3"/>
      <c r="E104" s="12"/>
      <c r="F104" s="12"/>
    </row>
    <row r="105" spans="2:6">
      <c r="B105" s="3"/>
      <c r="E105" s="12"/>
      <c r="F105" s="12"/>
    </row>
    <row r="106" spans="2:6">
      <c r="B106" s="3"/>
      <c r="E106" s="12"/>
      <c r="F106" s="12"/>
    </row>
    <row r="107" spans="2:6">
      <c r="B107" s="3"/>
      <c r="E107" s="12"/>
      <c r="F107" s="12"/>
    </row>
    <row r="108" spans="2:6">
      <c r="B108" s="3"/>
      <c r="E108" s="12"/>
      <c r="F108" s="12"/>
    </row>
    <row r="109" spans="2:6">
      <c r="B109" s="3"/>
      <c r="E109" s="12"/>
      <c r="F109" s="12"/>
    </row>
    <row r="110" spans="2:6" ht="23.95" customHeight="1">
      <c r="B110" s="3"/>
      <c r="E110" s="12"/>
      <c r="F110" s="12"/>
    </row>
    <row r="111" spans="2:6" ht="23.95" customHeight="1">
      <c r="B111" s="3"/>
      <c r="E111" s="12"/>
      <c r="F111" s="12"/>
    </row>
    <row r="112" spans="2:6">
      <c r="B112" s="3"/>
      <c r="E112" s="13"/>
      <c r="F112" s="13"/>
    </row>
    <row r="113" spans="2:6">
      <c r="B113" s="3"/>
      <c r="E113" s="13"/>
      <c r="F113" s="13"/>
    </row>
    <row r="114" spans="2:6">
      <c r="B114" s="3"/>
    </row>
  </sheetData>
  <mergeCells count="1">
    <mergeCell ref="A1:N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3" max="16383" man="1"/>
    <brk id="46" max="16383" man="1"/>
    <brk id="69" max="16383" man="1"/>
    <brk id="9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9"/>
  <sheetViews>
    <sheetView view="pageBreakPreview" zoomScale="85" zoomScaleNormal="120" zoomScaleSheetLayoutView="85" workbookViewId="0">
      <selection activeCell="B59" sqref="B59"/>
    </sheetView>
  </sheetViews>
  <sheetFormatPr defaultRowHeight="21.1"/>
  <cols>
    <col min="1" max="1" width="4.75" style="37" customWidth="1"/>
    <col min="2" max="2" width="27.625" style="37" customWidth="1"/>
    <col min="3" max="7" width="12" style="37" customWidth="1"/>
    <col min="8" max="8" width="30.125" style="37" customWidth="1"/>
    <col min="9" max="9" width="14.75" style="37" customWidth="1"/>
    <col min="10" max="10" width="7.25" style="37" customWidth="1"/>
    <col min="11" max="16384" width="9" style="37"/>
  </cols>
  <sheetData>
    <row r="1" spans="1:9" ht="23.8">
      <c r="A1" s="93" t="s">
        <v>86</v>
      </c>
      <c r="B1" s="93"/>
      <c r="C1" s="93"/>
      <c r="D1" s="93"/>
      <c r="E1" s="93"/>
      <c r="F1" s="93"/>
      <c r="G1" s="93"/>
      <c r="H1" s="93"/>
      <c r="I1" s="93"/>
    </row>
    <row r="2" spans="1:9" s="52" customFormat="1">
      <c r="A2" s="100" t="s">
        <v>91</v>
      </c>
      <c r="B2" s="100"/>
      <c r="C2" s="100"/>
      <c r="D2" s="100"/>
      <c r="E2" s="100"/>
      <c r="F2" s="100"/>
      <c r="G2" s="100"/>
      <c r="H2" s="100"/>
    </row>
    <row r="3" spans="1:9" s="52" customFormat="1">
      <c r="A3" s="100" t="s">
        <v>92</v>
      </c>
      <c r="B3" s="100"/>
      <c r="C3" s="100"/>
      <c r="D3" s="100"/>
      <c r="E3" s="100"/>
      <c r="F3" s="100"/>
      <c r="G3" s="100"/>
      <c r="H3" s="100"/>
    </row>
    <row r="4" spans="1:9" s="39" customFormat="1">
      <c r="A4" s="54" t="s">
        <v>70</v>
      </c>
      <c r="B4" s="54"/>
      <c r="C4" s="54"/>
      <c r="D4" s="54"/>
      <c r="E4" s="54"/>
      <c r="F4" s="55"/>
      <c r="G4" s="55"/>
      <c r="H4" s="55"/>
    </row>
    <row r="5" spans="1:9" s="52" customFormat="1">
      <c r="B5" s="101" t="s">
        <v>219</v>
      </c>
      <c r="C5" s="101"/>
      <c r="D5" s="101"/>
      <c r="E5" s="101"/>
      <c r="F5" s="101"/>
      <c r="G5" s="101"/>
      <c r="H5" s="101"/>
    </row>
    <row r="6" spans="1:9" s="52" customFormat="1">
      <c r="B6" s="101" t="s">
        <v>186</v>
      </c>
      <c r="C6" s="101"/>
      <c r="D6" s="101"/>
      <c r="E6" s="101"/>
      <c r="F6" s="101"/>
      <c r="G6" s="101"/>
      <c r="H6" s="101"/>
    </row>
    <row r="7" spans="1:9" s="52" customFormat="1">
      <c r="B7" s="101" t="s">
        <v>220</v>
      </c>
      <c r="C7" s="101"/>
      <c r="D7" s="101"/>
      <c r="E7" s="101"/>
      <c r="F7" s="101"/>
      <c r="G7" s="101"/>
      <c r="H7" s="101"/>
    </row>
    <row r="8" spans="1:9" s="39" customFormat="1" ht="21.75" customHeight="1">
      <c r="B8" s="56" t="s">
        <v>0</v>
      </c>
      <c r="C8" s="57" t="s">
        <v>48</v>
      </c>
      <c r="D8" s="57" t="s">
        <v>49</v>
      </c>
      <c r="E8" s="57" t="s">
        <v>50</v>
      </c>
      <c r="F8" s="57" t="s">
        <v>51</v>
      </c>
      <c r="G8" s="57" t="s">
        <v>52</v>
      </c>
    </row>
    <row r="9" spans="1:9" s="39" customFormat="1" ht="21.75" customHeight="1">
      <c r="B9" s="58" t="s">
        <v>9</v>
      </c>
      <c r="C9" s="59" t="s">
        <v>89</v>
      </c>
      <c r="D9" s="59" t="s">
        <v>90</v>
      </c>
      <c r="E9" s="76">
        <v>10</v>
      </c>
      <c r="F9" s="60" t="s">
        <v>88</v>
      </c>
      <c r="G9" s="69" t="s">
        <v>87</v>
      </c>
    </row>
    <row r="10" spans="1:9" s="39" customFormat="1" ht="21.75" customHeight="1">
      <c r="B10" s="58" t="s">
        <v>23</v>
      </c>
      <c r="C10" s="32">
        <v>4.3957954545454498</v>
      </c>
      <c r="D10" s="32">
        <v>4.5670339761248968</v>
      </c>
      <c r="E10" s="19">
        <v>4.96</v>
      </c>
      <c r="F10" s="19">
        <v>4.8499999999999996</v>
      </c>
      <c r="G10" s="83">
        <v>4.5150862068965498</v>
      </c>
    </row>
    <row r="11" spans="1:9" s="39" customFormat="1" ht="21.75" customHeight="1">
      <c r="B11" s="58" t="s">
        <v>24</v>
      </c>
      <c r="C11" s="32">
        <v>87.915909090908997</v>
      </c>
      <c r="D11" s="32">
        <v>91.340679522497936</v>
      </c>
      <c r="E11" s="32">
        <f>E10*20</f>
        <v>99.2</v>
      </c>
      <c r="F11" s="32">
        <f t="shared" ref="F11" si="0">F10*20</f>
        <v>97</v>
      </c>
      <c r="G11" s="84">
        <f>G10*20</f>
        <v>90.301724137930989</v>
      </c>
    </row>
    <row r="12" spans="1:9" s="39" customFormat="1" ht="21.75" customHeight="1">
      <c r="B12" s="62"/>
      <c r="C12" s="63"/>
      <c r="D12" s="63"/>
      <c r="E12" s="63"/>
      <c r="F12" s="85"/>
      <c r="G12" s="85"/>
    </row>
    <row r="13" spans="1:9" s="39" customFormat="1" ht="23.95" customHeight="1">
      <c r="A13" s="97" t="s">
        <v>53</v>
      </c>
      <c r="B13" s="97"/>
      <c r="H13" s="39" t="s">
        <v>68</v>
      </c>
    </row>
    <row r="14" spans="1:9" s="39" customFormat="1" ht="23.95" customHeight="1">
      <c r="B14" s="42" t="s">
        <v>54</v>
      </c>
    </row>
    <row r="15" spans="1:9" s="39" customFormat="1" ht="23.95" customHeight="1">
      <c r="B15" s="42" t="s">
        <v>195</v>
      </c>
    </row>
    <row r="16" spans="1:9" ht="23.95" customHeight="1">
      <c r="B16" s="36" t="s">
        <v>105</v>
      </c>
      <c r="C16" s="40"/>
      <c r="D16" s="40"/>
      <c r="E16" s="40"/>
      <c r="F16" s="40"/>
      <c r="G16" s="40"/>
      <c r="H16" s="40"/>
    </row>
    <row r="17" spans="2:8" ht="23.95" customHeight="1">
      <c r="B17" s="36" t="s">
        <v>191</v>
      </c>
      <c r="C17" s="40"/>
      <c r="D17" s="40"/>
      <c r="E17" s="40"/>
      <c r="F17" s="40"/>
      <c r="G17" s="40"/>
      <c r="H17" s="40"/>
    </row>
    <row r="18" spans="2:8" ht="23.95" customHeight="1">
      <c r="B18" s="36" t="s">
        <v>196</v>
      </c>
      <c r="C18" s="40"/>
      <c r="D18" s="40"/>
      <c r="E18" s="40"/>
      <c r="F18" s="40"/>
      <c r="G18" s="40"/>
      <c r="H18" s="40"/>
    </row>
    <row r="19" spans="2:8" ht="23.95" customHeight="1">
      <c r="B19" s="36" t="s">
        <v>197</v>
      </c>
      <c r="C19" s="40"/>
      <c r="D19" s="40"/>
      <c r="E19" s="40"/>
      <c r="F19" s="40"/>
      <c r="G19" s="40"/>
      <c r="H19" s="40"/>
    </row>
    <row r="20" spans="2:8" ht="23.95" customHeight="1">
      <c r="B20" s="36" t="s">
        <v>225</v>
      </c>
      <c r="C20" s="40"/>
      <c r="D20" s="40"/>
      <c r="E20" s="40"/>
      <c r="F20" s="40"/>
      <c r="G20" s="40"/>
      <c r="H20" s="40"/>
    </row>
    <row r="21" spans="2:8" ht="23.95" customHeight="1">
      <c r="B21" s="36" t="s">
        <v>193</v>
      </c>
      <c r="C21" s="40"/>
      <c r="D21" s="40"/>
      <c r="E21" s="40"/>
      <c r="F21" s="40"/>
      <c r="G21" s="40"/>
      <c r="H21" s="40"/>
    </row>
    <row r="22" spans="2:8" ht="23.95" customHeight="1">
      <c r="B22" s="36" t="s">
        <v>190</v>
      </c>
      <c r="C22" s="40"/>
      <c r="D22" s="40"/>
      <c r="E22" s="40"/>
      <c r="F22" s="40"/>
      <c r="G22" s="40"/>
      <c r="H22" s="40"/>
    </row>
    <row r="23" spans="2:8" ht="23.95" customHeight="1">
      <c r="B23" s="36" t="s">
        <v>192</v>
      </c>
      <c r="C23" s="40"/>
      <c r="D23" s="40"/>
      <c r="E23" s="40"/>
      <c r="F23" s="40"/>
      <c r="G23" s="40"/>
      <c r="H23" s="40"/>
    </row>
    <row r="24" spans="2:8" ht="23.95" customHeight="1">
      <c r="B24" s="36" t="s">
        <v>107</v>
      </c>
      <c r="C24" s="40"/>
      <c r="D24" s="40"/>
      <c r="E24" s="40"/>
      <c r="F24" s="40"/>
      <c r="G24" s="40"/>
      <c r="H24" s="40"/>
    </row>
    <row r="25" spans="2:8" ht="23.95" customHeight="1">
      <c r="B25" s="36" t="s">
        <v>94</v>
      </c>
      <c r="C25" s="40"/>
      <c r="D25" s="40"/>
      <c r="E25" s="40"/>
      <c r="F25" s="40"/>
      <c r="G25" s="40"/>
      <c r="H25" s="40"/>
    </row>
    <row r="26" spans="2:8" ht="23.95" customHeight="1">
      <c r="B26" s="36" t="s">
        <v>96</v>
      </c>
      <c r="C26" s="40"/>
      <c r="D26" s="40"/>
      <c r="E26" s="40"/>
      <c r="F26" s="40"/>
      <c r="G26" s="40"/>
      <c r="H26" s="40"/>
    </row>
    <row r="27" spans="2:8" ht="23.95" customHeight="1">
      <c r="B27" s="36" t="s">
        <v>100</v>
      </c>
      <c r="C27" s="40"/>
      <c r="D27" s="40"/>
      <c r="E27" s="40"/>
      <c r="F27" s="40"/>
      <c r="G27" s="40"/>
      <c r="H27" s="40"/>
    </row>
    <row r="28" spans="2:8" ht="23.95" customHeight="1">
      <c r="B28" s="36" t="s">
        <v>98</v>
      </c>
      <c r="C28" s="40"/>
      <c r="D28" s="40"/>
      <c r="E28" s="40"/>
      <c r="F28" s="40"/>
      <c r="G28" s="40"/>
      <c r="H28" s="40"/>
    </row>
    <row r="29" spans="2:8" ht="23.95" customHeight="1">
      <c r="B29" s="36" t="s">
        <v>99</v>
      </c>
      <c r="C29" s="40"/>
      <c r="D29" s="40"/>
      <c r="E29" s="40"/>
      <c r="F29" s="40"/>
      <c r="G29" s="40"/>
      <c r="H29" s="40"/>
    </row>
    <row r="30" spans="2:8" ht="23.95" customHeight="1">
      <c r="B30" s="36" t="s">
        <v>104</v>
      </c>
      <c r="C30" s="40"/>
      <c r="D30" s="40"/>
      <c r="E30" s="40"/>
      <c r="F30" s="40"/>
      <c r="G30" s="40"/>
      <c r="H30" s="40"/>
    </row>
    <row r="31" spans="2:8" ht="23.95" customHeight="1">
      <c r="B31" s="36" t="s">
        <v>101</v>
      </c>
      <c r="C31" s="40"/>
      <c r="D31" s="40"/>
      <c r="E31" s="40"/>
      <c r="F31" s="40"/>
      <c r="G31" s="40"/>
      <c r="H31" s="40"/>
    </row>
    <row r="32" spans="2:8" ht="23.95" customHeight="1">
      <c r="B32" s="36" t="s">
        <v>102</v>
      </c>
      <c r="C32" s="40"/>
      <c r="D32" s="40"/>
      <c r="E32" s="40"/>
      <c r="F32" s="40"/>
      <c r="G32" s="40"/>
      <c r="H32" s="40"/>
    </row>
    <row r="33" spans="2:8" ht="23.95" customHeight="1">
      <c r="B33" s="36" t="s">
        <v>103</v>
      </c>
      <c r="C33" s="40"/>
      <c r="D33" s="40"/>
      <c r="E33" s="40"/>
      <c r="F33" s="40"/>
      <c r="G33" s="40"/>
      <c r="H33" s="40"/>
    </row>
    <row r="34" spans="2:8" ht="23.95" customHeight="1">
      <c r="B34" s="37" t="s">
        <v>106</v>
      </c>
      <c r="C34" s="40"/>
      <c r="D34" s="40"/>
      <c r="E34" s="40"/>
      <c r="F34" s="40"/>
      <c r="G34" s="40"/>
      <c r="H34" s="40"/>
    </row>
    <row r="35" spans="2:8" ht="23.95" customHeight="1">
      <c r="B35" s="36" t="s">
        <v>111</v>
      </c>
      <c r="C35" s="40"/>
      <c r="D35" s="40"/>
      <c r="E35" s="40"/>
      <c r="F35" s="40"/>
      <c r="G35" s="40"/>
      <c r="H35" s="40"/>
    </row>
    <row r="36" spans="2:8" ht="23.95" customHeight="1">
      <c r="B36" s="36" t="s">
        <v>119</v>
      </c>
      <c r="C36" s="40"/>
      <c r="D36" s="40"/>
      <c r="E36" s="40"/>
      <c r="F36" s="40"/>
      <c r="G36" s="40"/>
      <c r="H36" s="40"/>
    </row>
    <row r="37" spans="2:8" ht="23.95" customHeight="1">
      <c r="B37" s="36" t="s">
        <v>123</v>
      </c>
      <c r="C37" s="40"/>
      <c r="D37" s="40"/>
      <c r="E37" s="40"/>
      <c r="F37" s="40"/>
      <c r="G37" s="40"/>
      <c r="H37" s="40"/>
    </row>
    <row r="38" spans="2:8" ht="23.95" customHeight="1">
      <c r="B38" s="36" t="s">
        <v>129</v>
      </c>
      <c r="C38" s="40"/>
      <c r="D38" s="40"/>
      <c r="E38" s="40"/>
      <c r="F38" s="40"/>
      <c r="G38" s="40"/>
      <c r="H38" s="40"/>
    </row>
    <row r="39" spans="2:8" ht="23.95" customHeight="1">
      <c r="B39" s="36" t="s">
        <v>170</v>
      </c>
      <c r="C39" s="40"/>
      <c r="D39" s="40"/>
      <c r="E39" s="40"/>
      <c r="F39" s="40"/>
      <c r="G39" s="40"/>
      <c r="H39" s="40"/>
    </row>
    <row r="40" spans="2:8" ht="23.95" customHeight="1">
      <c r="B40" s="36" t="s">
        <v>199</v>
      </c>
      <c r="C40" s="40"/>
      <c r="D40" s="40"/>
      <c r="E40" s="40"/>
      <c r="F40" s="40"/>
      <c r="G40" s="40"/>
      <c r="H40" s="40"/>
    </row>
    <row r="41" spans="2:8" ht="23.95" customHeight="1">
      <c r="B41" s="36" t="s">
        <v>200</v>
      </c>
      <c r="C41" s="40"/>
      <c r="D41" s="40"/>
      <c r="E41" s="40"/>
      <c r="F41" s="40"/>
      <c r="G41" s="40"/>
      <c r="H41" s="40"/>
    </row>
    <row r="42" spans="2:8" ht="23.95" customHeight="1">
      <c r="B42" s="36" t="s">
        <v>201</v>
      </c>
      <c r="C42" s="40"/>
      <c r="D42" s="40"/>
      <c r="E42" s="40"/>
      <c r="F42" s="40"/>
      <c r="G42" s="40"/>
      <c r="H42" s="40"/>
    </row>
    <row r="43" spans="2:8" ht="23.95" customHeight="1">
      <c r="B43" s="36" t="s">
        <v>228</v>
      </c>
      <c r="C43" s="40"/>
      <c r="D43" s="40"/>
      <c r="E43" s="40"/>
      <c r="F43" s="40"/>
      <c r="G43" s="40"/>
      <c r="H43" s="40"/>
    </row>
    <row r="44" spans="2:8" ht="23.95" customHeight="1">
      <c r="B44" s="36" t="s">
        <v>229</v>
      </c>
      <c r="C44" s="40"/>
      <c r="D44" s="40"/>
      <c r="E44" s="40"/>
      <c r="F44" s="40"/>
      <c r="G44" s="40"/>
      <c r="H44" s="40"/>
    </row>
    <row r="45" spans="2:8" ht="23.95" customHeight="1">
      <c r="B45" s="36" t="s">
        <v>202</v>
      </c>
      <c r="C45" s="40"/>
      <c r="D45" s="40"/>
      <c r="E45" s="40"/>
      <c r="F45" s="40"/>
      <c r="G45" s="40"/>
      <c r="H45" s="40"/>
    </row>
    <row r="46" spans="2:8" ht="23.95" customHeight="1">
      <c r="B46" s="36" t="s">
        <v>204</v>
      </c>
      <c r="C46" s="40"/>
      <c r="D46" s="40"/>
      <c r="E46" s="40"/>
      <c r="F46" s="40"/>
      <c r="G46" s="40"/>
      <c r="H46" s="40"/>
    </row>
    <row r="47" spans="2:8" ht="23.95" customHeight="1">
      <c r="B47" s="36" t="s">
        <v>205</v>
      </c>
      <c r="C47" s="40"/>
      <c r="D47" s="40"/>
      <c r="E47" s="40"/>
      <c r="F47" s="40"/>
      <c r="G47" s="40"/>
      <c r="H47" s="40"/>
    </row>
    <row r="48" spans="2:8" ht="23.95" customHeight="1">
      <c r="B48" s="36" t="s">
        <v>206</v>
      </c>
      <c r="C48" s="40"/>
      <c r="D48" s="40"/>
      <c r="E48" s="40"/>
      <c r="F48" s="40"/>
      <c r="G48" s="40"/>
      <c r="H48" s="40"/>
    </row>
    <row r="49" spans="1:8" ht="23.95" customHeight="1">
      <c r="B49" s="36" t="s">
        <v>207</v>
      </c>
      <c r="C49" s="40"/>
      <c r="D49" s="40"/>
      <c r="E49" s="40"/>
      <c r="F49" s="40"/>
      <c r="G49" s="40"/>
      <c r="H49" s="40"/>
    </row>
    <row r="50" spans="1:8" ht="23.95" customHeight="1">
      <c r="B50" s="36" t="s">
        <v>208</v>
      </c>
      <c r="C50" s="40"/>
      <c r="D50" s="40"/>
      <c r="E50" s="40"/>
      <c r="F50" s="40"/>
      <c r="G50" s="40"/>
      <c r="H50" s="40"/>
    </row>
    <row r="51" spans="1:8" ht="23.95" customHeight="1">
      <c r="B51" s="36" t="s">
        <v>209</v>
      </c>
      <c r="C51" s="40"/>
      <c r="D51" s="40"/>
      <c r="E51" s="40"/>
      <c r="F51" s="40"/>
      <c r="G51" s="40"/>
      <c r="H51" s="40"/>
    </row>
    <row r="52" spans="1:8" ht="23.95" customHeight="1">
      <c r="B52" s="36" t="s">
        <v>210</v>
      </c>
      <c r="C52" s="40"/>
      <c r="D52" s="40"/>
      <c r="E52" s="40"/>
      <c r="F52" s="40"/>
      <c r="G52" s="40"/>
      <c r="H52" s="40"/>
    </row>
    <row r="53" spans="1:8" ht="23.95" customHeight="1">
      <c r="B53" s="36" t="s">
        <v>214</v>
      </c>
      <c r="C53" s="40"/>
      <c r="D53" s="40"/>
      <c r="E53" s="40"/>
      <c r="F53" s="40"/>
      <c r="G53" s="40"/>
      <c r="H53" s="40"/>
    </row>
    <row r="54" spans="1:8" ht="23.95" customHeight="1">
      <c r="B54" s="36" t="s">
        <v>215</v>
      </c>
      <c r="C54" s="40"/>
      <c r="D54" s="40"/>
      <c r="E54" s="40"/>
      <c r="F54" s="40"/>
      <c r="G54" s="40"/>
      <c r="H54" s="40"/>
    </row>
    <row r="55" spans="1:8" ht="23.95" customHeight="1">
      <c r="B55" s="36" t="s">
        <v>216</v>
      </c>
      <c r="C55" s="40"/>
      <c r="D55" s="40"/>
      <c r="E55" s="40"/>
      <c r="F55" s="40"/>
      <c r="G55" s="40"/>
      <c r="H55" s="40"/>
    </row>
    <row r="56" spans="1:8" ht="23.95" customHeight="1">
      <c r="B56" s="36" t="s">
        <v>217</v>
      </c>
      <c r="C56" s="40"/>
      <c r="D56" s="40"/>
      <c r="E56" s="40"/>
      <c r="F56" s="40"/>
      <c r="G56" s="40"/>
      <c r="H56" s="40"/>
    </row>
    <row r="57" spans="1:8" ht="23.95" customHeight="1">
      <c r="B57" s="36" t="s">
        <v>224</v>
      </c>
      <c r="C57" s="40"/>
      <c r="D57" s="40"/>
      <c r="E57" s="40"/>
      <c r="F57" s="40"/>
      <c r="G57" s="40"/>
      <c r="H57" s="40"/>
    </row>
    <row r="58" spans="1:8" ht="23.95" customHeight="1">
      <c r="B58" s="36" t="s">
        <v>221</v>
      </c>
      <c r="C58" s="40"/>
      <c r="D58" s="40"/>
      <c r="E58" s="40"/>
      <c r="F58" s="40"/>
      <c r="G58" s="40"/>
      <c r="H58" s="40"/>
    </row>
    <row r="59" spans="1:8" ht="23.95" customHeight="1">
      <c r="B59" s="36" t="s">
        <v>222</v>
      </c>
      <c r="C59" s="40"/>
      <c r="D59" s="40"/>
      <c r="E59" s="40"/>
      <c r="F59" s="40"/>
      <c r="G59" s="40"/>
      <c r="H59" s="40"/>
    </row>
    <row r="60" spans="1:8" ht="23.95" customHeight="1">
      <c r="B60" s="36" t="s">
        <v>223</v>
      </c>
      <c r="C60" s="40"/>
      <c r="D60" s="40"/>
      <c r="E60" s="40"/>
      <c r="F60" s="40"/>
      <c r="G60" s="40"/>
      <c r="H60" s="40"/>
    </row>
    <row r="61" spans="1:8" ht="23.95" customHeight="1">
      <c r="B61" s="36"/>
      <c r="C61" s="40"/>
      <c r="D61" s="40"/>
      <c r="E61" s="40"/>
      <c r="F61" s="40"/>
      <c r="G61" s="40"/>
      <c r="H61" s="40"/>
    </row>
    <row r="62" spans="1:8" s="82" customFormat="1" ht="23.95" customHeight="1">
      <c r="A62" s="86"/>
      <c r="B62" s="42" t="s">
        <v>55</v>
      </c>
      <c r="C62" s="41"/>
      <c r="D62" s="41"/>
      <c r="E62" s="41"/>
      <c r="F62" s="41"/>
      <c r="G62" s="41"/>
      <c r="H62" s="41"/>
    </row>
    <row r="63" spans="1:8" s="82" customFormat="1" ht="23.95" customHeight="1">
      <c r="A63" s="86"/>
      <c r="B63" s="98" t="s">
        <v>226</v>
      </c>
      <c r="C63" s="94"/>
      <c r="D63" s="94"/>
      <c r="E63" s="41"/>
      <c r="F63" s="41"/>
      <c r="G63" s="41"/>
      <c r="H63" s="41"/>
    </row>
    <row r="64" spans="1:8" s="45" customFormat="1" ht="23.95" customHeight="1">
      <c r="A64" s="82"/>
      <c r="B64" s="36" t="s">
        <v>93</v>
      </c>
      <c r="C64" s="41"/>
      <c r="D64" s="41"/>
      <c r="E64" s="41"/>
      <c r="F64" s="41"/>
      <c r="G64" s="41"/>
      <c r="H64" s="41"/>
    </row>
    <row r="65" spans="1:9" s="45" customFormat="1" ht="23.95" customHeight="1">
      <c r="B65" s="36" t="s">
        <v>95</v>
      </c>
      <c r="C65" s="41"/>
      <c r="D65" s="41"/>
      <c r="E65" s="41"/>
      <c r="F65" s="41"/>
      <c r="G65" s="41"/>
      <c r="H65" s="41"/>
    </row>
    <row r="66" spans="1:9" s="45" customFormat="1" ht="23.95" customHeight="1">
      <c r="B66" s="36" t="s">
        <v>97</v>
      </c>
      <c r="C66" s="41"/>
      <c r="D66" s="41"/>
      <c r="E66" s="41"/>
      <c r="F66" s="41"/>
      <c r="G66" s="41"/>
      <c r="H66" s="41"/>
    </row>
    <row r="67" spans="1:9" s="45" customFormat="1" ht="23.95" customHeight="1">
      <c r="B67" s="96" t="s">
        <v>108</v>
      </c>
      <c r="C67" s="96"/>
      <c r="D67" s="96"/>
      <c r="E67" s="96"/>
      <c r="F67" s="96"/>
      <c r="G67" s="96"/>
      <c r="H67" s="96"/>
      <c r="I67" s="96"/>
    </row>
    <row r="68" spans="1:9" s="45" customFormat="1" ht="23.95" customHeight="1">
      <c r="B68" s="38" t="s">
        <v>109</v>
      </c>
      <c r="C68" s="41"/>
      <c r="D68" s="41"/>
      <c r="E68" s="41"/>
      <c r="F68" s="41"/>
      <c r="G68" s="41"/>
      <c r="H68" s="41"/>
    </row>
    <row r="69" spans="1:9" s="45" customFormat="1" ht="23.95" customHeight="1">
      <c r="B69" s="38" t="s">
        <v>114</v>
      </c>
      <c r="C69" s="41"/>
      <c r="D69" s="41"/>
      <c r="E69" s="41"/>
      <c r="F69" s="41"/>
      <c r="G69" s="41"/>
      <c r="H69" s="41"/>
    </row>
    <row r="70" spans="1:9" s="45" customFormat="1" ht="23.95" customHeight="1">
      <c r="B70" s="36" t="s">
        <v>115</v>
      </c>
      <c r="C70" s="41"/>
      <c r="D70" s="41"/>
      <c r="E70" s="41"/>
      <c r="F70" s="41"/>
      <c r="G70" s="41"/>
      <c r="H70" s="41"/>
    </row>
    <row r="71" spans="1:9" s="45" customFormat="1" ht="23.95" customHeight="1">
      <c r="B71" s="36" t="s">
        <v>116</v>
      </c>
      <c r="C71" s="41"/>
      <c r="D71" s="41"/>
      <c r="E71" s="41"/>
      <c r="F71" s="41"/>
      <c r="G71" s="41"/>
      <c r="H71" s="41"/>
    </row>
    <row r="72" spans="1:9" s="45" customFormat="1" ht="23.95" customHeight="1">
      <c r="B72" s="36" t="s">
        <v>117</v>
      </c>
      <c r="C72" s="41"/>
      <c r="D72" s="41"/>
      <c r="E72" s="41"/>
      <c r="F72" s="41"/>
      <c r="G72" s="41"/>
      <c r="H72" s="41"/>
    </row>
    <row r="73" spans="1:9" s="82" customFormat="1" ht="23.95" customHeight="1">
      <c r="A73" s="45"/>
      <c r="B73" s="36" t="s">
        <v>118</v>
      </c>
      <c r="C73" s="41"/>
      <c r="D73" s="41"/>
      <c r="E73" s="41"/>
      <c r="F73" s="41"/>
      <c r="G73" s="41"/>
      <c r="H73" s="41"/>
    </row>
    <row r="74" spans="1:9" ht="23.95" customHeight="1">
      <c r="A74" s="82"/>
      <c r="B74" s="37" t="s">
        <v>121</v>
      </c>
      <c r="C74" s="40"/>
      <c r="D74" s="40"/>
      <c r="E74" s="40"/>
      <c r="F74" s="40"/>
      <c r="G74" s="40"/>
      <c r="H74" s="40"/>
    </row>
    <row r="75" spans="1:9" ht="23.95" customHeight="1">
      <c r="B75" s="38" t="s">
        <v>122</v>
      </c>
      <c r="C75" s="40"/>
      <c r="D75" s="40"/>
      <c r="E75" s="40"/>
      <c r="F75" s="40"/>
      <c r="G75" s="40"/>
      <c r="H75" s="40"/>
    </row>
    <row r="76" spans="1:9" ht="23.95" customHeight="1">
      <c r="B76" s="38" t="s">
        <v>124</v>
      </c>
      <c r="C76" s="40"/>
      <c r="D76" s="40"/>
      <c r="E76" s="40"/>
      <c r="F76" s="40"/>
      <c r="G76" s="40"/>
      <c r="H76" s="40"/>
    </row>
    <row r="77" spans="1:9" ht="23.95" customHeight="1">
      <c r="B77" s="38" t="s">
        <v>125</v>
      </c>
      <c r="C77" s="40"/>
      <c r="D77" s="40"/>
      <c r="E77" s="40"/>
      <c r="F77" s="40"/>
      <c r="G77" s="40"/>
      <c r="H77" s="40"/>
    </row>
    <row r="78" spans="1:9" ht="23.95" customHeight="1">
      <c r="B78" s="38" t="s">
        <v>126</v>
      </c>
      <c r="C78" s="40"/>
      <c r="D78" s="40"/>
      <c r="E78" s="40"/>
      <c r="F78" s="40"/>
      <c r="G78" s="40"/>
      <c r="H78" s="40"/>
    </row>
    <row r="79" spans="1:9" ht="23.95" customHeight="1">
      <c r="B79" s="38" t="s">
        <v>127</v>
      </c>
      <c r="C79" s="40"/>
      <c r="D79" s="40"/>
      <c r="E79" s="40"/>
      <c r="F79" s="40"/>
      <c r="G79" s="40"/>
      <c r="H79" s="40"/>
    </row>
    <row r="80" spans="1:9" ht="23.95" customHeight="1">
      <c r="B80" s="38" t="s">
        <v>128</v>
      </c>
      <c r="C80" s="40"/>
      <c r="D80" s="40"/>
      <c r="E80" s="40"/>
      <c r="F80" s="40"/>
      <c r="G80" s="40"/>
      <c r="H80" s="40"/>
    </row>
    <row r="81" spans="1:8" ht="23.95" customHeight="1">
      <c r="B81" s="38" t="s">
        <v>194</v>
      </c>
      <c r="C81" s="40"/>
      <c r="D81" s="40"/>
      <c r="E81" s="40"/>
      <c r="F81" s="40"/>
      <c r="G81" s="40"/>
      <c r="H81" s="40"/>
    </row>
    <row r="82" spans="1:8" ht="23.95" customHeight="1">
      <c r="B82" s="38" t="s">
        <v>198</v>
      </c>
      <c r="C82" s="40"/>
      <c r="D82" s="40"/>
      <c r="E82" s="40"/>
      <c r="F82" s="40"/>
      <c r="G82" s="40"/>
      <c r="H82" s="40"/>
    </row>
    <row r="83" spans="1:8" ht="23.95" customHeight="1">
      <c r="B83" s="37" t="s">
        <v>205</v>
      </c>
      <c r="C83" s="40"/>
      <c r="D83" s="40"/>
      <c r="E83" s="40"/>
      <c r="F83" s="40"/>
      <c r="G83" s="40"/>
      <c r="H83" s="40"/>
    </row>
    <row r="84" spans="1:8" ht="23.95" customHeight="1">
      <c r="C84" s="40"/>
      <c r="D84" s="40"/>
      <c r="E84" s="40"/>
      <c r="F84" s="40"/>
      <c r="G84" s="40"/>
      <c r="H84" s="40"/>
    </row>
    <row r="85" spans="1:8" s="45" customFormat="1" ht="23.95" customHeight="1">
      <c r="A85" s="61"/>
      <c r="B85" s="94" t="s">
        <v>56</v>
      </c>
      <c r="C85" s="94"/>
      <c r="D85" s="53"/>
      <c r="E85" s="53"/>
      <c r="F85" s="39"/>
      <c r="G85" s="39"/>
      <c r="H85" s="39"/>
    </row>
    <row r="86" spans="1:8" s="45" customFormat="1" ht="23.95" customHeight="1">
      <c r="A86" s="61"/>
      <c r="B86" s="95" t="s">
        <v>203</v>
      </c>
      <c r="C86" s="95"/>
      <c r="D86" s="95"/>
      <c r="E86" s="95"/>
      <c r="F86" s="95"/>
      <c r="G86" s="95"/>
      <c r="H86" s="39"/>
    </row>
    <row r="87" spans="1:8" s="45" customFormat="1" ht="23.95" customHeight="1">
      <c r="A87" s="61"/>
      <c r="B87" s="36" t="s">
        <v>110</v>
      </c>
      <c r="C87" s="53"/>
      <c r="D87" s="53"/>
      <c r="E87" s="53"/>
      <c r="F87" s="39"/>
      <c r="G87" s="39"/>
      <c r="H87" s="39"/>
    </row>
    <row r="88" spans="1:8" ht="23.95" customHeight="1">
      <c r="A88" s="39"/>
      <c r="B88" s="37" t="s">
        <v>112</v>
      </c>
      <c r="C88" s="77"/>
      <c r="D88" s="77"/>
      <c r="E88" s="77"/>
      <c r="F88" s="77"/>
      <c r="G88" s="77"/>
      <c r="H88" s="40"/>
    </row>
    <row r="89" spans="1:8" ht="23.95" customHeight="1">
      <c r="A89" s="39"/>
      <c r="B89" s="77" t="s">
        <v>113</v>
      </c>
      <c r="C89" s="77"/>
      <c r="D89" s="77"/>
      <c r="E89" s="77"/>
      <c r="F89" s="77"/>
      <c r="G89" s="77"/>
      <c r="H89" s="40"/>
    </row>
    <row r="90" spans="1:8" ht="23.95" customHeight="1">
      <c r="A90" s="39"/>
      <c r="B90" s="36" t="s">
        <v>120</v>
      </c>
      <c r="C90" s="38"/>
      <c r="D90" s="38"/>
      <c r="E90" s="38"/>
      <c r="F90" s="38"/>
      <c r="G90" s="38"/>
      <c r="H90" s="40"/>
    </row>
    <row r="91" spans="1:8" s="82" customFormat="1" ht="23.95" customHeight="1">
      <c r="B91" s="82" t="s">
        <v>227</v>
      </c>
      <c r="C91" s="52"/>
      <c r="D91" s="43"/>
      <c r="E91" s="43"/>
      <c r="F91" s="43"/>
      <c r="G91" s="43"/>
      <c r="H91" s="43"/>
    </row>
    <row r="92" spans="1:8" s="82" customFormat="1" ht="23.95" customHeight="1">
      <c r="B92" s="82" t="s">
        <v>211</v>
      </c>
      <c r="C92" s="52"/>
      <c r="D92" s="43"/>
      <c r="E92" s="43"/>
      <c r="F92" s="43"/>
      <c r="G92" s="43"/>
      <c r="H92" s="43"/>
    </row>
    <row r="93" spans="1:8" s="82" customFormat="1" ht="23.95" customHeight="1">
      <c r="B93" s="99" t="s">
        <v>212</v>
      </c>
      <c r="C93" s="99"/>
      <c r="D93" s="99"/>
      <c r="E93" s="99"/>
      <c r="F93" s="99"/>
      <c r="G93" s="43"/>
      <c r="H93" s="43"/>
    </row>
    <row r="94" spans="1:8" s="82" customFormat="1" ht="23.95" customHeight="1">
      <c r="B94" s="36" t="s">
        <v>176</v>
      </c>
      <c r="C94" s="52"/>
      <c r="D94" s="43"/>
      <c r="E94" s="43"/>
      <c r="F94" s="43"/>
      <c r="G94" s="43"/>
      <c r="H94" s="43"/>
    </row>
    <row r="95" spans="1:8" s="82" customFormat="1" ht="23.95" customHeight="1">
      <c r="B95" s="36"/>
      <c r="C95" s="52"/>
      <c r="D95" s="43"/>
      <c r="E95" s="43"/>
      <c r="F95" s="43"/>
      <c r="G95" s="43"/>
      <c r="H95" s="43"/>
    </row>
    <row r="96" spans="1:8" ht="23.95" customHeight="1">
      <c r="A96" s="79" t="s">
        <v>57</v>
      </c>
      <c r="C96" s="39"/>
      <c r="D96" s="39"/>
      <c r="E96" s="39"/>
      <c r="F96" s="39"/>
      <c r="G96" s="39"/>
      <c r="H96" s="39"/>
    </row>
    <row r="97" spans="2:9" ht="23.95" customHeight="1">
      <c r="B97" s="42" t="s">
        <v>54</v>
      </c>
      <c r="C97" s="44"/>
      <c r="D97" s="44"/>
      <c r="E97" s="44"/>
      <c r="F97" s="44"/>
      <c r="G97" s="44"/>
      <c r="H97" s="44"/>
    </row>
    <row r="98" spans="2:9" ht="23.95" customHeight="1">
      <c r="B98" s="36" t="s">
        <v>213</v>
      </c>
      <c r="C98" s="44"/>
      <c r="D98" s="44"/>
      <c r="E98" s="44"/>
      <c r="F98" s="44"/>
      <c r="G98" s="81"/>
      <c r="H98" s="44"/>
    </row>
    <row r="99" spans="2:9" ht="23.95" customHeight="1">
      <c r="B99" s="82" t="s">
        <v>172</v>
      </c>
      <c r="C99" s="44"/>
      <c r="D99" s="44"/>
      <c r="E99" s="44"/>
      <c r="F99" s="44"/>
      <c r="G99" s="44"/>
    </row>
    <row r="100" spans="2:9" ht="23.95" customHeight="1">
      <c r="B100" s="36" t="s">
        <v>171</v>
      </c>
      <c r="C100" s="44"/>
      <c r="D100" s="44"/>
      <c r="E100" s="44"/>
      <c r="F100" s="44"/>
      <c r="G100" s="44"/>
    </row>
    <row r="101" spans="2:9" ht="23.95" customHeight="1">
      <c r="B101" s="36" t="s">
        <v>130</v>
      </c>
      <c r="C101" s="44"/>
      <c r="D101" s="44"/>
      <c r="E101" s="44"/>
      <c r="F101" s="44"/>
      <c r="G101" s="44"/>
      <c r="H101" s="44"/>
    </row>
    <row r="102" spans="2:9" s="82" customFormat="1" ht="23.95" customHeight="1">
      <c r="B102" s="95" t="s">
        <v>133</v>
      </c>
      <c r="C102" s="95"/>
      <c r="D102" s="95"/>
      <c r="E102" s="95"/>
      <c r="F102" s="95"/>
      <c r="G102" s="95"/>
      <c r="H102" s="95"/>
      <c r="I102" s="95"/>
    </row>
    <row r="103" spans="2:9" s="82" customFormat="1" ht="23.95" customHeight="1">
      <c r="B103" s="39" t="s">
        <v>134</v>
      </c>
      <c r="D103" s="43"/>
      <c r="E103" s="43"/>
      <c r="F103" s="43"/>
      <c r="G103" s="43"/>
      <c r="H103" s="43"/>
    </row>
    <row r="104" spans="2:9" s="82" customFormat="1" ht="23.95" customHeight="1">
      <c r="B104" s="39" t="s">
        <v>136</v>
      </c>
      <c r="D104" s="43"/>
      <c r="E104" s="43"/>
      <c r="F104" s="43"/>
      <c r="G104" s="43"/>
      <c r="H104" s="43"/>
    </row>
    <row r="105" spans="2:9" s="82" customFormat="1" ht="23.95" customHeight="1">
      <c r="B105" s="39" t="s">
        <v>138</v>
      </c>
      <c r="D105" s="43"/>
      <c r="E105" s="43"/>
      <c r="F105" s="43"/>
      <c r="G105" s="43"/>
      <c r="H105" s="43"/>
    </row>
    <row r="106" spans="2:9" s="82" customFormat="1" ht="23.95" customHeight="1">
      <c r="B106" s="39" t="s">
        <v>141</v>
      </c>
      <c r="D106" s="43"/>
      <c r="E106" s="43"/>
      <c r="F106" s="43"/>
      <c r="G106" s="43"/>
      <c r="H106" s="43"/>
    </row>
    <row r="107" spans="2:9" s="82" customFormat="1" ht="23.95" customHeight="1">
      <c r="B107" s="82" t="s">
        <v>155</v>
      </c>
      <c r="D107" s="43"/>
      <c r="E107" s="43"/>
      <c r="F107" s="43"/>
      <c r="G107" s="43"/>
      <c r="H107" s="43"/>
    </row>
    <row r="108" spans="2:9" s="82" customFormat="1" ht="23.95" customHeight="1">
      <c r="B108" s="82" t="s">
        <v>159</v>
      </c>
      <c r="D108" s="43"/>
      <c r="E108" s="43"/>
      <c r="F108" s="43"/>
      <c r="G108" s="43"/>
      <c r="H108" s="43"/>
    </row>
    <row r="109" spans="2:9" s="82" customFormat="1" ht="23.95" customHeight="1">
      <c r="B109" s="39" t="s">
        <v>143</v>
      </c>
      <c r="D109" s="43"/>
      <c r="E109" s="43"/>
      <c r="F109" s="43"/>
      <c r="G109" s="43"/>
      <c r="H109" s="43"/>
    </row>
    <row r="110" spans="2:9" s="82" customFormat="1" ht="23.95" customHeight="1">
      <c r="B110" s="39" t="s">
        <v>144</v>
      </c>
      <c r="D110" s="43"/>
      <c r="E110" s="43"/>
      <c r="F110" s="43"/>
      <c r="G110" s="43"/>
      <c r="H110" s="43"/>
    </row>
    <row r="111" spans="2:9" s="82" customFormat="1" ht="23.95" customHeight="1">
      <c r="B111" s="39" t="s">
        <v>145</v>
      </c>
      <c r="D111" s="43"/>
      <c r="E111" s="43"/>
      <c r="F111" s="43"/>
      <c r="G111" s="43"/>
      <c r="H111" s="43"/>
    </row>
    <row r="112" spans="2:9" s="82" customFormat="1" ht="23.95" customHeight="1">
      <c r="B112" s="82" t="s">
        <v>162</v>
      </c>
      <c r="D112" s="43"/>
      <c r="E112" s="43"/>
      <c r="F112" s="43"/>
      <c r="G112" s="43"/>
      <c r="H112" s="43"/>
    </row>
    <row r="113" spans="2:8" s="82" customFormat="1" ht="23.95" customHeight="1">
      <c r="B113" s="82" t="s">
        <v>160</v>
      </c>
      <c r="D113" s="43"/>
      <c r="E113" s="43"/>
      <c r="F113" s="43"/>
      <c r="G113" s="43"/>
      <c r="H113" s="43"/>
    </row>
    <row r="114" spans="2:8" s="82" customFormat="1" ht="23.95" customHeight="1">
      <c r="B114" s="39" t="s">
        <v>137</v>
      </c>
      <c r="D114" s="43"/>
      <c r="E114" s="43"/>
      <c r="F114" s="43"/>
      <c r="G114" s="43"/>
      <c r="H114" s="43"/>
    </row>
    <row r="115" spans="2:8" s="82" customFormat="1" ht="23.95" customHeight="1">
      <c r="B115" s="39" t="s">
        <v>150</v>
      </c>
      <c r="D115" s="43"/>
      <c r="E115" s="43"/>
      <c r="F115" s="43"/>
      <c r="G115" s="43"/>
      <c r="H115" s="43"/>
    </row>
    <row r="116" spans="2:8" s="82" customFormat="1" ht="23.95" customHeight="1">
      <c r="B116" s="82" t="s">
        <v>151</v>
      </c>
      <c r="D116" s="43"/>
      <c r="E116" s="43"/>
      <c r="F116" s="43"/>
      <c r="G116" s="43"/>
      <c r="H116" s="43"/>
    </row>
    <row r="117" spans="2:8" s="82" customFormat="1" ht="23.95" customHeight="1">
      <c r="B117" s="82" t="s">
        <v>152</v>
      </c>
      <c r="D117" s="43"/>
      <c r="E117" s="43"/>
      <c r="F117" s="43"/>
      <c r="G117" s="43"/>
      <c r="H117" s="43"/>
    </row>
    <row r="118" spans="2:8" s="82" customFormat="1" ht="23.95" customHeight="1">
      <c r="B118" s="39" t="s">
        <v>139</v>
      </c>
      <c r="D118" s="43"/>
      <c r="E118" s="43"/>
      <c r="F118" s="43"/>
      <c r="G118" s="43"/>
      <c r="H118" s="43"/>
    </row>
    <row r="119" spans="2:8" s="82" customFormat="1" ht="23.95" customHeight="1">
      <c r="B119" s="39" t="s">
        <v>140</v>
      </c>
      <c r="D119" s="43"/>
      <c r="E119" s="43"/>
      <c r="F119" s="43"/>
      <c r="G119" s="43"/>
      <c r="H119" s="43"/>
    </row>
    <row r="120" spans="2:8" s="82" customFormat="1" ht="23.95" customHeight="1">
      <c r="B120" s="39" t="s">
        <v>147</v>
      </c>
      <c r="D120" s="43"/>
      <c r="E120" s="43"/>
      <c r="F120" s="43"/>
      <c r="G120" s="43"/>
      <c r="H120" s="43"/>
    </row>
    <row r="121" spans="2:8" s="82" customFormat="1" ht="23.95" customHeight="1">
      <c r="B121" s="39" t="s">
        <v>148</v>
      </c>
      <c r="D121" s="43"/>
      <c r="E121" s="43"/>
      <c r="F121" s="43"/>
      <c r="G121" s="43"/>
      <c r="H121" s="43"/>
    </row>
    <row r="122" spans="2:8" s="82" customFormat="1" ht="23.95" customHeight="1">
      <c r="B122" s="39" t="s">
        <v>149</v>
      </c>
      <c r="D122" s="43"/>
      <c r="E122" s="43"/>
      <c r="F122" s="43"/>
      <c r="G122" s="43"/>
      <c r="H122" s="43"/>
    </row>
    <row r="123" spans="2:8" s="82" customFormat="1" ht="23.95" customHeight="1">
      <c r="B123" s="39" t="s">
        <v>150</v>
      </c>
      <c r="D123" s="43"/>
      <c r="E123" s="43"/>
      <c r="F123" s="43"/>
      <c r="G123" s="43"/>
      <c r="H123" s="43"/>
    </row>
    <row r="124" spans="2:8" s="82" customFormat="1" ht="23.95" customHeight="1">
      <c r="B124" s="82" t="s">
        <v>188</v>
      </c>
    </row>
    <row r="125" spans="2:8" s="82" customFormat="1" ht="23.95" customHeight="1">
      <c r="B125" s="82" t="s">
        <v>153</v>
      </c>
    </row>
    <row r="126" spans="2:8" s="82" customFormat="1" ht="23.95" customHeight="1">
      <c r="B126" s="82" t="s">
        <v>156</v>
      </c>
    </row>
    <row r="127" spans="2:8" s="82" customFormat="1" ht="23.95" customHeight="1">
      <c r="B127" s="82" t="s">
        <v>157</v>
      </c>
    </row>
    <row r="128" spans="2:8" s="82" customFormat="1" ht="23.95" customHeight="1">
      <c r="B128" s="82" t="s">
        <v>161</v>
      </c>
    </row>
    <row r="129" spans="1:8" s="82" customFormat="1" ht="23.95" customHeight="1">
      <c r="B129" s="82" t="s">
        <v>163</v>
      </c>
    </row>
    <row r="130" spans="1:8" s="82" customFormat="1" ht="23.95" customHeight="1">
      <c r="B130" s="82" t="s">
        <v>164</v>
      </c>
    </row>
    <row r="131" spans="1:8" s="82" customFormat="1" ht="23.95" customHeight="1">
      <c r="B131" s="82" t="s">
        <v>165</v>
      </c>
    </row>
    <row r="132" spans="1:8" s="82" customFormat="1" ht="23.95" customHeight="1">
      <c r="B132" s="82" t="s">
        <v>166</v>
      </c>
    </row>
    <row r="133" spans="1:8" s="82" customFormat="1" ht="23.95" customHeight="1">
      <c r="B133" s="82" t="s">
        <v>168</v>
      </c>
    </row>
    <row r="134" spans="1:8" s="82" customFormat="1" ht="23.95" customHeight="1">
      <c r="B134" s="82" t="s">
        <v>173</v>
      </c>
    </row>
    <row r="135" spans="1:8" s="82" customFormat="1" ht="23.95" customHeight="1">
      <c r="B135" s="82" t="s">
        <v>189</v>
      </c>
    </row>
    <row r="136" spans="1:8" s="82" customFormat="1" ht="23.95" customHeight="1">
      <c r="B136" s="82" t="s">
        <v>175</v>
      </c>
    </row>
    <row r="137" spans="1:8" s="82" customFormat="1" ht="23.95" customHeight="1">
      <c r="B137" s="82" t="s">
        <v>177</v>
      </c>
    </row>
    <row r="138" spans="1:8" s="82" customFormat="1" ht="23.95" customHeight="1">
      <c r="B138" s="82" t="s">
        <v>180</v>
      </c>
    </row>
    <row r="139" spans="1:8" s="82" customFormat="1" ht="23.95" customHeight="1">
      <c r="B139" s="82" t="s">
        <v>181</v>
      </c>
    </row>
    <row r="140" spans="1:8" s="82" customFormat="1" ht="23.95" customHeight="1"/>
    <row r="141" spans="1:8" s="82" customFormat="1" ht="23.95" customHeight="1">
      <c r="B141" s="47" t="s">
        <v>55</v>
      </c>
      <c r="C141" s="43"/>
      <c r="D141" s="43"/>
      <c r="E141" s="43"/>
      <c r="F141" s="43"/>
      <c r="G141" s="43"/>
      <c r="H141" s="43"/>
    </row>
    <row r="142" spans="1:8" s="82" customFormat="1" ht="23.95" customHeight="1">
      <c r="B142" s="36" t="s">
        <v>131</v>
      </c>
      <c r="C142" s="43"/>
      <c r="D142" s="43"/>
      <c r="E142" s="43"/>
      <c r="F142" s="43"/>
      <c r="G142" s="43"/>
      <c r="H142" s="43"/>
    </row>
    <row r="143" spans="1:8" s="82" customFormat="1" ht="23.95" customHeight="1">
      <c r="B143" s="36" t="s">
        <v>135</v>
      </c>
      <c r="C143" s="43"/>
      <c r="D143" s="43"/>
      <c r="E143" s="43"/>
      <c r="F143" s="43"/>
      <c r="G143" s="43"/>
      <c r="H143" s="43"/>
    </row>
    <row r="144" spans="1:8" ht="23.95" customHeight="1">
      <c r="A144" s="82"/>
      <c r="B144" s="36" t="s">
        <v>146</v>
      </c>
      <c r="C144" s="48"/>
      <c r="D144" s="48"/>
      <c r="E144" s="48"/>
      <c r="F144" s="48"/>
      <c r="G144" s="48"/>
      <c r="H144" s="48"/>
    </row>
    <row r="145" spans="1:9" ht="23.95" customHeight="1">
      <c r="A145" s="82"/>
      <c r="B145" s="37" t="s">
        <v>154</v>
      </c>
      <c r="C145" s="48"/>
      <c r="D145" s="48"/>
      <c r="E145" s="48"/>
      <c r="F145" s="48"/>
      <c r="G145" s="48"/>
      <c r="H145" s="48"/>
    </row>
    <row r="146" spans="1:9" s="82" customFormat="1" ht="23.95" customHeight="1">
      <c r="A146" s="80"/>
      <c r="B146" s="39" t="s">
        <v>187</v>
      </c>
      <c r="D146" s="43"/>
      <c r="E146" s="43"/>
      <c r="F146" s="43"/>
      <c r="G146" s="43"/>
      <c r="H146" s="43"/>
    </row>
    <row r="147" spans="1:9" s="82" customFormat="1" ht="23.95" customHeight="1">
      <c r="A147" s="80"/>
      <c r="B147" s="36" t="s">
        <v>178</v>
      </c>
      <c r="D147" s="43"/>
      <c r="E147" s="43"/>
      <c r="F147" s="43"/>
      <c r="G147" s="43"/>
      <c r="H147" s="43"/>
    </row>
    <row r="148" spans="1:9" s="82" customFormat="1" ht="23.95" customHeight="1">
      <c r="A148" s="80"/>
      <c r="B148" s="36" t="s">
        <v>179</v>
      </c>
      <c r="D148" s="43"/>
      <c r="E148" s="43"/>
      <c r="F148" s="43"/>
      <c r="G148" s="43"/>
      <c r="H148" s="43"/>
    </row>
    <row r="149" spans="1:9" s="82" customFormat="1" ht="23.95" customHeight="1">
      <c r="A149" s="80"/>
      <c r="B149" s="36" t="s">
        <v>183</v>
      </c>
      <c r="D149" s="43"/>
      <c r="E149" s="43"/>
      <c r="F149" s="43"/>
      <c r="G149" s="43"/>
      <c r="H149" s="43"/>
    </row>
    <row r="150" spans="1:9" s="80" customFormat="1" ht="23.95" customHeight="1">
      <c r="A150" s="86"/>
      <c r="B150" s="36"/>
      <c r="E150" s="43"/>
      <c r="F150" s="43"/>
      <c r="G150" s="43"/>
      <c r="H150" s="43"/>
    </row>
    <row r="151" spans="1:9" s="86" customFormat="1" ht="23.95" customHeight="1">
      <c r="B151" s="50" t="s">
        <v>56</v>
      </c>
      <c r="C151" s="41"/>
      <c r="D151" s="41"/>
      <c r="E151" s="41"/>
      <c r="F151" s="41"/>
      <c r="G151" s="41"/>
      <c r="H151" s="41"/>
    </row>
    <row r="152" spans="1:9" s="86" customFormat="1" ht="23.95" customHeight="1">
      <c r="B152" s="36" t="s">
        <v>218</v>
      </c>
      <c r="C152" s="41"/>
      <c r="D152" s="41"/>
      <c r="E152" s="41"/>
      <c r="F152" s="41"/>
      <c r="G152" s="41"/>
      <c r="H152" s="41"/>
    </row>
    <row r="153" spans="1:9" s="86" customFormat="1" ht="23.95" customHeight="1">
      <c r="B153" s="82" t="s">
        <v>184</v>
      </c>
      <c r="D153" s="41"/>
      <c r="E153" s="41"/>
      <c r="F153" s="41"/>
      <c r="G153" s="41"/>
      <c r="H153" s="41"/>
      <c r="I153" s="41"/>
    </row>
    <row r="154" spans="1:9" s="86" customFormat="1" ht="23.95" customHeight="1">
      <c r="A154" s="82"/>
      <c r="B154" s="36" t="s">
        <v>132</v>
      </c>
      <c r="C154" s="36"/>
      <c r="D154" s="41"/>
      <c r="E154" s="41"/>
      <c r="F154" s="41"/>
      <c r="G154" s="41"/>
      <c r="H154" s="41"/>
      <c r="I154" s="41"/>
    </row>
    <row r="155" spans="1:9" s="86" customFormat="1" ht="23.95" customHeight="1">
      <c r="B155" s="36" t="s">
        <v>182</v>
      </c>
      <c r="C155" s="41"/>
      <c r="D155" s="41"/>
      <c r="E155" s="41"/>
      <c r="F155" s="41"/>
      <c r="G155" s="41"/>
      <c r="H155" s="41"/>
    </row>
    <row r="156" spans="1:9" s="86" customFormat="1" ht="23.95" customHeight="1">
      <c r="B156" s="36" t="s">
        <v>185</v>
      </c>
      <c r="E156" s="41"/>
      <c r="F156" s="41"/>
      <c r="G156" s="41"/>
      <c r="H156" s="41"/>
      <c r="I156" s="41"/>
    </row>
    <row r="157" spans="1:9" s="86" customFormat="1" ht="23.95" customHeight="1">
      <c r="B157" s="82" t="s">
        <v>158</v>
      </c>
      <c r="E157" s="41"/>
      <c r="F157" s="41"/>
      <c r="G157" s="41"/>
      <c r="H157" s="41"/>
      <c r="I157" s="41"/>
    </row>
    <row r="158" spans="1:9" s="86" customFormat="1" ht="23.95" customHeight="1">
      <c r="B158" s="39" t="s">
        <v>142</v>
      </c>
      <c r="E158" s="41"/>
      <c r="F158" s="41"/>
      <c r="G158" s="41"/>
      <c r="H158" s="41"/>
      <c r="I158" s="41"/>
    </row>
    <row r="159" spans="1:9" s="86" customFormat="1" ht="23.95" customHeight="1">
      <c r="B159" s="82" t="s">
        <v>174</v>
      </c>
      <c r="E159" s="41"/>
      <c r="F159" s="41"/>
      <c r="G159" s="41"/>
      <c r="H159" s="41"/>
      <c r="I159" s="41"/>
    </row>
    <row r="160" spans="1:9" s="86" customFormat="1" ht="23.95" customHeight="1">
      <c r="B160" s="82" t="s">
        <v>167</v>
      </c>
      <c r="E160" s="41"/>
      <c r="F160" s="41"/>
      <c r="G160" s="41"/>
      <c r="H160" s="41"/>
      <c r="I160" s="41"/>
    </row>
    <row r="161" spans="1:8" s="86" customFormat="1" ht="23.95" customHeight="1">
      <c r="B161" s="82" t="s">
        <v>169</v>
      </c>
      <c r="C161" s="41"/>
      <c r="D161" s="41"/>
      <c r="E161" s="41"/>
      <c r="F161" s="41"/>
      <c r="G161" s="41"/>
      <c r="H161" s="41"/>
    </row>
    <row r="162" spans="1:8" s="86" customFormat="1" ht="23.95" customHeight="1">
      <c r="B162" s="36"/>
      <c r="C162" s="38"/>
      <c r="D162" s="38"/>
      <c r="E162" s="38"/>
      <c r="F162" s="38"/>
      <c r="G162" s="38"/>
      <c r="H162" s="38"/>
    </row>
    <row r="163" spans="1:8" s="86" customFormat="1" ht="23.95" customHeight="1">
      <c r="B163" s="39"/>
      <c r="C163" s="38"/>
      <c r="D163" s="38"/>
      <c r="E163" s="38"/>
      <c r="F163" s="38"/>
      <c r="G163" s="38"/>
      <c r="H163" s="38"/>
    </row>
    <row r="164" spans="1:8" s="86" customFormat="1" ht="23.95" customHeight="1">
      <c r="B164" s="36"/>
      <c r="C164" s="41"/>
      <c r="D164" s="41"/>
      <c r="E164" s="41"/>
      <c r="F164" s="41"/>
      <c r="G164" s="41"/>
      <c r="H164" s="41"/>
    </row>
    <row r="165" spans="1:8" s="86" customFormat="1" ht="23.95" customHeight="1">
      <c r="B165" s="36"/>
      <c r="C165" s="41"/>
      <c r="D165" s="41"/>
      <c r="E165" s="41"/>
      <c r="F165" s="41"/>
      <c r="G165" s="41"/>
      <c r="H165" s="41"/>
    </row>
    <row r="166" spans="1:8" s="86" customFormat="1" ht="23.95" customHeight="1">
      <c r="A166" s="82"/>
      <c r="B166" s="36"/>
      <c r="C166" s="41"/>
      <c r="D166" s="41"/>
      <c r="E166" s="41"/>
      <c r="F166" s="41"/>
      <c r="G166" s="41"/>
      <c r="H166" s="41"/>
    </row>
    <row r="167" spans="1:8" s="86" customFormat="1" ht="23.95" customHeight="1">
      <c r="A167" s="82"/>
      <c r="C167" s="41"/>
      <c r="D167" s="41"/>
      <c r="E167" s="41"/>
      <c r="F167" s="41"/>
      <c r="G167" s="41"/>
      <c r="H167" s="41"/>
    </row>
    <row r="168" spans="1:8" s="86" customFormat="1" ht="23.95" customHeight="1">
      <c r="A168" s="82"/>
      <c r="B168" s="36"/>
      <c r="C168" s="41"/>
      <c r="D168" s="41"/>
      <c r="E168" s="41"/>
      <c r="F168" s="41"/>
      <c r="G168" s="41"/>
      <c r="H168" s="41"/>
    </row>
    <row r="169" spans="1:8" ht="23.95" customHeight="1">
      <c r="A169" s="82"/>
      <c r="C169" s="48"/>
      <c r="D169" s="48"/>
      <c r="E169" s="51"/>
      <c r="F169" s="51"/>
      <c r="G169" s="51"/>
      <c r="H169" s="48"/>
    </row>
    <row r="170" spans="1:8" s="82" customFormat="1" ht="23.95" customHeight="1">
      <c r="A170" s="86"/>
      <c r="C170" s="43"/>
      <c r="D170" s="43"/>
      <c r="E170" s="43"/>
      <c r="F170" s="43"/>
      <c r="G170" s="43"/>
      <c r="H170" s="43"/>
    </row>
    <row r="171" spans="1:8" s="82" customFormat="1" ht="23.95" customHeight="1">
      <c r="C171" s="43"/>
      <c r="D171" s="43"/>
      <c r="E171" s="43"/>
      <c r="F171" s="43"/>
      <c r="G171" s="43"/>
      <c r="H171" s="43"/>
    </row>
    <row r="172" spans="1:8" s="86" customFormat="1" ht="23.95" customHeight="1">
      <c r="A172" s="82"/>
      <c r="C172" s="41"/>
      <c r="D172" s="41"/>
      <c r="E172" s="41"/>
      <c r="F172" s="41"/>
      <c r="G172" s="41"/>
      <c r="H172" s="41"/>
    </row>
    <row r="173" spans="1:8" s="86" customFormat="1" ht="23.95" customHeight="1">
      <c r="A173" s="82"/>
      <c r="B173" s="49"/>
      <c r="C173" s="41"/>
      <c r="D173" s="41"/>
      <c r="E173" s="41"/>
      <c r="F173" s="41"/>
      <c r="G173" s="41"/>
      <c r="H173" s="41"/>
    </row>
    <row r="174" spans="1:8" s="82" customFormat="1" ht="23.95" customHeight="1">
      <c r="B174" s="49"/>
      <c r="C174" s="43"/>
      <c r="D174" s="43"/>
      <c r="E174" s="43"/>
      <c r="F174" s="43"/>
      <c r="G174" s="43"/>
      <c r="H174" s="43"/>
    </row>
    <row r="175" spans="1:8" s="82" customFormat="1" ht="23.95" customHeight="1">
      <c r="A175" s="86"/>
      <c r="B175" s="49"/>
      <c r="C175" s="43"/>
      <c r="D175" s="43"/>
      <c r="E175" s="43"/>
      <c r="F175" s="43"/>
      <c r="G175" s="43"/>
      <c r="H175" s="43"/>
    </row>
    <row r="176" spans="1:8" s="82" customFormat="1" ht="23.95" customHeight="1">
      <c r="B176" s="49"/>
      <c r="C176" s="43"/>
      <c r="D176" s="43"/>
      <c r="E176" s="43"/>
      <c r="F176" s="43"/>
      <c r="G176" s="43"/>
      <c r="H176" s="43"/>
    </row>
    <row r="177" spans="1:8" s="82" customFormat="1" ht="23.95" customHeight="1">
      <c r="B177" s="49"/>
      <c r="C177" s="43"/>
      <c r="D177" s="43"/>
      <c r="E177" s="43"/>
      <c r="F177" s="43"/>
      <c r="G177" s="43"/>
      <c r="H177" s="43"/>
    </row>
    <row r="178" spans="1:8" s="86" customFormat="1" ht="23.95" customHeight="1">
      <c r="A178" s="82"/>
      <c r="B178" s="46"/>
      <c r="C178" s="41"/>
      <c r="D178" s="41"/>
      <c r="E178" s="41"/>
      <c r="F178" s="41"/>
      <c r="G178" s="41"/>
      <c r="H178" s="41"/>
    </row>
    <row r="179" spans="1:8" s="82" customFormat="1" ht="23.95" customHeight="1">
      <c r="B179" s="46"/>
      <c r="C179" s="43"/>
      <c r="D179" s="43"/>
      <c r="E179" s="43"/>
      <c r="F179" s="43"/>
      <c r="G179" s="43"/>
      <c r="H179" s="43"/>
    </row>
    <row r="180" spans="1:8" s="82" customFormat="1" ht="23.95" customHeight="1">
      <c r="B180" s="46"/>
      <c r="C180" s="43"/>
      <c r="D180" s="43"/>
      <c r="E180" s="43"/>
      <c r="F180" s="43"/>
      <c r="G180" s="43"/>
      <c r="H180" s="43"/>
    </row>
    <row r="181" spans="1:8" s="82" customFormat="1" ht="23.95" customHeight="1">
      <c r="B181" s="46"/>
      <c r="C181" s="43"/>
      <c r="D181" s="43"/>
      <c r="E181" s="43"/>
      <c r="F181" s="43"/>
      <c r="G181" s="43"/>
      <c r="H181" s="43"/>
    </row>
    <row r="182" spans="1:8" s="82" customFormat="1" ht="23.95" customHeight="1">
      <c r="B182" s="49"/>
      <c r="C182" s="43"/>
      <c r="D182" s="43"/>
      <c r="E182" s="43"/>
      <c r="F182" s="43"/>
      <c r="G182" s="43"/>
      <c r="H182" s="43"/>
    </row>
    <row r="183" spans="1:8" s="82" customFormat="1" ht="23.95" customHeight="1">
      <c r="B183" s="49"/>
      <c r="C183" s="43"/>
      <c r="D183" s="43"/>
      <c r="E183" s="43"/>
      <c r="F183" s="43"/>
      <c r="G183" s="43"/>
      <c r="H183" s="43"/>
    </row>
    <row r="184" spans="1:8" s="82" customFormat="1" ht="23.95" customHeight="1">
      <c r="B184" s="49"/>
      <c r="C184" s="43"/>
      <c r="D184" s="43"/>
      <c r="E184" s="43"/>
      <c r="F184" s="43"/>
      <c r="G184" s="43"/>
      <c r="H184" s="43"/>
    </row>
    <row r="185" spans="1:8" s="82" customFormat="1" ht="23.95" customHeight="1">
      <c r="B185" s="49"/>
      <c r="C185" s="43"/>
      <c r="D185" s="43"/>
      <c r="E185" s="43"/>
      <c r="F185" s="43"/>
      <c r="G185" s="43"/>
      <c r="H185" s="43"/>
    </row>
    <row r="186" spans="1:8" s="82" customFormat="1" ht="23.95" customHeight="1">
      <c r="B186" s="49"/>
      <c r="C186" s="43"/>
      <c r="D186" s="43"/>
      <c r="E186" s="43"/>
      <c r="F186" s="43"/>
      <c r="G186" s="43"/>
      <c r="H186" s="43"/>
    </row>
    <row r="187" spans="1:8" s="82" customFormat="1" ht="23.95" customHeight="1">
      <c r="B187" s="49"/>
      <c r="C187" s="43"/>
      <c r="D187" s="43"/>
      <c r="E187" s="43"/>
      <c r="F187" s="43"/>
      <c r="G187" s="43"/>
      <c r="H187" s="43"/>
    </row>
    <row r="188" spans="1:8" s="82" customFormat="1" ht="23.95" customHeight="1">
      <c r="B188" s="49"/>
      <c r="C188" s="43"/>
      <c r="D188" s="43"/>
      <c r="E188" s="43"/>
      <c r="F188" s="43"/>
      <c r="G188" s="43"/>
      <c r="H188" s="43"/>
    </row>
    <row r="189" spans="1:8" s="82" customFormat="1" ht="23.95" customHeight="1">
      <c r="B189" s="49"/>
      <c r="C189" s="43"/>
      <c r="D189" s="43"/>
      <c r="E189" s="43"/>
      <c r="F189" s="43"/>
      <c r="G189" s="43"/>
      <c r="H189" s="43"/>
    </row>
    <row r="190" spans="1:8" s="82" customFormat="1" ht="23.95" customHeight="1">
      <c r="B190" s="49"/>
      <c r="C190" s="43"/>
      <c r="D190" s="43"/>
      <c r="E190" s="43"/>
      <c r="F190" s="43"/>
      <c r="G190" s="43"/>
      <c r="H190" s="43"/>
    </row>
    <row r="191" spans="1:8" s="82" customFormat="1" ht="23.95" customHeight="1">
      <c r="B191" s="49"/>
      <c r="C191" s="43"/>
      <c r="D191" s="43"/>
      <c r="E191" s="43"/>
      <c r="F191" s="43"/>
      <c r="G191" s="43"/>
      <c r="H191" s="43"/>
    </row>
    <row r="192" spans="1:8" s="82" customFormat="1" ht="23.95" customHeight="1">
      <c r="B192" s="49"/>
      <c r="C192" s="43"/>
      <c r="D192" s="43"/>
      <c r="E192" s="43"/>
      <c r="F192" s="43"/>
      <c r="G192" s="43"/>
      <c r="H192" s="43"/>
    </row>
    <row r="193" spans="1:8" s="82" customFormat="1" ht="23.95" customHeight="1">
      <c r="B193" s="37"/>
      <c r="C193" s="43"/>
      <c r="D193" s="43"/>
      <c r="E193" s="43"/>
      <c r="F193" s="43"/>
      <c r="G193" s="43"/>
      <c r="H193" s="43"/>
    </row>
    <row r="194" spans="1:8" s="82" customFormat="1" ht="23.95" customHeight="1">
      <c r="B194" s="37"/>
      <c r="C194" s="43"/>
      <c r="D194" s="43"/>
      <c r="E194" s="43"/>
      <c r="F194" s="43"/>
      <c r="G194" s="43"/>
      <c r="H194" s="43"/>
    </row>
    <row r="195" spans="1:8" s="82" customFormat="1" ht="23.95" customHeight="1">
      <c r="B195" s="37"/>
      <c r="C195" s="43"/>
      <c r="D195" s="43"/>
      <c r="E195" s="43"/>
      <c r="F195" s="43"/>
      <c r="G195" s="43"/>
      <c r="H195" s="43"/>
    </row>
    <row r="196" spans="1:8" s="82" customFormat="1" ht="23.95" customHeight="1">
      <c r="B196" s="37"/>
      <c r="C196" s="43"/>
      <c r="D196" s="43"/>
      <c r="E196" s="43"/>
      <c r="F196" s="43"/>
      <c r="G196" s="43"/>
      <c r="H196" s="43"/>
    </row>
    <row r="197" spans="1:8" s="82" customFormat="1" ht="23.95" customHeight="1">
      <c r="A197" s="37"/>
      <c r="B197" s="37"/>
      <c r="C197" s="43"/>
      <c r="D197" s="43"/>
      <c r="E197" s="43"/>
      <c r="F197" s="43"/>
      <c r="G197" s="43"/>
      <c r="H197" s="43"/>
    </row>
    <row r="198" spans="1:8" s="82" customFormat="1" ht="23.95" customHeight="1">
      <c r="A198" s="37"/>
      <c r="B198" s="37"/>
      <c r="C198" s="43"/>
      <c r="D198" s="43"/>
      <c r="E198" s="43"/>
      <c r="F198" s="43"/>
      <c r="G198" s="43"/>
      <c r="H198" s="43"/>
    </row>
    <row r="199" spans="1:8" s="82" customFormat="1" ht="23.95" customHeight="1">
      <c r="A199" s="37"/>
      <c r="B199" s="37"/>
      <c r="C199" s="43"/>
      <c r="D199" s="43"/>
      <c r="E199" s="43"/>
      <c r="F199" s="43"/>
      <c r="G199" s="43"/>
      <c r="H199" s="43"/>
    </row>
  </sheetData>
  <mergeCells count="13">
    <mergeCell ref="A1:I1"/>
    <mergeCell ref="B85:C85"/>
    <mergeCell ref="B86:G86"/>
    <mergeCell ref="B67:I67"/>
    <mergeCell ref="B102:I102"/>
    <mergeCell ref="A13:B13"/>
    <mergeCell ref="B63:D63"/>
    <mergeCell ref="B93:F93"/>
    <mergeCell ref="A2:H2"/>
    <mergeCell ref="B5:H5"/>
    <mergeCell ref="B7:H7"/>
    <mergeCell ref="B6:H6"/>
    <mergeCell ref="A3:H3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 Table</vt:lpstr>
      <vt:lpstr>Summary</vt:lpstr>
      <vt:lpstr>'Total Table'!Print_Area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5384334</cp:lastModifiedBy>
  <cp:lastPrinted>2024-04-26T02:02:34Z</cp:lastPrinted>
  <dcterms:created xsi:type="dcterms:W3CDTF">2023-02-02T03:43:01Z</dcterms:created>
  <dcterms:modified xsi:type="dcterms:W3CDTF">2024-05-03T09:01:36Z</dcterms:modified>
</cp:coreProperties>
</file>