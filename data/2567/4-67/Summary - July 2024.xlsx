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45.246\Quality\Aaa\ESB\2567\7. July\"/>
    </mc:Choice>
  </mc:AlternateContent>
  <xr:revisionPtr revIDLastSave="0" documentId="13_ncr:1_{D6574BE3-9D5E-449D-B05A-8F18A440066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otal Table" sheetId="1" r:id="rId1"/>
    <sheet name="Summary" sheetId="2" r:id="rId2"/>
  </sheets>
  <definedNames>
    <definedName name="OLE_LINK1" localSheetId="1">Summary!#REF!</definedName>
    <definedName name="_xlnm.Print_Area" localSheetId="1">Summary!$A$1:$J$143</definedName>
    <definedName name="_xlnm.Print_Area" localSheetId="0">'Total Table'!$A$1:$N$116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5" i="1" l="1"/>
  <c r="E11" i="2" l="1"/>
  <c r="G11" i="2"/>
  <c r="K91" i="1"/>
  <c r="F91" i="1"/>
  <c r="F90" i="1"/>
  <c r="G45" i="1"/>
  <c r="H22" i="1" l="1"/>
  <c r="M22" i="1"/>
  <c r="B22" i="1" l="1"/>
  <c r="C22" i="1"/>
  <c r="E22" i="1"/>
  <c r="F22" i="1"/>
  <c r="G22" i="1"/>
  <c r="I22" i="1"/>
  <c r="K22" i="1"/>
  <c r="L22" i="1"/>
  <c r="N22" i="1"/>
  <c r="O22" i="1"/>
  <c r="P45" i="1" l="1"/>
  <c r="D45" i="1" l="1"/>
  <c r="E45" i="1" l="1"/>
  <c r="H45" i="1"/>
  <c r="J45" i="1"/>
  <c r="M45" i="1"/>
  <c r="N45" i="1"/>
  <c r="O45" i="1"/>
  <c r="J68" i="1"/>
  <c r="K68" i="1"/>
  <c r="L68" i="1"/>
  <c r="M68" i="1"/>
  <c r="N68" i="1"/>
  <c r="M91" i="1"/>
  <c r="B91" i="1"/>
  <c r="C91" i="1"/>
  <c r="D91" i="1"/>
  <c r="E91" i="1"/>
  <c r="G91" i="1"/>
  <c r="H91" i="1"/>
  <c r="I91" i="1"/>
  <c r="J91" i="1"/>
  <c r="B68" i="1"/>
  <c r="C68" i="1"/>
  <c r="D68" i="1"/>
  <c r="E68" i="1"/>
  <c r="G68" i="1"/>
  <c r="H68" i="1"/>
</calcChain>
</file>

<file path=xl/sharedStrings.xml><?xml version="1.0" encoding="utf-8"?>
<sst xmlns="http://schemas.openxmlformats.org/spreadsheetml/2006/main" count="590" uniqueCount="220">
  <si>
    <t>หัวข้อ</t>
  </si>
  <si>
    <t>ทันตกรรม</t>
  </si>
  <si>
    <t>ORTHO</t>
  </si>
  <si>
    <t>ศัลยกรรม</t>
  </si>
  <si>
    <t>พัฒนาการเด็ก</t>
  </si>
  <si>
    <t>ANC</t>
  </si>
  <si>
    <t>เบาหวาน</t>
  </si>
  <si>
    <t>เคมีบำบัด</t>
  </si>
  <si>
    <t>จักษุ</t>
  </si>
  <si>
    <t>จำนวนใบประเมิน</t>
  </si>
  <si>
    <t>4. แพทย์ให้ความสำคัญกับการตรวจร่างกายเพื่อวินิจฉัยโรค</t>
  </si>
  <si>
    <t>5. แพทย์ให้ข้อมูล/แนะนำวิธีการและทางเลือกในการรักษา</t>
  </si>
  <si>
    <t>6. คำถามและข้อสงสัย ได้รับคำตอบที่ชัดเจนจากแพทย์</t>
  </si>
  <si>
    <t>7. แพทย์รับฟัง/พูดคุยให้ท่านคลายความกังวลในอาการเจ็บป่วย</t>
  </si>
  <si>
    <t>8. ท่านได้มีโอกาสพูดคุยกับพยาบาลหรือเจ้าหน้าที่เรื่องอาการเจ็บป่วย</t>
  </si>
  <si>
    <t>9. พยาบาลเจ้าหน้าที่สามารถตอบข้อสงสัยได้ชัดเจน</t>
  </si>
  <si>
    <t>10. ท่านได้รับการดูแลเอาใจใส่</t>
  </si>
  <si>
    <t>11. ท่านมีส่วนร่วมในการตัดสินใจเรื่องการรักษาพยาบาล</t>
  </si>
  <si>
    <t>12. ท่านได้รับการดูแลอย่างเท่าเทียม ไม่เลือกปฏิบัติ</t>
  </si>
  <si>
    <t>13. ท่านได้รับคำแนะนำและขั้นตอนในการรับบริการโรงพยาบาล</t>
  </si>
  <si>
    <t>14. อาการเจ็บป่วยทางกายและใจได้รับการดูแลอย่างดี</t>
  </si>
  <si>
    <t>15. แพทย์เปิดโอกาสให้ผู้ป่วย/ญาติได้ซักถาม</t>
  </si>
  <si>
    <t>16. ผู้ป่วยและญาติได้รับข้อมูลการรักษาที่เป็นประโยชน์ สามารถดูแลตัวเองได้</t>
  </si>
  <si>
    <t>ระดับคะแนนเฉลี่ย</t>
  </si>
  <si>
    <t>คิดเป็นร้อยละ</t>
  </si>
  <si>
    <t>ไตเทียม</t>
  </si>
  <si>
    <t>1. เจ้าหน้าที่ให้การต้อนรับด้วยใบหน้ายิ้มแย้ม กล่าวคำว่าสวัสดีฯ</t>
  </si>
  <si>
    <t>ห้องคลอด</t>
  </si>
  <si>
    <t>ตึกสว่าง</t>
  </si>
  <si>
    <t>MICU</t>
  </si>
  <si>
    <t>18A</t>
  </si>
  <si>
    <t>18B</t>
  </si>
  <si>
    <t>18C</t>
  </si>
  <si>
    <t>18D</t>
  </si>
  <si>
    <t>19A</t>
  </si>
  <si>
    <t>19C</t>
  </si>
  <si>
    <t>19D</t>
  </si>
  <si>
    <t>21D</t>
  </si>
  <si>
    <t>22A</t>
  </si>
  <si>
    <t>22B</t>
  </si>
  <si>
    <t>22C</t>
  </si>
  <si>
    <t>22D</t>
  </si>
  <si>
    <t>23A</t>
  </si>
  <si>
    <t>24A</t>
  </si>
  <si>
    <t>25A</t>
  </si>
  <si>
    <t>25B</t>
  </si>
  <si>
    <t>26A</t>
  </si>
  <si>
    <t>26B</t>
  </si>
  <si>
    <t>OPD</t>
  </si>
  <si>
    <t>IPD</t>
  </si>
  <si>
    <t>ER</t>
  </si>
  <si>
    <t>BLD</t>
  </si>
  <si>
    <t>OR</t>
  </si>
  <si>
    <t>ข้อเสนอแนะ OPD</t>
  </si>
  <si>
    <t>1. ด้านบริการ</t>
  </si>
  <si>
    <t>2. ด้านบุคลากร</t>
  </si>
  <si>
    <t>3. ด้านอุปกรณ์ เครื่องมือ สถานที่</t>
  </si>
  <si>
    <t>ข้อเสนอแนะ IPD</t>
  </si>
  <si>
    <t>OB-GYN</t>
  </si>
  <si>
    <t>2. เจ้าหน้าที่พูดจาไพเราะ กิริยาสุภาพ อ่อนน้อม</t>
  </si>
  <si>
    <t>3. เจ้าหน้าที่พยายามให้ความสะดวกรวดเร็วในการบริการ</t>
  </si>
  <si>
    <t>การแนะนำญาติหรือคนรู้จักให้มาใช้บริการที่โรงพยาบาล (ร้อยละ)</t>
  </si>
  <si>
    <t>21A</t>
  </si>
  <si>
    <t>SICU</t>
  </si>
  <si>
    <t>19B</t>
  </si>
  <si>
    <t>NICU</t>
  </si>
  <si>
    <t>PED</t>
  </si>
  <si>
    <t>จิตเวช</t>
  </si>
  <si>
    <t xml:space="preserve"> </t>
  </si>
  <si>
    <t>Burn U.</t>
  </si>
  <si>
    <t xml:space="preserve">สรุปผล ข้อเสนอแนะที่ต้องได้รับการปรับปรุง คือ </t>
  </si>
  <si>
    <t>ฝังเข็ม</t>
  </si>
  <si>
    <t>ปฐมภูมิ</t>
  </si>
  <si>
    <t>ENT</t>
  </si>
  <si>
    <t>นอกเวลา</t>
  </si>
  <si>
    <t>Meta</t>
  </si>
  <si>
    <t>ผ่าตัดวิสัญญี</t>
  </si>
  <si>
    <t>MED</t>
  </si>
  <si>
    <t>กายภาพ</t>
  </si>
  <si>
    <t>ส่องกล้อง</t>
  </si>
  <si>
    <t>คลินิกเวชปฏิบัติ</t>
  </si>
  <si>
    <t>ไม่ระบุ</t>
  </si>
  <si>
    <t>ผิวหนัง</t>
  </si>
  <si>
    <t xml:space="preserve"> -</t>
  </si>
  <si>
    <t>-</t>
  </si>
  <si>
    <t>ศูนย์ประกันสุขภาพ</t>
  </si>
  <si>
    <t>เวชกรรม
ฟื้นฟู</t>
  </si>
  <si>
    <t>ชั้น 1
 อาคาร 
150 ปี</t>
  </si>
  <si>
    <t>โรคเลือด</t>
  </si>
  <si>
    <t>หัตถการ</t>
  </si>
  <si>
    <t>อันดับ 1 การให้บริการโดยรวม (OPD :  IPD :  )</t>
  </si>
  <si>
    <t>อันดับ 2 อุปกรณ์ เครื่องมือ และสถานที่ไม่สมบูรณ์ (OPD :   IPD : )</t>
  </si>
  <si>
    <t>อันดับ 3 การทำงานและพฤติกรรมของบุคลากร (OPD :  IPD : )</t>
  </si>
  <si>
    <t>สรุปการประเมินผล OP-IP VOICE เดือน</t>
  </si>
  <si>
    <t>ห้องบัตร ชั้น 1</t>
  </si>
  <si>
    <t>HBO</t>
  </si>
  <si>
    <t>37</t>
  </si>
  <si>
    <t>1012</t>
  </si>
  <si>
    <t>522</t>
  </si>
  <si>
    <t xml:space="preserve">ค่าเฉลี่ยการแนะนำญาติหรือคนรู้จักให้มาใช้บริการที่โรงพยาบาล  OPD = 95.40% IPD = 99.41%  </t>
  </si>
  <si>
    <t xml:space="preserve">ค่าเฉลี่ยความพึงพอใจการใช้บริการของโรงพยาบาล OPD =  86.09% IPD = 91.15%  </t>
  </si>
  <si>
    <t>การเงิน</t>
  </si>
  <si>
    <t xml:space="preserve"> - แพทย์มีน้อย อยากให้มีแพทย์เพิ่มมากขึ้น</t>
  </si>
  <si>
    <t xml:space="preserve"> - อยากให้มีร้านขายยาเพิ่มในโรงพยาบาล เพื่อให้คนไข้สะดวกซื้อยาบางชนิดได้</t>
  </si>
  <si>
    <t xml:space="preserve">   เพื่อลดการที่ผู้ป่วย/ญาติไปสอบถามเจ้าหน้าที่ เจ้าหน้าที่จะได้ทำงานอย่างต่อเนื่อง และไม่หงุดหงิดกับผู้ป่วยหรือญาติ</t>
  </si>
  <si>
    <t xml:space="preserve"> - อยากให้แนะนำกับผู้ป่วยอายุมากกว่า 70 ปีขึ้นไป ที่ไม่มีญาติมาด้วย (เพราะจำเป็น) ในการยืนนานรอเข้าคิวทุกกรณี ให้แยกตัวมานั่ง เมื่อถึงคิวค่อยลุกไปพบเจ้าหน้าที่ได้หรือไม่</t>
  </si>
  <si>
    <t xml:space="preserve"> - ขั้นตอนต่าง ๆ ใช้เวลานานมากเกินไป อาทิ การชำระเงิน จ่ายยา รับยา แล้วต้องกลับขึ้นมาพบพยาบาล และห้องจ่ายยาก็ช้ามาก ๆ คนก็เยอะ แนะนำให้โรงพยาบาลสมเด็จฯ </t>
  </si>
  <si>
    <t xml:space="preserve"> - ห้องยาชั้น 2 มีคนเข้าแถวรอจ่ายเงินทั้ง ๆ ที่คิวยังไม่ขึ้น ทำให้ยืนรอแน่นไปหมด แออัด</t>
  </si>
  <si>
    <t xml:space="preserve"> - ถ้าเป็นไปได้ อยากให้เปลี่ยนขั้นตอนการ “รับบัตรคิว” ด้วยมือ เป็นการรับบัตรคิวเข้าระบบไปเลย คือใครมาถึงแล้ว เวลาไหนก็ได้ของวันนัด สามารถเข้าไปติดต่อเจ้าหน้าที่ เพื่อแสดงตัวตน</t>
  </si>
  <si>
    <t xml:space="preserve">   และล็อคคิวไว้ในระบบได้เลย จากนั้นคนไข้ค่อยกลับมารอเรียกตามเลขที่คิวอีกทีตอน 16:00 น. ถ้าการรับบัตรคิวสามารถทำเข้าระบบได้เลย จะทำให้ลดความแออัด ความสับสนช่วง 15:00 น. </t>
  </si>
  <si>
    <t xml:space="preserve">   ไปได้เยอะ เพราะจากที่ได้ฟังจากคนไข้ท่านอื่นและที่ได้สัมผัสด้วยตัวเอง ยังมีความอึดอัดใจที่จะต้องมานั่งแข่งขันกับคนไข้ท่านอื่น ๆ ที่อาจจะพึ่งจะเดินเข้ามาตอนหลัง อาจจะไม่ได้สนใจว่าใครได้มา</t>
  </si>
  <si>
    <t xml:space="preserve">   นั่งรออยู่ก่อนแล้ว พอเจ้าหน้าที่เรียก ทุกคนก็จะพยายามเบียดเสียดแย่งกันเข้าไปรับคิวเป็นอันดับแรก ๆ คนที่มานั่งรออยู่ก่อนแล้ว อาจจะตั้งแต่บ่ายโมง หรือบ่าย 2 ถ้าแย่งเบียดเข้าไปตั้งแถวไม่ได้ </t>
  </si>
  <si>
    <t xml:space="preserve">   แล้วลดความสับสน ความขัดแย้งของคนไข้ไปได้เลย เพียงแต่ให้มายื่นยันตัวตนกับเจ้าหน้าที่ แล้วล็อคเลขที่คิวเข้าระบบในวันนัดได้เลย เวลาไหนก็ได้ก่อน 16:00 พอถึงเวลาก็แค่มายืนรอเรียก</t>
  </si>
  <si>
    <t xml:space="preserve">   ตามเลขที่คิว ไม่ต้องมีการตั้งคำถามว่า “ใครมาก่อน”</t>
  </si>
  <si>
    <t xml:space="preserve"> - คลินิกพิเศษมีใบนัด มาก่อนเวลา แต่มีการแจกคิวแบบงง ๆ ให้ผู้ป่วยที่วอคอินมาได้เข้าพบแพทย์ก่อน มา 16.00 น. แต่ได้เข้าพบแพทย์ 19.30 น. และแพทย์ต้องใช้เวลาคุยนานมาก ๆ ควรให้คนไข้</t>
  </si>
  <si>
    <t xml:space="preserve">   ได้เข้า Follow up ก่อน</t>
  </si>
  <si>
    <t xml:space="preserve"> - มาตรวจเข่ากับแพทย์ครั้งที่ 2 กับนายแพทย์สุรศักดิ์ ค่าแพทย์แพงมาก 1,500 บาท ทำไมถึงแพงขนาดนี้</t>
  </si>
  <si>
    <t xml:space="preserve"> - บริการแย่มาก มาถึง 13.30 น. บอกไม่รับแล้ว ให้รอรับคิว 15.00 น. ได้ตรวจตอน 17.00 น. จนตอนนี้ 19.00 น. แล้วยังไม่มีวี่แววอะไรเลย แย่</t>
  </si>
  <si>
    <t xml:space="preserve"> - มารอตั้งแต่ 9.00 น. จน 14.00 น. ยังไม่ถึงคิว</t>
  </si>
  <si>
    <t xml:space="preserve"> - รอคิวนาน (2)</t>
  </si>
  <si>
    <t xml:space="preserve"> - ควรสนใจผู้ป่วยบ้าง นั่งกดแต่โทรศัพท์กัน</t>
  </si>
  <si>
    <t xml:space="preserve">   ด้วยเสียงที่นุ่มนวลค่ะ</t>
  </si>
  <si>
    <t xml:space="preserve"> - เคาน์เตอร์ยื่นใบนัด เจ้าหน้าที่จะไม่ค่อยแจ้งให้ผู้ป่วยทราบว่าส่งใบนัดแล้วต้องไปชั้นไหนต่อ และควรใส่ใจผู้มาใช้บริการให้มากกว่านี้โดยเฉพาะชั้น 4 ไม่สนใจผู้ป่วยเลยยิ้มให้เยอะ ๆ ควรพูดคุยกับผู้ป่วย</t>
  </si>
  <si>
    <t xml:space="preserve"> - ที่จอดรถน้อย </t>
  </si>
  <si>
    <t xml:space="preserve"> - รอนาน (3)</t>
  </si>
  <si>
    <t xml:space="preserve"> - อยากให้ผู้บริหารประเมินจำนวนผู้เข้ารับบริการในแต่ละคลินิก จะเห็นได้ว่าผู้ป่วยไปติด หรือเสียเวลาอยู่ที่กระบวนการใด ยังเชื่อว่าโรงพยาบาลมีศักยภาพที่จะสามารถลดเวลารอคอย</t>
  </si>
  <si>
    <t xml:space="preserve">   ในกระบวนการต่าง ๆ ที่ติดขัดได้ เห็นมีการนำระบบคิวดิจิตอลมาใช้แล้วแต่อยากให้ปรับการใช้ระบบ</t>
  </si>
  <si>
    <t xml:space="preserve"> - ควรมีทางเลือกพิเศษสำหรับผู้มีประกันสุขภาพ ประกันชีวิต  อาจทำตึกแยกไปเลย เพื่อเป็นการเพิ่มรายได้ของโรงพยาบาล</t>
  </si>
  <si>
    <t xml:space="preserve"> - บางกระบวนการนานมาก ควรลดระยะเลารอคอย</t>
  </si>
  <si>
    <t xml:space="preserve"> - ควรมีเจ้าหน้าที่คอยมอง หรือสังเกตคนท้อง หรือคนที่เจ็บขาในการต่อคิว </t>
  </si>
  <si>
    <t xml:space="preserve"> - ข้อมูล การสื่อสาร บางครั้งทำให้สับสนในหลาย ๆ ครั้ง</t>
  </si>
  <si>
    <t xml:space="preserve"> - เจาะเลือดเจ็บ แต่เร็ว</t>
  </si>
  <si>
    <t xml:space="preserve"> - เรียกผู้ป่วยเข้าห้องตรวจแต่หมอไม่อยู่ตรวจปล่อยผู้ป่วยนั่งรอเป็นเวลาไม่ต่ำกว่าครึ่งชั่วโมงต่อคน ผู้ป่วยก็มีนัดต่อ บางคนมีธุระ บางคนมาตั้งแต่เช้า ๆ หมอมา 9.30 น. ยังต้องมานั่งรอในห้องตรวจ</t>
  </si>
  <si>
    <t xml:space="preserve">   เป็นชั่วโมงอีก คลินิกศัลยกรรมห้องตรวจเบอร์10 วันที่ 5/7/67 เวลา 8.00 - 10.45 ยังยังได้ตรวจเลย</t>
  </si>
  <si>
    <t xml:space="preserve"> - ห้องจ่ายยาช้ามาก </t>
  </si>
  <si>
    <t xml:space="preserve"> - ให้คำตอบไม่ชัดเจนเวลาถามว่าจะต้องไปเเผนกไหนต่อบ้าง ทำให้เสียเวลา</t>
  </si>
  <si>
    <t xml:space="preserve"> - ติดต่อแผนกอายุรกรรมไม่ได้เลย เบอร์ต่อ 10616,10617,10625 เพื่อรับการวินิจฉัย ผล MRI ในวันที่15/7/67 ทั้งวันไม่ได้เลย</t>
  </si>
  <si>
    <t xml:space="preserve"> - เวลาทำการรักษาช้าเกิน มาถึงโรงพยาบาล 7.00 น. ได้พบหมอ 12.00 น. </t>
  </si>
  <si>
    <t xml:space="preserve"> - รอนาน (5)</t>
  </si>
  <si>
    <t xml:space="preserve"> - บุคลากรทางการแพทย์ไม่เพียงพอต่อจำนวนผู้ป่วย</t>
  </si>
  <si>
    <t xml:space="preserve"> - ไม่ใส่ใจ ไม่สนใจผู้ป่วย ควรปรับปรุงนิสัยเจ้าหน้าที่อาคาร 100 ปี</t>
  </si>
  <si>
    <t xml:space="preserve"> - ขอร้องเรียนการมารับบัตรคิวตอนเช้า อยากให้ปรับปรุงระบบ คนที่มาคอยตอนเวลา 5.00 น. มีคนมาไม่ถึง 20 คน กลับได้คิว 160 กว่า และไม่อยากให้มีการแจกบัตรคิวให้คนที่มารับจ้าง
</t>
  </si>
  <si>
    <t xml:space="preserve">   เอาบัตรคิว เพราะดูเป็นการเอาเปรียบคนอื่น </t>
  </si>
  <si>
    <t xml:space="preserve"> - ที่จอดรถแพง ควรเพิ่มจำนวนที่จอดรถฟรี หรือปรับลดราคาที่จอดรถได้จะดี (2)</t>
  </si>
  <si>
    <t xml:space="preserve"> - อยากให้การตรวจครรภ์ ฝากครรภ์ อยู่ในชั้นเดียวกัน </t>
  </si>
  <si>
    <t xml:space="preserve"> - การอธิบายเรื่องขั้นตอนต่าง ๆ เพราะแยกชั้นของแต่ละแผนก คนมาครั้งแรกเดินจนงง พนักงงานหน้าเคาน์เตอร์ตรวจสอบสิทธิควรที่จะต้องอธิบายผู้ป่วยด้วยว่าต้องไปทางไหนติดต่อตรงไหน</t>
  </si>
  <si>
    <t xml:space="preserve"> - การเจาะเลือด ตรวจปัสสาวะควรอยู่ชั้นเดียวกัน เพื่อความสะดวกรวดเร็ว ผู้ป่วยเดินขึ้นลงลำบาก (3)</t>
  </si>
  <si>
    <t xml:space="preserve"> - ลิฟต์ช้า</t>
  </si>
  <si>
    <t xml:space="preserve"> - ห้องจ่ายยาคนรอเยอะไม่มีการการจัดการ เรียบกรับยา เรียกคิว หมายเลขที่ชัดเจน </t>
  </si>
  <si>
    <t xml:space="preserve"> - ควรแก้ไขทางขึ้นลงอาคารจอดรถ</t>
  </si>
  <si>
    <t xml:space="preserve"> - ติดต่อสอบถามทางโทรศัพท์ค่อนข้างยาก ไม่ค่อยมีคนรับสาย</t>
  </si>
  <si>
    <t xml:space="preserve"> - รอรับการรักษานานข้ามปี จองคิวรักษานานมาก ๆ (2)</t>
  </si>
  <si>
    <t xml:space="preserve"> - ไม่ควรเก็บค่าที่จอดรถ เพราะการบริการล่าช้า รอพบแพทย์นาน </t>
  </si>
  <si>
    <t xml:space="preserve"> - รอหมอนาน (3)</t>
  </si>
  <si>
    <t xml:space="preserve"> - ให้บริการช้า (3)</t>
  </si>
  <si>
    <t xml:space="preserve"> - การจราจร / ลานจอดรถ</t>
  </si>
  <si>
    <t xml:space="preserve"> - ลานจอดรถไม่เพียงพอ (2)</t>
  </si>
  <si>
    <t xml:space="preserve"> - ที่จอดรถบนอาคาร 150 ปี จุดขึ้นลงระหว่างชั้นวงเลี้ยวแคบมาก ๆ มองไม่เห็นขอบทางเลย และไม่มีกระจกช่วยมองมุมอับด้วย ( อันตรายมาก ๆ )</t>
  </si>
  <si>
    <t xml:space="preserve"> - ควรมีเคาน์เตอร์พยาบาลเพิ่มขึ้น</t>
  </si>
  <si>
    <t xml:space="preserve"> - การเสียเวลาในเรื่องเอกสาร</t>
  </si>
  <si>
    <t xml:space="preserve"> - ห้องหัตถการกลาง เวลาปฏิบัติงาน 11-12.00 ของวันที่ 20 กรกฎาคม 2567 เจ้าหน้าที่เวรเปลเข็นรถเข็นไปที่หน้าประตู ผู้ป่วยและเจ้าหน้าที่เวรเปล ต้องช่วยกันเปิดประตู แต่เจ้าหน้าที่ 2 คนด้านใน</t>
  </si>
  <si>
    <t xml:space="preserve">   กลับไม่ให้ความช่วยเหลือ กลับนั่งเล่นโทรศัพท์อยู่ด้านใน ละเลยการปฏิบัติหน้าที่</t>
  </si>
  <si>
    <t xml:space="preserve"> - อยากให้มีเสียงดนตรีเบา ๆ  บรรเลงขณะรอตรวจ</t>
  </si>
  <si>
    <t xml:space="preserve"> - อยากให้มีนักจิตบำบัดเพิ่ม มาช่วยแบ่งแบงภาระคุณหมอค่ะ</t>
  </si>
  <si>
    <t xml:space="preserve"> - ได้รับยาฉีด แต่ให้ไปรอรับยานานถึง 2 ชั่วโมง ผู้ป่วยมาพบแพทย์ด้วยอาการปวดท้องรุนแรง ปวดจนจุกลิ้นปี่ แต่ต้องไปรอรับยามาฉีดนาน</t>
  </si>
  <si>
    <t xml:space="preserve"> - ป้ายต่าง ๆ ที่สื่อสารให้ผู้ป่วยและญาติไม่มีความชัดเจน ควรจัดทำป้ายใหม่ให้มีความชัดเจน </t>
  </si>
  <si>
    <t xml:space="preserve"> - ที่จอดรถหายากมาก ๆ</t>
  </si>
  <si>
    <t xml:space="preserve"> - รายละเอียดข้อสงสัยบางอย่างที่ยังไม่ทราบแน่ชัด ต้องรอข้อมูลจากแพทย์</t>
  </si>
  <si>
    <t xml:space="preserve"> - อยากให้มีห้องอาบน้ำ ให้คุณแม่ฝึกเลี้ยงลูก</t>
  </si>
  <si>
    <t xml:space="preserve"> - ปรับปรุงเรื่องห้องพักพิเศษ อยากให้มีจำนวนห้องมากกว่านี้</t>
  </si>
  <si>
    <t xml:space="preserve"> - ควรเพิ่มแพทย์เวลากลางคืน ช่วงเวลาตั้งแต่ 21.00 น. เพราะมีหมอน้อยจนเกินไป เพราะช่วงกลางคืนมีผู้ป่วยนอกมารอต่อแถวพบแพทย์เป็นจำนวนมาก จากประสบการณ์เคยพาลูกมาพบแพทย์</t>
  </si>
  <si>
    <t xml:space="preserve">   ตอน 21.30 น. ได้เข้ารักษา ตอน 04.00 น.</t>
  </si>
  <si>
    <t xml:space="preserve"> - อยากให้ปรับปรุงเรื่องการปิดประตูเสียงดัง ผู้ป่วยนอนอยู่ถึงกับสะดุ้ง </t>
  </si>
  <si>
    <t xml:space="preserve"> - ผ้าห่มบางมาก </t>
  </si>
  <si>
    <t xml:space="preserve"> - ดำเนินการเรื่องเอกสารนาน</t>
  </si>
  <si>
    <t xml:space="preserve"> - อาหารโรงครัว สั่งเป็นอาหารอ่อนหรือเนื้อสัตว์ที่บดละเอียดแต่มาเป็นชิ้นใหญ่ทุกมื้อ เป็นอกไก่แข็ง ๆ ทานไม่ได้ เป็นเบาหวานแต่มีองุ่นกับส้มให้ทานทุกมื้อ</t>
  </si>
  <si>
    <t xml:space="preserve"> - เสียงดังในบางเวลา</t>
  </si>
  <si>
    <t xml:space="preserve"> - การประสานงานไม่สะดวก </t>
  </si>
  <si>
    <t xml:space="preserve"> - ควรปรับปรุงเรื่องอาหาร ให้มีรสชาติมากกว่านี้ เพราะจืดชืดจนทานไม่ลง ต้องเหลือทิ้งทุกวัน</t>
  </si>
  <si>
    <t xml:space="preserve"> - อาหารอ่อนเหลวไม่สามารถกลืนลงคอได้ ขอเป็นอาหารไม่รุงรส จะทานง่ายกว่า</t>
  </si>
  <si>
    <t xml:space="preserve"> - ควรมีทีวีให้ผู้ป่วยได้ดูข่าวสาร สารคดีต่าง ๆ บ้าง   (21D)</t>
  </si>
  <si>
    <t xml:space="preserve"> - แอร์เย็นมาก  (22A)</t>
  </si>
  <si>
    <t xml:space="preserve"> - ควรมีเก้าอี้ให้ญาติที่มาเยี่ยมนั่ง (22C)</t>
  </si>
  <si>
    <t xml:space="preserve"> - ห้องฉุกเฉินดำเนินการล่าช้า</t>
  </si>
  <si>
    <t xml:space="preserve"> - รูปพนักงาน ชื่อ ควรมีความชัดเจน </t>
  </si>
  <si>
    <t xml:space="preserve"> - เปิดปิดประตูเสียงดัง รูดราวผ้าม่านก็เสียงดัง ทำให้หลับไม่สนิท</t>
  </si>
  <si>
    <t xml:space="preserve"> - ลิฟต์ช้ามาก</t>
  </si>
  <si>
    <t xml:space="preserve"> - เครื่องใช้ไฟฟ้ากับก๊อกน้ำใกล้กัน อาจก่อให้เกิดอันตรายได้ง่าย </t>
  </si>
  <si>
    <t xml:space="preserve"> - TV ไม่สามารถเชื่อ Wi-fi ได้ (23A)</t>
  </si>
  <si>
    <t xml:space="preserve"> - การปรับปรุงเรื่องการจัดคิวผ่าตัด เพราะโดนเลื่อนถึง 2 ครั้ง กรณีที่คุณหมอมีเคสฉุกเฉินหรือผ่าตัดไม่ทัน ทำให้ผู้ป่วยเสียเวลา เจ็บตัว อดข้าว และเสียค่าห้องพิเศษหลายครั้ง ทำให้ผู้ป่วยเสียทั้งใจ</t>
  </si>
  <si>
    <t xml:space="preserve"> - สิ่งที่ให้คำแนะนำเพิ่มเติมคือ ก่อนเข้าแอดมิดควรสอบถามว่าผู้ป่วยไม่ทานอะไร </t>
  </si>
  <si>
    <t xml:space="preserve"> - ควรมีกระดาษสำหรับจดเวลาปัสสาวะ เพื่อแจ้งพยาบาลได้อย่างถูกต้อง </t>
  </si>
  <si>
    <t xml:space="preserve"> - อยากให้แพทย์มาพบญาติผู้ป่วย หลังออกจากห้องผ่าตัดทันที</t>
  </si>
  <si>
    <t xml:space="preserve"> - I can‘t eat protein food. l not eat that sorry. I order from 7-11 but everything else very good service.</t>
  </si>
  <si>
    <t xml:space="preserve">   และไม่มีการเยียวยาจากแพทย์หรือโรงพยาบาลเลย</t>
  </si>
  <si>
    <t xml:space="preserve"> - การให้คำแนะนำน้อย</t>
  </si>
  <si>
    <t xml:space="preserve"> - ขั้นตอนขั้นตอนการเข้าแอดมิด หลังแพทย์ให้แอดมิดมีความซ้ำซ้อน ต้องเดินไปมาหลายจุด หากมีการทบทวน และปรับปรุงให้ดีขึ้นจะสามารถทำให้มีการพัฒนามากขึ้น</t>
  </si>
  <si>
    <t xml:space="preserve"> - ผ้าเช็ดตัวผ้าเช็ดหน้าควรต้องมีการเปลี่ยนทุก วันไม่ใช่ให้ผู้ป่วยใช้ผืนเดียวจนกว่าจะออก (25B)</t>
  </si>
  <si>
    <t xml:space="preserve"> - อาหารไม่ร้อน เย็นชืด (4)</t>
  </si>
  <si>
    <t xml:space="preserve"> - เวลาแพทย์เข้าเยี่ยมเข้ามาเปิดไฟออกไปก็ควรปิดไฟให้เหมือนเดิม</t>
  </si>
  <si>
    <t xml:space="preserve"> - ระบบแอร์มีน้ำหยดและฝ้าร่วง (25B)</t>
  </si>
  <si>
    <t xml:space="preserve"> - ควรปรับปรุงเรื่องรสชาติอาหาร (2)</t>
  </si>
  <si>
    <t xml:space="preserve"> - เคลมประกันรอนานมาก ใช้เวลา 4- 5 ชั่วโมง</t>
  </si>
  <si>
    <t xml:space="preserve"> - ชุดเด็กใส่ลำบากมาก ใส่ยาก</t>
  </si>
  <si>
    <t xml:space="preserve"> - อยากให้มีกาน้ำร้อน และไมโครเวฟ (2) (26B)</t>
  </si>
  <si>
    <t xml:space="preserve"> - ระบบ TV อยากให้มีรายการการ์ตูนสำหรับเด็ก</t>
  </si>
  <si>
    <t xml:space="preserve"> - ติดอุปกรณ์วัดความดันไว้ที่แขนทั้งคืนทำให้เกิดรอยช้ำ</t>
  </si>
  <si>
    <t xml:space="preserve"> - ไฟหน้าห้องตอนนอนแยงตา นอนไม่หลับ (สว่างวัฒนา)</t>
  </si>
  <si>
    <t xml:space="preserve">    ไปดูงานที่โรงพยาบาลชลบุรี หรือโรงพยาบาลรามาธิบดี ตึกพระเทพฯ นะคะ </t>
  </si>
  <si>
    <t xml:space="preserve"> - สิ่งที่ขาดคือขั้นตอนการเข้ารับบริการของผู้ป่วย ว่าต้องทำอะไรก่อนหลัง จุดที่ต้องไปหรือต้องทำ ควรมีป้ายแนะนำที่ชัดเจนและครอบคลุม คือถ้ามีทางเข้าหลายทางก็ควรมีป้ายบอกหลายจุด </t>
  </si>
  <si>
    <t xml:space="preserve">   ก็จะกลายเป็นถูกดันให้ไปอยู่กลาง ๆ หรือท้าย ๆ แถวไปเลย กลายเป็นว่าคนที่มารออยู่ตั้งแต่แรก ไม่ได้คิวแรกเพราะแย่งเข้าไปตั้งแถวเป็นคนแรกไม่ได้ มีโรงพยาบาลอื่นในกรุงเทพฯ ใช้ระบบนี้ </t>
  </si>
  <si>
    <t xml:space="preserve"> - มีผู้ป่วยที่เข้ารับการรักษาจำนวนมาก  และควรมีระบบแสดงคิวในการรอตรวจ เพื่อที่ผู้ป่วยจะสามารถรู้คิวของตนเอง จะได้ไปเข้าห้องน้ำ ทานข้าว ระหว่างที่รอได้ เพราะปัจจุบันไม่รู้คิวและไม่กล้าลุกไปไหน </t>
  </si>
  <si>
    <t xml:space="preserve">   เป็นชั่วโมง ๆ อีกถ้าหมอไม่พร้อมก็ไม่ควรจะเรียกผู้ป่วยเข้าห้องตรวจ บางคนจะเข้าห้องน้ำ หรือหิวข้าวก็ต้องทนรอเพราะพยาบาลเรียกนั่งรอหน้าห้องแล้วแต่ความเป็นจริงคือต้องนั่งรอ</t>
  </si>
  <si>
    <t>590</t>
  </si>
  <si>
    <t xml:space="preserve"> - สถานที่จอดรถ ค่าบริการสำหรับผู้ป่วย Admit ค่อนข้างสูง</t>
  </si>
  <si>
    <t xml:space="preserve"> - ห้องน้ำควรแยกพื้นเปียก / พื้นแห้ง เพราะน้ำกระเด็นออกมาทำให้พื้นลื่น อาจเกิดอันตรายได้ เสียค่าห้องมา 3,500 บาท แต่ไม่ได้ใช้ไมโครเวฟเลยเพราะกลัวอันตราย โปรดแก้ไขเพื่อเป็นประโยชน์แก่ผู้ป่วยท่านอื่น</t>
  </si>
  <si>
    <t xml:space="preserve"> - เจ้าหน้าที่ขั้นตอนการชี้แจงข้อมูล น้ำเสียงในการให้บริการ service mind ควรปรับปรุง</t>
  </si>
  <si>
    <t xml:space="preserve"> - รอ Admit นานมาก มาตั้งแต่บ่าย 2 ได้ขึ้นห้องตี 2</t>
  </si>
  <si>
    <t xml:space="preserve"> - อยากให้มีจอแสดงงว่าถึงคิวไหนแล้วตรงหน้าห้องตรวจ เพราะบางทีอาจจะมีไปเข้าห้องน้ำอาจจะไม่รู้ว่าพยาบาลเรียกผ่านไปแล้วรึยัง</t>
  </si>
  <si>
    <t xml:space="preserve"> - ระบบการคัดกรองและการบริการ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</si>
</sst>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###0.00"/>
  </numFmts>
  <fonts count="35"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  <charset val="222"/>
    </font>
    <font>
      <b/>
      <sz val="16"/>
      <color rgb="FF000000"/>
      <name val="TH SarabunPSK"/>
      <family val="2"/>
      <charset val="222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rgb="FF000000"/>
      <name val="TH SarabunPSK"/>
      <family val="2"/>
    </font>
    <font>
      <b/>
      <sz val="20"/>
      <color theme="1"/>
      <name val="TH SarabunPSK"/>
      <family val="2"/>
      <charset val="222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sz val="8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charset val="222"/>
    </font>
    <font>
      <sz val="11"/>
      <color rgb="FF000000"/>
      <name val="Calibri"/>
      <family val="2"/>
      <charset val="1"/>
    </font>
    <font>
      <b/>
      <sz val="10"/>
      <color theme="1"/>
      <name val="Arial"/>
      <family val="2"/>
      <charset val="222"/>
    </font>
    <font>
      <b/>
      <sz val="10"/>
      <name val="Arial"/>
      <family val="2"/>
      <charset val="222"/>
    </font>
    <font>
      <sz val="10"/>
      <color indexed="8"/>
      <name val="Arial"/>
      <family val="2"/>
      <charset val="222"/>
    </font>
    <font>
      <sz val="10"/>
      <color theme="1"/>
      <name val="Arial"/>
      <family val="2"/>
      <charset val="222"/>
    </font>
    <font>
      <b/>
      <sz val="12"/>
      <color rgb="FF000000"/>
      <name val="TH SarabunPSK"/>
      <family val="2"/>
      <charset val="222"/>
    </font>
    <font>
      <sz val="9"/>
      <name val="Arial"/>
      <family val="2"/>
    </font>
    <font>
      <b/>
      <sz val="14"/>
      <color theme="1"/>
      <name val="TH SarabunPSK"/>
      <family val="2"/>
    </font>
    <font>
      <sz val="14"/>
      <name val="TH SarabunPSK"/>
      <family val="2"/>
    </font>
    <font>
      <b/>
      <sz val="14"/>
      <name val="TH SarabunPSK"/>
      <family val="2"/>
    </font>
    <font>
      <sz val="14"/>
      <color theme="1"/>
      <name val="TH SarabunPSK"/>
      <family val="2"/>
    </font>
    <font>
      <b/>
      <sz val="14"/>
      <color rgb="FFFF0000"/>
      <name val="TH SarabunPSK"/>
      <family val="2"/>
    </font>
    <font>
      <b/>
      <sz val="14"/>
      <color rgb="FF000000"/>
      <name val="TH SarabunPSK"/>
      <family val="2"/>
    </font>
    <font>
      <sz val="14"/>
      <color indexed="8"/>
      <name val="TH SarabunPSK"/>
      <family val="2"/>
    </font>
    <font>
      <b/>
      <u/>
      <sz val="14"/>
      <color theme="1"/>
      <name val="TH SarabunPSK"/>
      <family val="2"/>
    </font>
    <font>
      <sz val="14"/>
      <color rgb="FFFF0000"/>
      <name val="TH SarabunPSK"/>
      <family val="2"/>
    </font>
    <font>
      <sz val="14"/>
      <color rgb="FF000000"/>
      <name val="TH SarabunPSK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</borders>
  <cellStyleXfs count="20">
    <xf numFmtId="0" fontId="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8" fillId="0" borderId="0"/>
    <xf numFmtId="0" fontId="17" fillId="0" borderId="0"/>
    <xf numFmtId="0" fontId="12" fillId="0" borderId="0"/>
    <xf numFmtId="0" fontId="12" fillId="0" borderId="0"/>
  </cellStyleXfs>
  <cellXfs count="10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87" fontId="14" fillId="0" borderId="1" xfId="11" applyNumberFormat="1" applyFont="1" applyBorder="1" applyAlignment="1">
      <alignment horizontal="center" vertical="center"/>
    </xf>
    <xf numFmtId="187" fontId="14" fillId="0" borderId="1" xfId="13" applyNumberFormat="1" applyFont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2" fontId="16" fillId="6" borderId="1" xfId="0" applyNumberFormat="1" applyFont="1" applyFill="1" applyBorder="1" applyAlignment="1">
      <alignment horizontal="center" vertical="center" wrapText="1"/>
    </xf>
    <xf numFmtId="187" fontId="13" fillId="0" borderId="1" xfId="12" applyNumberFormat="1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0" fillId="0" borderId="7" xfId="16" applyFont="1" applyBorder="1" applyAlignment="1">
      <alignment horizontal="center" vertical="center"/>
    </xf>
    <xf numFmtId="0" fontId="20" fillId="0" borderId="6" xfId="16" applyFont="1" applyBorder="1" applyAlignment="1">
      <alignment horizontal="center" vertical="center"/>
    </xf>
    <xf numFmtId="187" fontId="14" fillId="7" borderId="1" xfId="14" applyNumberFormat="1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 wrapText="1"/>
    </xf>
    <xf numFmtId="187" fontId="14" fillId="7" borderId="1" xfId="12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2" fontId="14" fillId="6" borderId="1" xfId="14" applyNumberFormat="1" applyFont="1" applyFill="1" applyBorder="1" applyAlignment="1">
      <alignment horizontal="center" vertical="center" wrapText="1"/>
    </xf>
    <xf numFmtId="187" fontId="12" fillId="7" borderId="4" xfId="10" applyNumberFormat="1" applyFill="1" applyBorder="1" applyAlignment="1">
      <alignment horizontal="center" vertical="center"/>
    </xf>
    <xf numFmtId="2" fontId="14" fillId="6" borderId="4" xfId="13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vertical="center"/>
    </xf>
    <xf numFmtId="187" fontId="12" fillId="0" borderId="4" xfId="10" applyNumberFormat="1" applyBorder="1" applyAlignment="1">
      <alignment horizontal="center" vertical="center"/>
    </xf>
    <xf numFmtId="187" fontId="14" fillId="0" borderId="1" xfId="12" applyNumberFormat="1" applyFont="1" applyBorder="1" applyAlignment="1">
      <alignment horizontal="center" vertical="center"/>
    </xf>
    <xf numFmtId="2" fontId="16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2" fontId="21" fillId="6" borderId="1" xfId="14" applyNumberFormat="1" applyFont="1" applyFill="1" applyBorder="1" applyAlignment="1">
      <alignment horizontal="center" vertical="center" wrapText="1"/>
    </xf>
    <xf numFmtId="2" fontId="22" fillId="6" borderId="1" xfId="0" applyNumberFormat="1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7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2" fontId="12" fillId="7" borderId="4" xfId="10" applyNumberFormat="1" applyFill="1" applyBorder="1" applyAlignment="1">
      <alignment horizontal="center" vertical="center"/>
    </xf>
    <xf numFmtId="1" fontId="16" fillId="0" borderId="4" xfId="0" applyNumberFormat="1" applyFont="1" applyBorder="1" applyAlignment="1">
      <alignment horizontal="center" vertical="center" wrapText="1"/>
    </xf>
    <xf numFmtId="187" fontId="24" fillId="8" borderId="9" xfId="19" applyNumberFormat="1" applyFont="1" applyFill="1" applyBorder="1" applyAlignment="1">
      <alignment horizontal="center" vertical="top"/>
    </xf>
    <xf numFmtId="187" fontId="24" fillId="8" borderId="10" xfId="19" applyNumberFormat="1" applyFont="1" applyFill="1" applyBorder="1" applyAlignment="1">
      <alignment horizontal="center" vertical="top"/>
    </xf>
    <xf numFmtId="187" fontId="24" fillId="8" borderId="10" xfId="18" applyNumberFormat="1" applyFont="1" applyFill="1" applyBorder="1" applyAlignment="1">
      <alignment horizontal="center" vertical="top"/>
    </xf>
    <xf numFmtId="49" fontId="26" fillId="0" borderId="0" xfId="0" applyNumberFormat="1" applyFont="1" applyAlignment="1">
      <alignment vertical="center"/>
    </xf>
    <xf numFmtId="49" fontId="28" fillId="0" borderId="0" xfId="0" applyNumberFormat="1" applyFont="1" applyAlignment="1">
      <alignment vertical="center"/>
    </xf>
    <xf numFmtId="49" fontId="27" fillId="0" borderId="0" xfId="0" applyNumberFormat="1" applyFont="1" applyAlignment="1">
      <alignment vertical="center"/>
    </xf>
    <xf numFmtId="49" fontId="29" fillId="0" borderId="0" xfId="0" applyNumberFormat="1" applyFont="1" applyAlignment="1">
      <alignment vertical="center"/>
    </xf>
    <xf numFmtId="49" fontId="26" fillId="7" borderId="0" xfId="0" applyNumberFormat="1" applyFont="1" applyFill="1" applyAlignment="1">
      <alignment vertical="center"/>
    </xf>
    <xf numFmtId="49" fontId="25" fillId="0" borderId="1" xfId="0" applyNumberFormat="1" applyFont="1" applyBorder="1" applyAlignment="1">
      <alignment horizontal="center" vertical="center" wrapText="1"/>
    </xf>
    <xf numFmtId="49" fontId="30" fillId="4" borderId="1" xfId="0" applyNumberFormat="1" applyFont="1" applyFill="1" applyBorder="1" applyAlignment="1">
      <alignment horizontal="center" vertical="center" wrapText="1"/>
    </xf>
    <xf numFmtId="49" fontId="28" fillId="0" borderId="1" xfId="0" applyNumberFormat="1" applyFont="1" applyBorder="1" applyAlignment="1">
      <alignment horizontal="left" vertical="center" wrapText="1"/>
    </xf>
    <xf numFmtId="49" fontId="26" fillId="7" borderId="1" xfId="0" applyNumberFormat="1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49" fontId="26" fillId="0" borderId="1" xfId="0" applyNumberFormat="1" applyFont="1" applyBorder="1" applyAlignment="1">
      <alignment horizontal="center" vertical="center" wrapText="1"/>
    </xf>
    <xf numFmtId="2" fontId="26" fillId="7" borderId="1" xfId="0" applyNumberFormat="1" applyFont="1" applyFill="1" applyBorder="1" applyAlignment="1">
      <alignment horizontal="center" vertical="center" wrapText="1"/>
    </xf>
    <xf numFmtId="2" fontId="28" fillId="0" borderId="1" xfId="0" applyNumberFormat="1" applyFont="1" applyBorder="1" applyAlignment="1">
      <alignment horizontal="center" vertical="center" wrapText="1"/>
    </xf>
    <xf numFmtId="187" fontId="31" fillId="0" borderId="1" xfId="11" applyNumberFormat="1" applyFont="1" applyBorder="1" applyAlignment="1">
      <alignment horizontal="center" vertical="center"/>
    </xf>
    <xf numFmtId="187" fontId="26" fillId="7" borderId="4" xfId="10" applyNumberFormat="1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center" wrapText="1"/>
    </xf>
    <xf numFmtId="2" fontId="26" fillId="0" borderId="0" xfId="0" applyNumberFormat="1" applyFont="1" applyAlignment="1">
      <alignment horizontal="center" vertical="center" wrapText="1"/>
    </xf>
    <xf numFmtId="2" fontId="31" fillId="0" borderId="0" xfId="11" applyNumberFormat="1" applyFont="1" applyAlignment="1">
      <alignment horizontal="center" vertical="center" wrapText="1"/>
    </xf>
    <xf numFmtId="49" fontId="25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49" fontId="28" fillId="0" borderId="0" xfId="0" applyNumberFormat="1" applyFont="1"/>
    <xf numFmtId="49" fontId="26" fillId="0" borderId="0" xfId="0" applyNumberFormat="1" applyFont="1"/>
    <xf numFmtId="49" fontId="33" fillId="0" borderId="0" xfId="0" applyNumberFormat="1" applyFont="1"/>
    <xf numFmtId="49" fontId="28" fillId="0" borderId="0" xfId="0" applyNumberFormat="1" applyFont="1" applyAlignment="1">
      <alignment horizontal="left" vertical="center"/>
    </xf>
    <xf numFmtId="49" fontId="34" fillId="0" borderId="0" xfId="0" applyNumberFormat="1" applyFont="1" applyAlignment="1">
      <alignment vertical="center"/>
    </xf>
    <xf numFmtId="49" fontId="28" fillId="0" borderId="0" xfId="0" applyNumberFormat="1" applyFont="1" applyAlignment="1">
      <alignment horizontal="left" vertical="center" indent="3"/>
    </xf>
    <xf numFmtId="49" fontId="33" fillId="0" borderId="0" xfId="0" applyNumberFormat="1" applyFont="1" applyAlignment="1">
      <alignment horizontal="left" vertical="center" indent="3"/>
    </xf>
    <xf numFmtId="49" fontId="28" fillId="0" borderId="0" xfId="0" applyNumberFormat="1" applyFont="1" applyAlignment="1">
      <alignment horizontal="left" vertical="center" indent="4"/>
    </xf>
    <xf numFmtId="49" fontId="26" fillId="0" borderId="0" xfId="0" applyNumberFormat="1" applyFont="1" applyAlignment="1">
      <alignment horizontal="left" vertical="center" indent="3"/>
    </xf>
    <xf numFmtId="49" fontId="25" fillId="0" borderId="0" xfId="0" applyNumberFormat="1" applyFont="1" applyAlignment="1">
      <alignment horizontal="left" vertical="center" wrapText="1"/>
    </xf>
    <xf numFmtId="49" fontId="28" fillId="0" borderId="0" xfId="0" quotePrefix="1" applyNumberFormat="1" applyFont="1" applyAlignment="1">
      <alignment horizontal="left" vertical="center" wrapText="1" indent="1"/>
    </xf>
    <xf numFmtId="49" fontId="25" fillId="0" borderId="0" xfId="0" applyNumberFormat="1" applyFont="1" applyAlignment="1">
      <alignment wrapText="1"/>
    </xf>
    <xf numFmtId="49" fontId="27" fillId="0" borderId="0" xfId="0" applyNumberFormat="1" applyFont="1" applyAlignment="1">
      <alignment horizontal="left"/>
    </xf>
    <xf numFmtId="49" fontId="34" fillId="0" borderId="0" xfId="0" applyNumberFormat="1" applyFont="1" applyAlignment="1">
      <alignment horizontal="left" vertical="center"/>
    </xf>
    <xf numFmtId="49" fontId="33" fillId="0" borderId="0" xfId="0" applyNumberFormat="1" applyFont="1" applyAlignment="1">
      <alignment horizontal="left" vertical="top" indent="3"/>
    </xf>
    <xf numFmtId="49" fontId="26" fillId="0" borderId="0" xfId="0" quotePrefix="1" applyNumberFormat="1" applyFont="1" applyAlignment="1">
      <alignment horizontal="left" vertical="center" indent="3"/>
    </xf>
    <xf numFmtId="49" fontId="33" fillId="0" borderId="0" xfId="0" quotePrefix="1" applyNumberFormat="1" applyFont="1" applyAlignment="1">
      <alignment horizontal="left" vertical="center" indent="3"/>
    </xf>
    <xf numFmtId="0" fontId="8" fillId="0" borderId="0" xfId="0" applyFont="1" applyAlignment="1">
      <alignment horizontal="center" vertical="center"/>
    </xf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center"/>
    </xf>
    <xf numFmtId="49" fontId="25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left" vertical="center"/>
    </xf>
    <xf numFmtId="49" fontId="26" fillId="7" borderId="0" xfId="0" applyNumberFormat="1" applyFont="1" applyFill="1" applyAlignment="1">
      <alignment horizontal="left" vertical="center"/>
    </xf>
    <xf numFmtId="49" fontId="28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wrapText="1"/>
    </xf>
    <xf numFmtId="49" fontId="26" fillId="0" borderId="0" xfId="0" quotePrefix="1" applyNumberFormat="1" applyFont="1" applyAlignment="1">
      <alignment horizontal="left" vertical="center"/>
    </xf>
    <xf numFmtId="49" fontId="28" fillId="0" borderId="0" xfId="0" applyNumberFormat="1" applyFont="1" applyAlignment="1">
      <alignment horizontal="left"/>
    </xf>
  </cellXfs>
  <cellStyles count="20">
    <cellStyle name="Normal_IPD November" xfId="12" xr:uid="{00000000-0005-0000-0000-000001000000}"/>
    <cellStyle name="Normal_IPD_1" xfId="13" xr:uid="{00000000-0005-0000-0000-000002000000}"/>
    <cellStyle name="Normal_OPD August" xfId="11" xr:uid="{00000000-0005-0000-0000-000003000000}"/>
    <cellStyle name="Normal_OPD July" xfId="10" xr:uid="{00000000-0005-0000-0000-000004000000}"/>
    <cellStyle name="Normal_OPD_1" xfId="14" xr:uid="{00000000-0005-0000-0000-000005000000}"/>
    <cellStyle name="style1683707694983" xfId="1" xr:uid="{00000000-0005-0000-0000-000006000000}"/>
    <cellStyle name="style1683707695268" xfId="2" xr:uid="{00000000-0005-0000-0000-000007000000}"/>
    <cellStyle name="style1683707695497" xfId="3" xr:uid="{00000000-0005-0000-0000-000008000000}"/>
    <cellStyle name="style1683873781043" xfId="4" xr:uid="{00000000-0005-0000-0000-000009000000}"/>
    <cellStyle name="style1683873781293" xfId="5" xr:uid="{00000000-0005-0000-0000-00000A000000}"/>
    <cellStyle name="style1683873781509" xfId="6" xr:uid="{00000000-0005-0000-0000-00000B000000}"/>
    <cellStyle name="style1690951585398" xfId="8" xr:uid="{00000000-0005-0000-0000-00000C000000}"/>
    <cellStyle name="style1690951585625" xfId="9" xr:uid="{00000000-0005-0000-0000-00000D000000}"/>
    <cellStyle name="style1690951585802" xfId="7" xr:uid="{00000000-0005-0000-0000-00000E000000}"/>
    <cellStyle name="ปกติ" xfId="0" builtinId="0"/>
    <cellStyle name="ปกติ 2" xfId="16" xr:uid="{00000000-0005-0000-0000-00000F000000}"/>
    <cellStyle name="ปกติ 3" xfId="17" xr:uid="{00000000-0005-0000-0000-000010000000}"/>
    <cellStyle name="ปกติ 4" xfId="15" xr:uid="{00000000-0005-0000-0000-000011000000}"/>
    <cellStyle name="ปกติ_IPD" xfId="19" xr:uid="{00000000-0005-0000-0000-000012000000}"/>
    <cellStyle name="ปกติ_Totle" xfId="18" xr:uid="{00000000-0005-0000-0000-000013000000}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5"/>
  <sheetViews>
    <sheetView topLeftCell="A80" zoomScaleNormal="100" zoomScaleSheetLayoutView="80" workbookViewId="0">
      <selection activeCell="D45" sqref="D45"/>
    </sheetView>
  </sheetViews>
  <sheetFormatPr defaultColWidth="9" defaultRowHeight="21"/>
  <cols>
    <col min="1" max="1" width="62.625" style="4" customWidth="1"/>
    <col min="2" max="2" width="9" style="4" customWidth="1"/>
    <col min="3" max="4" width="9" style="3"/>
    <col min="5" max="5" width="9.375" style="3" bestFit="1" customWidth="1"/>
    <col min="6" max="6" width="9.625" style="3" customWidth="1"/>
    <col min="7" max="8" width="9" style="3"/>
    <col min="9" max="9" width="9.625" style="3" bestFit="1" customWidth="1"/>
    <col min="10" max="10" width="9" style="3"/>
    <col min="11" max="11" width="11.5" style="3" bestFit="1" customWidth="1"/>
    <col min="12" max="12" width="9" style="3"/>
    <col min="13" max="13" width="10.75" style="3" customWidth="1"/>
    <col min="14" max="14" width="10.125" style="3" bestFit="1" customWidth="1"/>
    <col min="15" max="16384" width="9" style="3"/>
  </cols>
  <sheetData>
    <row r="1" spans="1:17" s="14" customFormat="1" ht="49.7" customHeight="1">
      <c r="A1" s="94" t="s">
        <v>93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</row>
    <row r="2" spans="1:17" s="14" customFormat="1" ht="49.7" customHeight="1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7" s="2" customFormat="1" ht="54.75" customHeight="1">
      <c r="A3" s="6" t="s">
        <v>0</v>
      </c>
      <c r="B3" s="51" t="s">
        <v>87</v>
      </c>
      <c r="C3" s="51" t="s">
        <v>94</v>
      </c>
      <c r="D3" s="51" t="s">
        <v>85</v>
      </c>
      <c r="E3" s="1" t="s">
        <v>2</v>
      </c>
      <c r="F3" s="1" t="s">
        <v>74</v>
      </c>
      <c r="G3" s="1" t="s">
        <v>80</v>
      </c>
      <c r="H3" s="1" t="s">
        <v>75</v>
      </c>
      <c r="I3" s="1" t="s">
        <v>3</v>
      </c>
      <c r="J3" s="1" t="s">
        <v>4</v>
      </c>
      <c r="K3" s="1" t="s">
        <v>77</v>
      </c>
      <c r="L3" s="1" t="s">
        <v>66</v>
      </c>
      <c r="M3" s="1" t="s">
        <v>58</v>
      </c>
      <c r="N3" s="1" t="s">
        <v>5</v>
      </c>
      <c r="O3" s="1" t="s">
        <v>82</v>
      </c>
      <c r="P3" s="1" t="s">
        <v>78</v>
      </c>
      <c r="Q3" s="1" t="s">
        <v>86</v>
      </c>
    </row>
    <row r="4" spans="1:17" s="50" customFormat="1" ht="24.75" customHeight="1">
      <c r="A4" s="47" t="s">
        <v>9</v>
      </c>
      <c r="B4" s="26">
        <v>7</v>
      </c>
      <c r="C4" s="26">
        <v>2</v>
      </c>
      <c r="D4" s="48" t="s">
        <v>83</v>
      </c>
      <c r="E4" s="49">
        <v>52</v>
      </c>
      <c r="F4" s="48">
        <v>10</v>
      </c>
      <c r="G4" s="48">
        <v>63</v>
      </c>
      <c r="H4" s="48">
        <v>17</v>
      </c>
      <c r="I4" s="48">
        <v>6</v>
      </c>
      <c r="J4" s="48" t="s">
        <v>83</v>
      </c>
      <c r="K4" s="48">
        <v>57</v>
      </c>
      <c r="L4" s="48">
        <v>1</v>
      </c>
      <c r="M4" s="48">
        <v>32</v>
      </c>
      <c r="N4" s="48">
        <v>105</v>
      </c>
      <c r="O4" s="48">
        <v>24</v>
      </c>
      <c r="P4" s="48" t="s">
        <v>83</v>
      </c>
      <c r="Q4" s="48" t="s">
        <v>83</v>
      </c>
    </row>
    <row r="5" spans="1:17" s="2" customFormat="1" ht="24" customHeight="1">
      <c r="A5" s="8" t="s">
        <v>26</v>
      </c>
      <c r="B5" s="25">
        <v>4.4285714285714279</v>
      </c>
      <c r="C5" s="25">
        <v>4.5</v>
      </c>
      <c r="D5" s="34" t="s">
        <v>83</v>
      </c>
      <c r="E5" s="30">
        <v>4.5384615384615401</v>
      </c>
      <c r="F5" s="42">
        <v>4.5999999999999996</v>
      </c>
      <c r="G5" s="25">
        <v>3.8730158730158735</v>
      </c>
      <c r="H5" s="42">
        <v>4.1764705882352944</v>
      </c>
      <c r="I5" s="20">
        <v>4</v>
      </c>
      <c r="J5" s="34" t="s">
        <v>83</v>
      </c>
      <c r="K5" s="20">
        <v>4.280701754385964</v>
      </c>
      <c r="L5" s="20">
        <v>5</v>
      </c>
      <c r="M5" s="20">
        <v>4.7812500000000009</v>
      </c>
      <c r="N5" s="20">
        <v>4.2095238095238088</v>
      </c>
      <c r="O5" s="25">
        <v>4.5416666666666661</v>
      </c>
      <c r="P5" s="34" t="s">
        <v>83</v>
      </c>
      <c r="Q5" s="34" t="s">
        <v>83</v>
      </c>
    </row>
    <row r="6" spans="1:17" s="2" customFormat="1" ht="24" customHeight="1">
      <c r="A6" s="8" t="s">
        <v>59</v>
      </c>
      <c r="B6" s="25">
        <v>4.1428571428571432</v>
      </c>
      <c r="C6" s="25">
        <v>4.5</v>
      </c>
      <c r="D6" s="34" t="s">
        <v>83</v>
      </c>
      <c r="E6" s="30">
        <v>4.5961538461538449</v>
      </c>
      <c r="F6" s="42">
        <v>4.7</v>
      </c>
      <c r="G6" s="25">
        <v>3.7936507936507931</v>
      </c>
      <c r="H6" s="42">
        <v>4.2941176470588225</v>
      </c>
      <c r="I6" s="20">
        <v>3.8333333333333335</v>
      </c>
      <c r="J6" s="34" t="s">
        <v>83</v>
      </c>
      <c r="K6" s="20">
        <v>4.2456140350877201</v>
      </c>
      <c r="L6" s="20">
        <v>5</v>
      </c>
      <c r="M6" s="20">
        <v>4.8125</v>
      </c>
      <c r="N6" s="20">
        <v>4.3238095238095235</v>
      </c>
      <c r="O6" s="25">
        <v>4.625</v>
      </c>
      <c r="P6" s="34" t="s">
        <v>83</v>
      </c>
      <c r="Q6" s="34" t="s">
        <v>83</v>
      </c>
    </row>
    <row r="7" spans="1:17" s="2" customFormat="1" ht="24" customHeight="1">
      <c r="A7" s="8" t="s">
        <v>60</v>
      </c>
      <c r="B7" s="25">
        <v>4.2857142857142856</v>
      </c>
      <c r="C7" s="25">
        <v>4.5</v>
      </c>
      <c r="D7" s="34" t="s">
        <v>83</v>
      </c>
      <c r="E7" s="30">
        <v>4.4999999999999973</v>
      </c>
      <c r="F7" s="42">
        <v>4.5999999999999996</v>
      </c>
      <c r="G7" s="25">
        <v>3.8888888888888893</v>
      </c>
      <c r="H7" s="42">
        <v>4.2352941176470589</v>
      </c>
      <c r="I7" s="20">
        <v>4.166666666666667</v>
      </c>
      <c r="J7" s="34" t="s">
        <v>83</v>
      </c>
      <c r="K7" s="20">
        <v>4.2982456140350864</v>
      </c>
      <c r="L7" s="20">
        <v>5</v>
      </c>
      <c r="M7" s="20">
        <v>4.84375</v>
      </c>
      <c r="N7" s="20">
        <v>4.2952380952380942</v>
      </c>
      <c r="O7" s="25">
        <v>4.4166666666666652</v>
      </c>
      <c r="P7" s="34" t="s">
        <v>83</v>
      </c>
      <c r="Q7" s="34" t="s">
        <v>83</v>
      </c>
    </row>
    <row r="8" spans="1:17" s="2" customFormat="1" ht="24" customHeight="1">
      <c r="A8" s="8" t="s">
        <v>10</v>
      </c>
      <c r="B8" s="25">
        <v>4.2857142857142856</v>
      </c>
      <c r="C8" s="25">
        <v>4.5</v>
      </c>
      <c r="D8" s="34" t="s">
        <v>83</v>
      </c>
      <c r="E8" s="30">
        <v>4.5384615384615401</v>
      </c>
      <c r="F8" s="42">
        <v>4.5999999999999996</v>
      </c>
      <c r="G8" s="25">
        <v>3.7936507936507939</v>
      </c>
      <c r="H8" s="42">
        <v>4.1764705882352944</v>
      </c>
      <c r="I8" s="20">
        <v>4.166666666666667</v>
      </c>
      <c r="J8" s="34" t="s">
        <v>83</v>
      </c>
      <c r="K8" s="20">
        <v>4.2631578947368425</v>
      </c>
      <c r="L8" s="20">
        <v>5</v>
      </c>
      <c r="M8" s="20">
        <v>4.8749999999999982</v>
      </c>
      <c r="N8" s="20">
        <v>4.2095238095238132</v>
      </c>
      <c r="O8" s="25">
        <v>4.3749999999999991</v>
      </c>
      <c r="P8" s="34" t="s">
        <v>83</v>
      </c>
      <c r="Q8" s="34" t="s">
        <v>83</v>
      </c>
    </row>
    <row r="9" spans="1:17" s="2" customFormat="1" ht="24" customHeight="1">
      <c r="A9" s="8" t="s">
        <v>11</v>
      </c>
      <c r="B9" s="25">
        <v>4.1428571428571432</v>
      </c>
      <c r="C9" s="25">
        <v>4.5</v>
      </c>
      <c r="D9" s="34" t="s">
        <v>83</v>
      </c>
      <c r="E9" s="30">
        <v>4.3653846153846159</v>
      </c>
      <c r="F9" s="42">
        <v>4.1999999999999993</v>
      </c>
      <c r="G9" s="25">
        <v>3.5873015873015874</v>
      </c>
      <c r="H9" s="42">
        <v>4.117647058823529</v>
      </c>
      <c r="I9" s="20">
        <v>4</v>
      </c>
      <c r="J9" s="34" t="s">
        <v>83</v>
      </c>
      <c r="K9" s="20">
        <v>3.9122807017543857</v>
      </c>
      <c r="L9" s="20">
        <v>5</v>
      </c>
      <c r="M9" s="20">
        <v>4.5</v>
      </c>
      <c r="N9" s="20">
        <v>4.2095238095238114</v>
      </c>
      <c r="O9" s="25">
        <v>4.625</v>
      </c>
      <c r="P9" s="34" t="s">
        <v>83</v>
      </c>
      <c r="Q9" s="34" t="s">
        <v>83</v>
      </c>
    </row>
    <row r="10" spans="1:17" s="2" customFormat="1" ht="24" customHeight="1">
      <c r="A10" s="8" t="s">
        <v>12</v>
      </c>
      <c r="B10" s="25">
        <v>4.0000000000000009</v>
      </c>
      <c r="C10" s="25">
        <v>5</v>
      </c>
      <c r="D10" s="34" t="s">
        <v>83</v>
      </c>
      <c r="E10" s="30">
        <v>4.4423076923076916</v>
      </c>
      <c r="F10" s="42">
        <v>4.1999999999999993</v>
      </c>
      <c r="G10" s="25">
        <v>3.6507936507936511</v>
      </c>
      <c r="H10" s="42">
        <v>4.117647058823529</v>
      </c>
      <c r="I10" s="20">
        <v>4.166666666666667</v>
      </c>
      <c r="J10" s="34" t="s">
        <v>83</v>
      </c>
      <c r="K10" s="20">
        <v>3.9649122807017543</v>
      </c>
      <c r="L10" s="20">
        <v>5</v>
      </c>
      <c r="M10" s="20">
        <v>4.6249999999999991</v>
      </c>
      <c r="N10" s="20">
        <v>4.3047619047619046</v>
      </c>
      <c r="O10" s="25">
        <v>4.583333333333333</v>
      </c>
      <c r="P10" s="34" t="s">
        <v>83</v>
      </c>
      <c r="Q10" s="34" t="s">
        <v>83</v>
      </c>
    </row>
    <row r="11" spans="1:17" s="2" customFormat="1" ht="24" customHeight="1">
      <c r="A11" s="8" t="s">
        <v>13</v>
      </c>
      <c r="B11" s="25">
        <v>4.2857142857142856</v>
      </c>
      <c r="C11" s="25">
        <v>4.5</v>
      </c>
      <c r="D11" s="34" t="s">
        <v>83</v>
      </c>
      <c r="E11" s="30">
        <v>4.461538461538459</v>
      </c>
      <c r="F11" s="42">
        <v>4.3</v>
      </c>
      <c r="G11" s="25">
        <v>3.6984126984126982</v>
      </c>
      <c r="H11" s="42">
        <v>4.0588235294117645</v>
      </c>
      <c r="I11" s="20">
        <v>3.8333333333333335</v>
      </c>
      <c r="J11" s="34" t="s">
        <v>83</v>
      </c>
      <c r="K11" s="20">
        <v>3.859649122807018</v>
      </c>
      <c r="L11" s="20">
        <v>5</v>
      </c>
      <c r="M11" s="20">
        <v>4.6562499999999982</v>
      </c>
      <c r="N11" s="20">
        <v>4.2571428571428571</v>
      </c>
      <c r="O11" s="25">
        <v>4.5833333333333348</v>
      </c>
      <c r="P11" s="34" t="s">
        <v>83</v>
      </c>
      <c r="Q11" s="34" t="s">
        <v>83</v>
      </c>
    </row>
    <row r="12" spans="1:17" s="2" customFormat="1" ht="24" customHeight="1">
      <c r="A12" s="8" t="s">
        <v>14</v>
      </c>
      <c r="B12" s="25">
        <v>4.2857142857142856</v>
      </c>
      <c r="C12" s="25">
        <v>4.5</v>
      </c>
      <c r="D12" s="34" t="s">
        <v>83</v>
      </c>
      <c r="E12" s="30">
        <v>4.461538461538459</v>
      </c>
      <c r="F12" s="42">
        <v>4.5</v>
      </c>
      <c r="G12" s="25">
        <v>3.5238095238095242</v>
      </c>
      <c r="H12" s="42">
        <v>4.0588235294117645</v>
      </c>
      <c r="I12" s="20">
        <v>4.5</v>
      </c>
      <c r="J12" s="34" t="s">
        <v>83</v>
      </c>
      <c r="K12" s="20">
        <v>3.9999999999999987</v>
      </c>
      <c r="L12" s="20">
        <v>5</v>
      </c>
      <c r="M12" s="20">
        <v>4.7500000000000009</v>
      </c>
      <c r="N12" s="20">
        <v>4.2285714285714278</v>
      </c>
      <c r="O12" s="25">
        <v>4.5000000000000009</v>
      </c>
      <c r="P12" s="34" t="s">
        <v>83</v>
      </c>
      <c r="Q12" s="34" t="s">
        <v>83</v>
      </c>
    </row>
    <row r="13" spans="1:17" s="2" customFormat="1" ht="24" customHeight="1">
      <c r="A13" s="8" t="s">
        <v>15</v>
      </c>
      <c r="B13" s="25">
        <v>4.2857142857142856</v>
      </c>
      <c r="C13" s="25">
        <v>4.5</v>
      </c>
      <c r="D13" s="34" t="s">
        <v>83</v>
      </c>
      <c r="E13" s="30">
        <v>4.4999999999999973</v>
      </c>
      <c r="F13" s="42">
        <v>4.5</v>
      </c>
      <c r="G13" s="25">
        <v>3.9047619047619038</v>
      </c>
      <c r="H13" s="42">
        <v>4.2352941176470589</v>
      </c>
      <c r="I13" s="20">
        <v>4</v>
      </c>
      <c r="J13" s="34" t="s">
        <v>83</v>
      </c>
      <c r="K13" s="20">
        <v>4.1754385964912277</v>
      </c>
      <c r="L13" s="20">
        <v>5</v>
      </c>
      <c r="M13" s="20">
        <v>4.6562499999999982</v>
      </c>
      <c r="N13" s="20">
        <v>4.3333333333333321</v>
      </c>
      <c r="O13" s="25">
        <v>4.583333333333333</v>
      </c>
      <c r="P13" s="34" t="s">
        <v>83</v>
      </c>
      <c r="Q13" s="34" t="s">
        <v>83</v>
      </c>
    </row>
    <row r="14" spans="1:17" s="2" customFormat="1" ht="24" customHeight="1">
      <c r="A14" s="8" t="s">
        <v>16</v>
      </c>
      <c r="B14" s="25">
        <v>3.5714285714285716</v>
      </c>
      <c r="C14" s="25">
        <v>5</v>
      </c>
      <c r="D14" s="34" t="s">
        <v>83</v>
      </c>
      <c r="E14" s="30">
        <v>4.4615384615384608</v>
      </c>
      <c r="F14" s="42">
        <v>4.3</v>
      </c>
      <c r="G14" s="25">
        <v>3.9523809523809534</v>
      </c>
      <c r="H14" s="42">
        <v>4.117647058823529</v>
      </c>
      <c r="I14" s="20">
        <v>4.3333333333333339</v>
      </c>
      <c r="J14" s="34" t="s">
        <v>83</v>
      </c>
      <c r="K14" s="20">
        <v>3.9999999999999996</v>
      </c>
      <c r="L14" s="20">
        <v>5</v>
      </c>
      <c r="M14" s="20">
        <v>4.6874999999999991</v>
      </c>
      <c r="N14" s="20">
        <v>4.3047619047619063</v>
      </c>
      <c r="O14" s="25">
        <v>4.4166666666666652</v>
      </c>
      <c r="P14" s="34" t="s">
        <v>83</v>
      </c>
      <c r="Q14" s="34" t="s">
        <v>83</v>
      </c>
    </row>
    <row r="15" spans="1:17" s="2" customFormat="1" ht="24" customHeight="1">
      <c r="A15" s="8" t="s">
        <v>17</v>
      </c>
      <c r="B15" s="25">
        <v>4.1428571428571432</v>
      </c>
      <c r="C15" s="25">
        <v>5</v>
      </c>
      <c r="D15" s="34" t="s">
        <v>83</v>
      </c>
      <c r="E15" s="30">
        <v>4.4807692307692308</v>
      </c>
      <c r="F15" s="42">
        <v>4.5</v>
      </c>
      <c r="G15" s="25">
        <v>3.8571428571428568</v>
      </c>
      <c r="H15" s="42">
        <v>4.2352941176470589</v>
      </c>
      <c r="I15" s="20">
        <v>3.6666666666666665</v>
      </c>
      <c r="J15" s="34" t="s">
        <v>83</v>
      </c>
      <c r="K15" s="20">
        <v>4.1052631578947381</v>
      </c>
      <c r="L15" s="20">
        <v>5</v>
      </c>
      <c r="M15" s="20">
        <v>4.8124999999999991</v>
      </c>
      <c r="N15" s="20">
        <v>4.2</v>
      </c>
      <c r="O15" s="25">
        <v>4.5833333333333339</v>
      </c>
      <c r="P15" s="34" t="s">
        <v>83</v>
      </c>
      <c r="Q15" s="34" t="s">
        <v>83</v>
      </c>
    </row>
    <row r="16" spans="1:17" s="2" customFormat="1" ht="24" customHeight="1">
      <c r="A16" s="8" t="s">
        <v>18</v>
      </c>
      <c r="B16" s="25">
        <v>4.1428571428571432</v>
      </c>
      <c r="C16" s="25">
        <v>4.5</v>
      </c>
      <c r="D16" s="34" t="s">
        <v>83</v>
      </c>
      <c r="E16" s="30">
        <v>4.4807692307692299</v>
      </c>
      <c r="F16" s="42">
        <v>4.5999999999999996</v>
      </c>
      <c r="G16" s="25">
        <v>3.9523809523809543</v>
      </c>
      <c r="H16" s="42">
        <v>4.2352941176470589</v>
      </c>
      <c r="I16" s="20">
        <v>4</v>
      </c>
      <c r="J16" s="34" t="s">
        <v>83</v>
      </c>
      <c r="K16" s="20">
        <v>4.2105263157894752</v>
      </c>
      <c r="L16" s="20">
        <v>5</v>
      </c>
      <c r="M16" s="20">
        <v>4.8125</v>
      </c>
      <c r="N16" s="20">
        <v>4.2380952380952372</v>
      </c>
      <c r="O16" s="25">
        <v>4.541666666666667</v>
      </c>
      <c r="P16" s="34" t="s">
        <v>83</v>
      </c>
      <c r="Q16" s="34" t="s">
        <v>83</v>
      </c>
    </row>
    <row r="17" spans="1:18" s="2" customFormat="1" ht="24" customHeight="1">
      <c r="A17" s="8" t="s">
        <v>19</v>
      </c>
      <c r="B17" s="25">
        <v>4.1428571428571432</v>
      </c>
      <c r="C17" s="25">
        <v>4.5</v>
      </c>
      <c r="D17" s="34" t="s">
        <v>83</v>
      </c>
      <c r="E17" s="30">
        <v>4.4999999999999973</v>
      </c>
      <c r="F17" s="42">
        <v>4.5</v>
      </c>
      <c r="G17" s="25">
        <v>3.7936507936507926</v>
      </c>
      <c r="H17" s="42">
        <v>4.1764705882352944</v>
      </c>
      <c r="I17" s="20">
        <v>3.6666666666666665</v>
      </c>
      <c r="J17" s="34" t="s">
        <v>83</v>
      </c>
      <c r="K17" s="20">
        <v>4.1403508771929811</v>
      </c>
      <c r="L17" s="20">
        <v>5</v>
      </c>
      <c r="M17" s="20">
        <v>4.7500000000000009</v>
      </c>
      <c r="N17" s="20">
        <v>4.2476190476190476</v>
      </c>
      <c r="O17" s="25">
        <v>4.5416666666666661</v>
      </c>
      <c r="P17" s="34" t="s">
        <v>83</v>
      </c>
      <c r="Q17" s="34" t="s">
        <v>83</v>
      </c>
    </row>
    <row r="18" spans="1:18" s="2" customFormat="1" ht="24" customHeight="1">
      <c r="A18" s="8" t="s">
        <v>20</v>
      </c>
      <c r="B18" s="25">
        <v>4.2857142857142856</v>
      </c>
      <c r="C18" s="25">
        <v>4</v>
      </c>
      <c r="D18" s="34" t="s">
        <v>83</v>
      </c>
      <c r="E18" s="30">
        <v>4.4615384615384599</v>
      </c>
      <c r="F18" s="42">
        <v>4.3999999999999986</v>
      </c>
      <c r="G18" s="25">
        <v>3.8412698412698414</v>
      </c>
      <c r="H18" s="42">
        <v>4.1764705882352944</v>
      </c>
      <c r="I18" s="20">
        <v>4</v>
      </c>
      <c r="J18" s="34" t="s">
        <v>83</v>
      </c>
      <c r="K18" s="20">
        <v>4.1754385964912277</v>
      </c>
      <c r="L18" s="20">
        <v>5</v>
      </c>
      <c r="M18" s="20">
        <v>4.7812500000000009</v>
      </c>
      <c r="N18" s="20">
        <v>4.2571428571428562</v>
      </c>
      <c r="O18" s="25">
        <v>4.541666666666667</v>
      </c>
      <c r="P18" s="34" t="s">
        <v>83</v>
      </c>
      <c r="Q18" s="34" t="s">
        <v>83</v>
      </c>
    </row>
    <row r="19" spans="1:18" s="2" customFormat="1" ht="24" customHeight="1">
      <c r="A19" s="8" t="s">
        <v>21</v>
      </c>
      <c r="B19" s="25">
        <v>4.2857142857142856</v>
      </c>
      <c r="C19" s="25">
        <v>4</v>
      </c>
      <c r="D19" s="34" t="s">
        <v>83</v>
      </c>
      <c r="E19" s="30">
        <v>4.5384615384615401</v>
      </c>
      <c r="F19" s="42">
        <v>4.5</v>
      </c>
      <c r="G19" s="25">
        <v>3.8888888888888906</v>
      </c>
      <c r="H19" s="42">
        <v>4.3529411764705879</v>
      </c>
      <c r="I19" s="20">
        <v>3.8333333333333335</v>
      </c>
      <c r="J19" s="34" t="s">
        <v>83</v>
      </c>
      <c r="K19" s="20">
        <v>4.1754385964912286</v>
      </c>
      <c r="L19" s="20">
        <v>5</v>
      </c>
      <c r="M19" s="20">
        <v>4.7499999999999991</v>
      </c>
      <c r="N19" s="20">
        <v>4.3238095238095235</v>
      </c>
      <c r="O19" s="25">
        <v>4.5833333333333339</v>
      </c>
      <c r="P19" s="34" t="s">
        <v>83</v>
      </c>
      <c r="Q19" s="34" t="s">
        <v>83</v>
      </c>
    </row>
    <row r="20" spans="1:18" s="2" customFormat="1" ht="24" customHeight="1">
      <c r="A20" s="8" t="s">
        <v>22</v>
      </c>
      <c r="B20" s="25">
        <v>4.1428571428571432</v>
      </c>
      <c r="C20" s="25">
        <v>4.5</v>
      </c>
      <c r="D20" s="34" t="s">
        <v>83</v>
      </c>
      <c r="E20" s="30">
        <v>4.4807692307692299</v>
      </c>
      <c r="F20" s="42">
        <v>4.5999999999999996</v>
      </c>
      <c r="G20" s="25">
        <v>3.7619047619047619</v>
      </c>
      <c r="H20" s="42">
        <v>4.2941176470588225</v>
      </c>
      <c r="I20" s="20">
        <v>3.8333333333333335</v>
      </c>
      <c r="J20" s="34" t="s">
        <v>83</v>
      </c>
      <c r="K20" s="20">
        <v>4.052631578947369</v>
      </c>
      <c r="L20" s="20">
        <v>5</v>
      </c>
      <c r="M20" s="20">
        <v>4.8437499999999991</v>
      </c>
      <c r="N20" s="20">
        <v>4.3619047619047615</v>
      </c>
      <c r="O20" s="25">
        <v>4.5000000000000009</v>
      </c>
      <c r="P20" s="34" t="s">
        <v>83</v>
      </c>
      <c r="Q20" s="34" t="s">
        <v>83</v>
      </c>
    </row>
    <row r="21" spans="1:18" s="2" customFormat="1" ht="24" customHeight="1">
      <c r="A21" s="16" t="s">
        <v>23</v>
      </c>
      <c r="B21" s="25">
        <v>4.1785714285714288</v>
      </c>
      <c r="C21" s="25">
        <v>4.55</v>
      </c>
      <c r="D21" s="34" t="s">
        <v>83</v>
      </c>
      <c r="E21" s="30">
        <v>4.4879807692307692</v>
      </c>
      <c r="F21" s="42">
        <v>4.4749999999999996</v>
      </c>
      <c r="G21" s="25">
        <v>3.7976190476190479</v>
      </c>
      <c r="H21" s="42">
        <v>4.1911764705882355</v>
      </c>
      <c r="I21" s="20">
        <v>4</v>
      </c>
      <c r="J21" s="34" t="s">
        <v>83</v>
      </c>
      <c r="K21" s="20">
        <v>4.1162280701754375</v>
      </c>
      <c r="L21" s="20">
        <v>5</v>
      </c>
      <c r="M21" s="20">
        <v>4.74609375</v>
      </c>
      <c r="N21" s="20">
        <v>4.269047619047619</v>
      </c>
      <c r="O21" s="25">
        <v>4.5338541666666661</v>
      </c>
      <c r="P21" s="34" t="s">
        <v>83</v>
      </c>
      <c r="Q21" s="34" t="s">
        <v>83</v>
      </c>
    </row>
    <row r="22" spans="1:18" s="2" customFormat="1" ht="24.75" customHeight="1">
      <c r="A22" s="9" t="s">
        <v>24</v>
      </c>
      <c r="B22" s="36">
        <f>B21*20</f>
        <v>83.571428571428584</v>
      </c>
      <c r="C22" s="36">
        <f>C21*20</f>
        <v>91</v>
      </c>
      <c r="D22" s="34" t="s">
        <v>83</v>
      </c>
      <c r="E22" s="36">
        <f>E21*20</f>
        <v>89.759615384615387</v>
      </c>
      <c r="F22" s="36">
        <f>F21*20</f>
        <v>89.5</v>
      </c>
      <c r="G22" s="36">
        <f>G21*20</f>
        <v>75.952380952380963</v>
      </c>
      <c r="H22" s="36">
        <f t="shared" ref="H22:N22" si="0">H21*20</f>
        <v>83.82352941176471</v>
      </c>
      <c r="I22" s="36">
        <f t="shared" si="0"/>
        <v>80</v>
      </c>
      <c r="J22" s="34" t="s">
        <v>83</v>
      </c>
      <c r="K22" s="36">
        <f t="shared" si="0"/>
        <v>82.324561403508753</v>
      </c>
      <c r="L22" s="36">
        <f t="shared" si="0"/>
        <v>100</v>
      </c>
      <c r="M22" s="36">
        <f t="shared" si="0"/>
        <v>94.921875</v>
      </c>
      <c r="N22" s="36">
        <f t="shared" si="0"/>
        <v>85.38095238095238</v>
      </c>
      <c r="O22" s="36">
        <f>O21*20</f>
        <v>90.677083333333314</v>
      </c>
      <c r="P22" s="34" t="s">
        <v>83</v>
      </c>
      <c r="Q22" s="34" t="s">
        <v>83</v>
      </c>
    </row>
    <row r="23" spans="1:18">
      <c r="A23" s="17" t="s">
        <v>61</v>
      </c>
      <c r="B23" s="35">
        <v>85.71</v>
      </c>
      <c r="C23" s="35">
        <v>100</v>
      </c>
      <c r="D23" s="22" t="s">
        <v>84</v>
      </c>
      <c r="E23" s="35">
        <v>98.08</v>
      </c>
      <c r="F23" s="23">
        <v>100</v>
      </c>
      <c r="G23" s="35">
        <v>90.48</v>
      </c>
      <c r="H23" s="22">
        <v>94.12</v>
      </c>
      <c r="I23" s="35">
        <v>83.33</v>
      </c>
      <c r="J23" s="22" t="s">
        <v>84</v>
      </c>
      <c r="K23" s="35">
        <v>92.98</v>
      </c>
      <c r="L23" s="35">
        <v>100</v>
      </c>
      <c r="M23" s="35">
        <v>87.5</v>
      </c>
      <c r="N23" s="35">
        <v>99.05</v>
      </c>
      <c r="O23" s="44">
        <v>100</v>
      </c>
      <c r="P23" s="22" t="s">
        <v>84</v>
      </c>
      <c r="Q23" s="22" t="s">
        <v>84</v>
      </c>
    </row>
    <row r="25" spans="1:18" ht="24" customHeight="1"/>
    <row r="26" spans="1:18" ht="59.25" customHeight="1">
      <c r="A26" s="6" t="s">
        <v>0</v>
      </c>
      <c r="B26" s="1" t="s">
        <v>71</v>
      </c>
      <c r="C26" s="1" t="s">
        <v>7</v>
      </c>
      <c r="D26" s="1" t="s">
        <v>6</v>
      </c>
      <c r="E26" s="1" t="s">
        <v>8</v>
      </c>
      <c r="F26" s="1" t="s">
        <v>73</v>
      </c>
      <c r="G26" s="1" t="s">
        <v>79</v>
      </c>
      <c r="H26" s="1" t="s">
        <v>76</v>
      </c>
      <c r="I26" s="1" t="s">
        <v>25</v>
      </c>
      <c r="J26" s="1" t="s">
        <v>62</v>
      </c>
      <c r="K26" s="1" t="s">
        <v>88</v>
      </c>
      <c r="L26" s="1" t="s">
        <v>89</v>
      </c>
      <c r="M26" s="1" t="s">
        <v>67</v>
      </c>
      <c r="N26" s="1" t="s">
        <v>72</v>
      </c>
      <c r="O26" s="1" t="s">
        <v>1</v>
      </c>
      <c r="P26" s="1" t="s">
        <v>50</v>
      </c>
      <c r="Q26" s="1" t="s">
        <v>95</v>
      </c>
      <c r="R26" s="1" t="s">
        <v>101</v>
      </c>
    </row>
    <row r="27" spans="1:18" s="27" customFormat="1" ht="24" customHeight="1">
      <c r="A27" s="9" t="s">
        <v>9</v>
      </c>
      <c r="B27" s="34" t="s">
        <v>83</v>
      </c>
      <c r="C27" s="34" t="s">
        <v>83</v>
      </c>
      <c r="D27" s="34">
        <v>38</v>
      </c>
      <c r="E27" s="26">
        <v>7</v>
      </c>
      <c r="F27" s="34" t="s">
        <v>83</v>
      </c>
      <c r="G27" s="53">
        <v>2</v>
      </c>
      <c r="H27" s="26">
        <v>37</v>
      </c>
      <c r="I27" s="34" t="s">
        <v>83</v>
      </c>
      <c r="J27" s="26">
        <v>7</v>
      </c>
      <c r="K27" s="34" t="s">
        <v>83</v>
      </c>
      <c r="L27" s="34" t="s">
        <v>83</v>
      </c>
      <c r="M27" s="26">
        <v>20</v>
      </c>
      <c r="N27" s="26">
        <v>18</v>
      </c>
      <c r="O27" s="26">
        <v>3</v>
      </c>
      <c r="P27" s="26">
        <v>9</v>
      </c>
      <c r="Q27" s="34" t="s">
        <v>83</v>
      </c>
      <c r="R27" s="26">
        <v>2</v>
      </c>
    </row>
    <row r="28" spans="1:18" ht="24" customHeight="1">
      <c r="A28" s="8" t="s">
        <v>26</v>
      </c>
      <c r="B28" s="34" t="s">
        <v>83</v>
      </c>
      <c r="C28" s="34" t="s">
        <v>83</v>
      </c>
      <c r="D28" s="42">
        <v>4.1842105263157903</v>
      </c>
      <c r="E28" s="20">
        <v>4.7142857142857144</v>
      </c>
      <c r="F28" s="34" t="s">
        <v>83</v>
      </c>
      <c r="G28" s="42">
        <v>4.5</v>
      </c>
      <c r="H28" s="20">
        <v>4.7027027027027026</v>
      </c>
      <c r="I28" s="34" t="s">
        <v>83</v>
      </c>
      <c r="J28" s="20">
        <v>4.8571428571428568</v>
      </c>
      <c r="K28" s="34" t="s">
        <v>83</v>
      </c>
      <c r="L28" s="34" t="s">
        <v>83</v>
      </c>
      <c r="M28" s="25">
        <v>4.5999999999999996</v>
      </c>
      <c r="N28" s="20">
        <v>4.2777777777777777</v>
      </c>
      <c r="O28" s="25">
        <v>3.6666666666666665</v>
      </c>
      <c r="P28" s="25">
        <v>4.2222222222222223</v>
      </c>
      <c r="Q28" s="34" t="s">
        <v>83</v>
      </c>
      <c r="R28" s="25">
        <v>5</v>
      </c>
    </row>
    <row r="29" spans="1:18" ht="24" customHeight="1">
      <c r="A29" s="8" t="s">
        <v>59</v>
      </c>
      <c r="B29" s="34" t="s">
        <v>83</v>
      </c>
      <c r="C29" s="34" t="s">
        <v>83</v>
      </c>
      <c r="D29" s="42">
        <v>4.2894736842105257</v>
      </c>
      <c r="E29" s="20">
        <v>5</v>
      </c>
      <c r="F29" s="34" t="s">
        <v>83</v>
      </c>
      <c r="G29" s="42">
        <v>4.5</v>
      </c>
      <c r="H29" s="20">
        <v>4.6486486486486482</v>
      </c>
      <c r="I29" s="34" t="s">
        <v>83</v>
      </c>
      <c r="J29" s="20">
        <v>4.8571428571428568</v>
      </c>
      <c r="K29" s="34" t="s">
        <v>83</v>
      </c>
      <c r="L29" s="34" t="s">
        <v>83</v>
      </c>
      <c r="M29" s="25">
        <v>4.5999999999999996</v>
      </c>
      <c r="N29" s="20">
        <v>4.3888888888888884</v>
      </c>
      <c r="O29" s="25">
        <v>3.6666666666666665</v>
      </c>
      <c r="P29" s="25">
        <v>4.4444444444444446</v>
      </c>
      <c r="Q29" s="34" t="s">
        <v>83</v>
      </c>
      <c r="R29" s="25">
        <v>5</v>
      </c>
    </row>
    <row r="30" spans="1:18" ht="24" customHeight="1">
      <c r="A30" s="8" t="s">
        <v>60</v>
      </c>
      <c r="B30" s="34" t="s">
        <v>83</v>
      </c>
      <c r="C30" s="34" t="s">
        <v>83</v>
      </c>
      <c r="D30" s="42">
        <v>4.1842105263157885</v>
      </c>
      <c r="E30" s="20">
        <v>5</v>
      </c>
      <c r="F30" s="34" t="s">
        <v>83</v>
      </c>
      <c r="G30" s="42">
        <v>4.5</v>
      </c>
      <c r="H30" s="20">
        <v>4.6216216216216219</v>
      </c>
      <c r="I30" s="34" t="s">
        <v>83</v>
      </c>
      <c r="J30" s="20">
        <v>4.8571428571428568</v>
      </c>
      <c r="K30" s="34" t="s">
        <v>83</v>
      </c>
      <c r="L30" s="34" t="s">
        <v>83</v>
      </c>
      <c r="M30" s="25">
        <v>4.6500000000000004</v>
      </c>
      <c r="N30" s="20">
        <v>4.5000000000000009</v>
      </c>
      <c r="O30" s="25">
        <v>3.6666666666666665</v>
      </c>
      <c r="P30" s="25">
        <v>4.4444444444444446</v>
      </c>
      <c r="Q30" s="34" t="s">
        <v>83</v>
      </c>
      <c r="R30" s="25">
        <v>4</v>
      </c>
    </row>
    <row r="31" spans="1:18" ht="24" customHeight="1">
      <c r="A31" s="8" t="s">
        <v>10</v>
      </c>
      <c r="B31" s="34" t="s">
        <v>83</v>
      </c>
      <c r="C31" s="34" t="s">
        <v>83</v>
      </c>
      <c r="D31" s="42">
        <v>4.1315789473684212</v>
      </c>
      <c r="E31" s="20">
        <v>5</v>
      </c>
      <c r="F31" s="34" t="s">
        <v>83</v>
      </c>
      <c r="G31" s="42">
        <v>4.5</v>
      </c>
      <c r="H31" s="20">
        <v>4.6756756756756754</v>
      </c>
      <c r="I31" s="34" t="s">
        <v>83</v>
      </c>
      <c r="J31" s="20">
        <v>4.8571428571428568</v>
      </c>
      <c r="K31" s="34" t="s">
        <v>83</v>
      </c>
      <c r="L31" s="34" t="s">
        <v>83</v>
      </c>
      <c r="M31" s="25">
        <v>4.6499999999999995</v>
      </c>
      <c r="N31" s="20">
        <v>4.3333333333333339</v>
      </c>
      <c r="O31" s="25">
        <v>3.6666666666666665</v>
      </c>
      <c r="P31" s="25">
        <v>4.4444444444444446</v>
      </c>
      <c r="Q31" s="34" t="s">
        <v>83</v>
      </c>
      <c r="R31" s="25">
        <v>4</v>
      </c>
    </row>
    <row r="32" spans="1:18" ht="24" customHeight="1">
      <c r="A32" s="8" t="s">
        <v>11</v>
      </c>
      <c r="B32" s="34" t="s">
        <v>83</v>
      </c>
      <c r="C32" s="34" t="s">
        <v>83</v>
      </c>
      <c r="D32" s="42">
        <v>3.9736842105263146</v>
      </c>
      <c r="E32" s="20">
        <v>4.8571428571428568</v>
      </c>
      <c r="F32" s="34" t="s">
        <v>83</v>
      </c>
      <c r="G32" s="42">
        <v>4.5</v>
      </c>
      <c r="H32" s="20">
        <v>4.6486486486486482</v>
      </c>
      <c r="I32" s="34" t="s">
        <v>83</v>
      </c>
      <c r="J32" s="20">
        <v>4.8571428571428568</v>
      </c>
      <c r="K32" s="34" t="s">
        <v>83</v>
      </c>
      <c r="L32" s="34" t="s">
        <v>83</v>
      </c>
      <c r="M32" s="25">
        <v>4.6000000000000005</v>
      </c>
      <c r="N32" s="20">
        <v>4.1666666666666661</v>
      </c>
      <c r="O32" s="25">
        <v>3.3333333333333335</v>
      </c>
      <c r="P32" s="25">
        <v>4.4444444444444446</v>
      </c>
      <c r="Q32" s="34" t="s">
        <v>83</v>
      </c>
      <c r="R32" s="25">
        <v>4</v>
      </c>
    </row>
    <row r="33" spans="1:18" ht="24" customHeight="1">
      <c r="A33" s="8" t="s">
        <v>12</v>
      </c>
      <c r="B33" s="34" t="s">
        <v>83</v>
      </c>
      <c r="C33" s="34" t="s">
        <v>83</v>
      </c>
      <c r="D33" s="42">
        <v>3.9999999999999996</v>
      </c>
      <c r="E33" s="20">
        <v>5</v>
      </c>
      <c r="F33" s="34" t="s">
        <v>83</v>
      </c>
      <c r="G33" s="42">
        <v>5</v>
      </c>
      <c r="H33" s="20">
        <v>4.5405405405405403</v>
      </c>
      <c r="I33" s="34" t="s">
        <v>83</v>
      </c>
      <c r="J33" s="20">
        <v>4.7142857142857135</v>
      </c>
      <c r="K33" s="34" t="s">
        <v>83</v>
      </c>
      <c r="L33" s="34" t="s">
        <v>83</v>
      </c>
      <c r="M33" s="25">
        <v>4.5500000000000007</v>
      </c>
      <c r="N33" s="20">
        <v>4.2777777777777777</v>
      </c>
      <c r="O33" s="25">
        <v>3.6666666666666665</v>
      </c>
      <c r="P33" s="25">
        <v>4.2222222222222223</v>
      </c>
      <c r="Q33" s="34" t="s">
        <v>83</v>
      </c>
      <c r="R33" s="25">
        <v>3</v>
      </c>
    </row>
    <row r="34" spans="1:18" ht="24" customHeight="1">
      <c r="A34" s="8" t="s">
        <v>13</v>
      </c>
      <c r="B34" s="34" t="s">
        <v>83</v>
      </c>
      <c r="C34" s="34" t="s">
        <v>83</v>
      </c>
      <c r="D34" s="42">
        <v>4.0789473684210531</v>
      </c>
      <c r="E34" s="20">
        <v>4.8571428571428568</v>
      </c>
      <c r="F34" s="34" t="s">
        <v>83</v>
      </c>
      <c r="G34" s="42">
        <v>4.5</v>
      </c>
      <c r="H34" s="20">
        <v>4.6756756756756754</v>
      </c>
      <c r="I34" s="34" t="s">
        <v>83</v>
      </c>
      <c r="J34" s="20">
        <v>5</v>
      </c>
      <c r="K34" s="34" t="s">
        <v>83</v>
      </c>
      <c r="L34" s="34" t="s">
        <v>83</v>
      </c>
      <c r="M34" s="25">
        <v>4.5500000000000007</v>
      </c>
      <c r="N34" s="20">
        <v>4.2777777777777786</v>
      </c>
      <c r="O34" s="25">
        <v>3.6666666666666665</v>
      </c>
      <c r="P34" s="25">
        <v>4.333333333333333</v>
      </c>
      <c r="Q34" s="34" t="s">
        <v>83</v>
      </c>
      <c r="R34" s="25">
        <v>3</v>
      </c>
    </row>
    <row r="35" spans="1:18" ht="24" customHeight="1">
      <c r="A35" s="8" t="s">
        <v>14</v>
      </c>
      <c r="B35" s="34" t="s">
        <v>83</v>
      </c>
      <c r="C35" s="34" t="s">
        <v>83</v>
      </c>
      <c r="D35" s="42">
        <v>4.0263157894736841</v>
      </c>
      <c r="E35" s="20">
        <v>5</v>
      </c>
      <c r="F35" s="34" t="s">
        <v>83</v>
      </c>
      <c r="G35" s="42">
        <v>4.5</v>
      </c>
      <c r="H35" s="20">
        <v>4.6486486486486482</v>
      </c>
      <c r="I35" s="34" t="s">
        <v>83</v>
      </c>
      <c r="J35" s="20">
        <v>4.8571428571428568</v>
      </c>
      <c r="K35" s="34" t="s">
        <v>83</v>
      </c>
      <c r="L35" s="34" t="s">
        <v>83</v>
      </c>
      <c r="M35" s="25">
        <v>4.5999999999999996</v>
      </c>
      <c r="N35" s="20">
        <v>4.5000000000000009</v>
      </c>
      <c r="O35" s="25">
        <v>3.6666666666666665</v>
      </c>
      <c r="P35" s="25">
        <v>4.4444444444444446</v>
      </c>
      <c r="Q35" s="34" t="s">
        <v>83</v>
      </c>
      <c r="R35" s="25">
        <v>3</v>
      </c>
    </row>
    <row r="36" spans="1:18" ht="24" customHeight="1">
      <c r="A36" s="8" t="s">
        <v>15</v>
      </c>
      <c r="B36" s="34" t="s">
        <v>83</v>
      </c>
      <c r="C36" s="34" t="s">
        <v>83</v>
      </c>
      <c r="D36" s="42">
        <v>4.1052631578947363</v>
      </c>
      <c r="E36" s="20">
        <v>4.8571428571428568</v>
      </c>
      <c r="F36" s="34" t="s">
        <v>83</v>
      </c>
      <c r="G36" s="42">
        <v>4.5</v>
      </c>
      <c r="H36" s="20">
        <v>4.621621621621621</v>
      </c>
      <c r="I36" s="34" t="s">
        <v>83</v>
      </c>
      <c r="J36" s="20">
        <v>4.8571428571428568</v>
      </c>
      <c r="K36" s="34" t="s">
        <v>83</v>
      </c>
      <c r="L36" s="34" t="s">
        <v>83</v>
      </c>
      <c r="M36" s="25">
        <v>4.55</v>
      </c>
      <c r="N36" s="20">
        <v>4.333333333333333</v>
      </c>
      <c r="O36" s="25">
        <v>4.333333333333333</v>
      </c>
      <c r="P36" s="25">
        <v>4.4444444444444446</v>
      </c>
      <c r="Q36" s="34" t="s">
        <v>83</v>
      </c>
      <c r="R36" s="25">
        <v>3</v>
      </c>
    </row>
    <row r="37" spans="1:18" ht="24" customHeight="1">
      <c r="A37" s="8" t="s">
        <v>16</v>
      </c>
      <c r="B37" s="34" t="s">
        <v>83</v>
      </c>
      <c r="C37" s="34" t="s">
        <v>83</v>
      </c>
      <c r="D37" s="42">
        <v>4.0789473684210531</v>
      </c>
      <c r="E37" s="20">
        <v>5</v>
      </c>
      <c r="F37" s="34" t="s">
        <v>83</v>
      </c>
      <c r="G37" s="42">
        <v>5</v>
      </c>
      <c r="H37" s="20">
        <v>4.5945945945945947</v>
      </c>
      <c r="I37" s="34" t="s">
        <v>83</v>
      </c>
      <c r="J37" s="20">
        <v>4.8571428571428568</v>
      </c>
      <c r="K37" s="34" t="s">
        <v>83</v>
      </c>
      <c r="L37" s="34" t="s">
        <v>83</v>
      </c>
      <c r="M37" s="25">
        <v>4.5499999999999989</v>
      </c>
      <c r="N37" s="20">
        <v>4.2777777777777786</v>
      </c>
      <c r="O37" s="25">
        <v>4</v>
      </c>
      <c r="P37" s="25">
        <v>4.333333333333333</v>
      </c>
      <c r="Q37" s="34" t="s">
        <v>83</v>
      </c>
      <c r="R37" s="25">
        <v>3</v>
      </c>
    </row>
    <row r="38" spans="1:18" ht="24" customHeight="1">
      <c r="A38" s="8" t="s">
        <v>17</v>
      </c>
      <c r="B38" s="34" t="s">
        <v>83</v>
      </c>
      <c r="C38" s="34" t="s">
        <v>83</v>
      </c>
      <c r="D38" s="42">
        <v>4.0526315789473681</v>
      </c>
      <c r="E38" s="20">
        <v>5</v>
      </c>
      <c r="F38" s="34" t="s">
        <v>83</v>
      </c>
      <c r="G38" s="42">
        <v>5</v>
      </c>
      <c r="H38" s="20">
        <v>4.621621621621621</v>
      </c>
      <c r="I38" s="34" t="s">
        <v>83</v>
      </c>
      <c r="J38" s="20">
        <v>5</v>
      </c>
      <c r="K38" s="34" t="s">
        <v>83</v>
      </c>
      <c r="L38" s="34" t="s">
        <v>83</v>
      </c>
      <c r="M38" s="25">
        <v>4.6000000000000005</v>
      </c>
      <c r="N38" s="20">
        <v>4.3888888888888884</v>
      </c>
      <c r="O38" s="25">
        <v>4</v>
      </c>
      <c r="P38" s="25">
        <v>4.333333333333333</v>
      </c>
      <c r="Q38" s="34" t="s">
        <v>83</v>
      </c>
      <c r="R38" s="25">
        <v>3</v>
      </c>
    </row>
    <row r="39" spans="1:18" ht="24" customHeight="1">
      <c r="A39" s="8" t="s">
        <v>18</v>
      </c>
      <c r="B39" s="34" t="s">
        <v>83</v>
      </c>
      <c r="C39" s="34" t="s">
        <v>83</v>
      </c>
      <c r="D39" s="42">
        <v>4.1842105263157894</v>
      </c>
      <c r="E39" s="20">
        <v>5</v>
      </c>
      <c r="F39" s="34" t="s">
        <v>83</v>
      </c>
      <c r="G39" s="42">
        <v>4.5</v>
      </c>
      <c r="H39" s="20">
        <v>4.7027027027027026</v>
      </c>
      <c r="I39" s="34" t="s">
        <v>83</v>
      </c>
      <c r="J39" s="20">
        <v>4.8571428571428568</v>
      </c>
      <c r="K39" s="34" t="s">
        <v>83</v>
      </c>
      <c r="L39" s="34" t="s">
        <v>83</v>
      </c>
      <c r="M39" s="25">
        <v>4.7</v>
      </c>
      <c r="N39" s="20">
        <v>4.4444444444444446</v>
      </c>
      <c r="O39" s="25">
        <v>3.6666666666666665</v>
      </c>
      <c r="P39" s="25">
        <v>4.2222222222222223</v>
      </c>
      <c r="Q39" s="34" t="s">
        <v>83</v>
      </c>
      <c r="R39" s="25">
        <v>4</v>
      </c>
    </row>
    <row r="40" spans="1:18" ht="24" customHeight="1">
      <c r="A40" s="8" t="s">
        <v>19</v>
      </c>
      <c r="B40" s="34" t="s">
        <v>83</v>
      </c>
      <c r="C40" s="34" t="s">
        <v>83</v>
      </c>
      <c r="D40" s="42">
        <v>4.1315789473684212</v>
      </c>
      <c r="E40" s="20">
        <v>5</v>
      </c>
      <c r="F40" s="34" t="s">
        <v>83</v>
      </c>
      <c r="G40" s="42">
        <v>4.5</v>
      </c>
      <c r="H40" s="20">
        <v>4.621621621621621</v>
      </c>
      <c r="I40" s="34" t="s">
        <v>83</v>
      </c>
      <c r="J40" s="20">
        <v>4.8571428571428568</v>
      </c>
      <c r="K40" s="34" t="s">
        <v>83</v>
      </c>
      <c r="L40" s="34" t="s">
        <v>83</v>
      </c>
      <c r="M40" s="25">
        <v>4.5999999999999996</v>
      </c>
      <c r="N40" s="20">
        <v>4.3888888888888884</v>
      </c>
      <c r="O40" s="25">
        <v>4</v>
      </c>
      <c r="P40" s="25">
        <v>4.2222222222222223</v>
      </c>
      <c r="Q40" s="34" t="s">
        <v>83</v>
      </c>
      <c r="R40" s="25">
        <v>3</v>
      </c>
    </row>
    <row r="41" spans="1:18" ht="24" customHeight="1">
      <c r="A41" s="8" t="s">
        <v>20</v>
      </c>
      <c r="B41" s="34" t="s">
        <v>83</v>
      </c>
      <c r="C41" s="34" t="s">
        <v>83</v>
      </c>
      <c r="D41" s="42">
        <v>4.1578947368421053</v>
      </c>
      <c r="E41" s="20">
        <v>5</v>
      </c>
      <c r="F41" s="34" t="s">
        <v>83</v>
      </c>
      <c r="G41" s="42">
        <v>4</v>
      </c>
      <c r="H41" s="20">
        <v>4.6216216216216219</v>
      </c>
      <c r="I41" s="34" t="s">
        <v>83</v>
      </c>
      <c r="J41" s="20">
        <v>4.7142857142857135</v>
      </c>
      <c r="K41" s="34" t="s">
        <v>83</v>
      </c>
      <c r="L41" s="34" t="s">
        <v>83</v>
      </c>
      <c r="M41" s="25">
        <v>4.6500000000000004</v>
      </c>
      <c r="N41" s="20">
        <v>4.4444444444444455</v>
      </c>
      <c r="O41" s="25">
        <v>4</v>
      </c>
      <c r="P41" s="25">
        <v>4.333333333333333</v>
      </c>
      <c r="Q41" s="34" t="s">
        <v>83</v>
      </c>
      <c r="R41" s="25">
        <v>3</v>
      </c>
    </row>
    <row r="42" spans="1:18" ht="24" customHeight="1">
      <c r="A42" s="8" t="s">
        <v>21</v>
      </c>
      <c r="B42" s="34" t="s">
        <v>83</v>
      </c>
      <c r="C42" s="34" t="s">
        <v>83</v>
      </c>
      <c r="D42" s="42">
        <v>4.0789473684210531</v>
      </c>
      <c r="E42" s="20">
        <v>4.8571428571428568</v>
      </c>
      <c r="F42" s="34" t="s">
        <v>83</v>
      </c>
      <c r="G42" s="42">
        <v>4</v>
      </c>
      <c r="H42" s="20">
        <v>4.6756756756756754</v>
      </c>
      <c r="I42" s="34" t="s">
        <v>83</v>
      </c>
      <c r="J42" s="20">
        <v>4.8571428571428568</v>
      </c>
      <c r="K42" s="34" t="s">
        <v>83</v>
      </c>
      <c r="L42" s="34" t="s">
        <v>83</v>
      </c>
      <c r="M42" s="25">
        <v>4.55</v>
      </c>
      <c r="N42" s="20">
        <v>4.5</v>
      </c>
      <c r="O42" s="25">
        <v>4</v>
      </c>
      <c r="P42" s="25">
        <v>4.2222222222222223</v>
      </c>
      <c r="Q42" s="34" t="s">
        <v>83</v>
      </c>
      <c r="R42" s="25">
        <v>3</v>
      </c>
    </row>
    <row r="43" spans="1:18" ht="24" customHeight="1">
      <c r="A43" s="8" t="s">
        <v>22</v>
      </c>
      <c r="B43" s="34" t="s">
        <v>83</v>
      </c>
      <c r="C43" s="34" t="s">
        <v>83</v>
      </c>
      <c r="D43" s="42">
        <v>4.1842105263157894</v>
      </c>
      <c r="E43" s="20">
        <v>4.8571428571428568</v>
      </c>
      <c r="F43" s="34" t="s">
        <v>83</v>
      </c>
      <c r="G43" s="42">
        <v>4.5</v>
      </c>
      <c r="H43" s="20">
        <v>4.7027027027027017</v>
      </c>
      <c r="I43" s="34" t="s">
        <v>83</v>
      </c>
      <c r="J43" s="20">
        <v>4.8571428571428568</v>
      </c>
      <c r="K43" s="34" t="s">
        <v>83</v>
      </c>
      <c r="L43" s="34" t="s">
        <v>83</v>
      </c>
      <c r="M43" s="25">
        <v>4.5999999999999996</v>
      </c>
      <c r="N43" s="20">
        <v>4.2777777777777777</v>
      </c>
      <c r="O43" s="25">
        <v>3.3333333333333335</v>
      </c>
      <c r="P43" s="25">
        <v>4.2222222222222223</v>
      </c>
      <c r="Q43" s="34" t="s">
        <v>83</v>
      </c>
      <c r="R43" s="25">
        <v>3</v>
      </c>
    </row>
    <row r="44" spans="1:18" ht="24" customHeight="1">
      <c r="A44" s="9" t="s">
        <v>23</v>
      </c>
      <c r="B44" s="34" t="s">
        <v>83</v>
      </c>
      <c r="C44" s="34" t="s">
        <v>83</v>
      </c>
      <c r="D44" s="42">
        <v>4.1151315789473681</v>
      </c>
      <c r="E44" s="20">
        <v>4.9375</v>
      </c>
      <c r="F44" s="34" t="s">
        <v>83</v>
      </c>
      <c r="G44" s="42">
        <v>4.53125</v>
      </c>
      <c r="H44" s="20">
        <v>4.6452702702702702</v>
      </c>
      <c r="I44" s="34" t="s">
        <v>83</v>
      </c>
      <c r="J44" s="20">
        <v>4.8571428571428568</v>
      </c>
      <c r="K44" s="34" t="s">
        <v>83</v>
      </c>
      <c r="L44" s="34" t="s">
        <v>83</v>
      </c>
      <c r="M44" s="25">
        <v>4.5999999999999996</v>
      </c>
      <c r="N44" s="20">
        <v>4.3611111111111107</v>
      </c>
      <c r="O44" s="25">
        <v>3.7708333333333335</v>
      </c>
      <c r="P44" s="25">
        <v>4.3333333333333339</v>
      </c>
      <c r="Q44" s="34" t="s">
        <v>83</v>
      </c>
      <c r="R44" s="25">
        <v>3.5</v>
      </c>
    </row>
    <row r="45" spans="1:18">
      <c r="A45" s="9" t="s">
        <v>24</v>
      </c>
      <c r="B45" s="34" t="s">
        <v>83</v>
      </c>
      <c r="C45" s="34" t="s">
        <v>83</v>
      </c>
      <c r="D45" s="36">
        <f t="shared" ref="D45:O45" si="1">D44*20</f>
        <v>82.30263157894737</v>
      </c>
      <c r="E45" s="36">
        <f t="shared" si="1"/>
        <v>98.75</v>
      </c>
      <c r="F45" s="34" t="s">
        <v>83</v>
      </c>
      <c r="G45" s="52">
        <f t="shared" si="1"/>
        <v>90.625</v>
      </c>
      <c r="H45" s="36">
        <f t="shared" si="1"/>
        <v>92.905405405405403</v>
      </c>
      <c r="I45" s="34" t="s">
        <v>83</v>
      </c>
      <c r="J45" s="36">
        <f t="shared" si="1"/>
        <v>97.142857142857139</v>
      </c>
      <c r="K45" s="34" t="s">
        <v>83</v>
      </c>
      <c r="L45" s="34" t="s">
        <v>83</v>
      </c>
      <c r="M45" s="36">
        <f t="shared" si="1"/>
        <v>92</v>
      </c>
      <c r="N45" s="36">
        <f t="shared" si="1"/>
        <v>87.222222222222214</v>
      </c>
      <c r="O45" s="36">
        <f t="shared" si="1"/>
        <v>75.416666666666671</v>
      </c>
      <c r="P45" s="36">
        <f>P44*20</f>
        <v>86.666666666666686</v>
      </c>
      <c r="Q45" s="34" t="s">
        <v>83</v>
      </c>
      <c r="R45" s="36">
        <f>R44*20</f>
        <v>70</v>
      </c>
    </row>
    <row r="46" spans="1:18">
      <c r="A46" s="43" t="s">
        <v>61</v>
      </c>
      <c r="B46" s="46" t="s">
        <v>84</v>
      </c>
      <c r="C46" s="46" t="s">
        <v>84</v>
      </c>
      <c r="D46" s="45">
        <v>100</v>
      </c>
      <c r="E46" s="44">
        <v>100</v>
      </c>
      <c r="F46" s="46" t="s">
        <v>84</v>
      </c>
      <c r="G46" s="46">
        <v>100</v>
      </c>
      <c r="H46" s="44">
        <v>100</v>
      </c>
      <c r="I46" s="46" t="s">
        <v>84</v>
      </c>
      <c r="J46" s="44">
        <v>100</v>
      </c>
      <c r="K46" s="46" t="s">
        <v>84</v>
      </c>
      <c r="L46" s="46" t="s">
        <v>84</v>
      </c>
      <c r="M46" s="44">
        <v>95</v>
      </c>
      <c r="N46" s="44">
        <v>88.89</v>
      </c>
      <c r="O46" s="45">
        <v>100</v>
      </c>
      <c r="P46" s="45">
        <v>88.89</v>
      </c>
      <c r="Q46" s="46" t="s">
        <v>84</v>
      </c>
      <c r="R46" s="45">
        <v>50</v>
      </c>
    </row>
    <row r="48" spans="1:18" ht="24" customHeight="1"/>
    <row r="49" spans="1:14" s="15" customFormat="1" ht="24" customHeight="1">
      <c r="A49" s="6" t="s">
        <v>0</v>
      </c>
      <c r="B49" s="5" t="s">
        <v>63</v>
      </c>
      <c r="C49" s="5" t="s">
        <v>27</v>
      </c>
      <c r="D49" s="5" t="s">
        <v>65</v>
      </c>
      <c r="E49" s="5" t="s">
        <v>29</v>
      </c>
      <c r="F49" s="18" t="s">
        <v>69</v>
      </c>
      <c r="G49" s="5" t="s">
        <v>30</v>
      </c>
      <c r="H49" s="5" t="s">
        <v>31</v>
      </c>
      <c r="I49" s="5" t="s">
        <v>32</v>
      </c>
      <c r="J49" s="5" t="s">
        <v>33</v>
      </c>
      <c r="K49" s="5" t="s">
        <v>34</v>
      </c>
      <c r="L49" s="5" t="s">
        <v>64</v>
      </c>
      <c r="M49" s="5" t="s">
        <v>35</v>
      </c>
      <c r="N49" s="5" t="s">
        <v>36</v>
      </c>
    </row>
    <row r="50" spans="1:14" s="27" customFormat="1" ht="24" customHeight="1">
      <c r="A50" s="9" t="s">
        <v>9</v>
      </c>
      <c r="B50" s="26">
        <v>20</v>
      </c>
      <c r="C50" s="31">
        <v>52</v>
      </c>
      <c r="D50" s="26">
        <v>23</v>
      </c>
      <c r="E50" s="26">
        <v>18</v>
      </c>
      <c r="F50" s="34" t="s">
        <v>83</v>
      </c>
      <c r="G50" s="26">
        <v>33</v>
      </c>
      <c r="H50" s="26">
        <v>81</v>
      </c>
      <c r="I50" s="34" t="s">
        <v>83</v>
      </c>
      <c r="J50" s="28">
        <v>48</v>
      </c>
      <c r="K50" s="29">
        <v>37</v>
      </c>
      <c r="L50" s="26">
        <v>92</v>
      </c>
      <c r="M50" s="26">
        <v>51</v>
      </c>
      <c r="N50" s="26">
        <v>74</v>
      </c>
    </row>
    <row r="51" spans="1:14" ht="24" customHeight="1">
      <c r="A51" s="8" t="s">
        <v>26</v>
      </c>
      <c r="B51" s="21">
        <v>4.4499999999999993</v>
      </c>
      <c r="C51" s="32">
        <v>4.3653846153846176</v>
      </c>
      <c r="D51" s="21">
        <v>4.6086956521739131</v>
      </c>
      <c r="E51" s="21">
        <v>4.3888888888888884</v>
      </c>
      <c r="F51" s="34" t="s">
        <v>83</v>
      </c>
      <c r="G51" s="21">
        <v>4.4242424242424239</v>
      </c>
      <c r="H51" s="21">
        <v>4.567901234567902</v>
      </c>
      <c r="I51" s="34" t="s">
        <v>83</v>
      </c>
      <c r="J51" s="54">
        <v>4.4791666666666652</v>
      </c>
      <c r="K51" s="21">
        <v>4.4324324324324307</v>
      </c>
      <c r="L51" s="21">
        <v>4.5326086956521721</v>
      </c>
      <c r="M51" s="21">
        <v>4.6078431372549034</v>
      </c>
      <c r="N51" s="24">
        <v>4.5405405405405403</v>
      </c>
    </row>
    <row r="52" spans="1:14" ht="24" customHeight="1">
      <c r="A52" s="8" t="s">
        <v>59</v>
      </c>
      <c r="B52" s="21">
        <v>4.3499999999999996</v>
      </c>
      <c r="C52" s="32">
        <v>4.3846153846153841</v>
      </c>
      <c r="D52" s="21">
        <v>4.6086956521739131</v>
      </c>
      <c r="E52" s="21">
        <v>4.4999999999999991</v>
      </c>
      <c r="F52" s="34" t="s">
        <v>83</v>
      </c>
      <c r="G52" s="21">
        <v>4.545454545454545</v>
      </c>
      <c r="H52" s="21">
        <v>4.6172839506172823</v>
      </c>
      <c r="I52" s="34" t="s">
        <v>83</v>
      </c>
      <c r="J52" s="55">
        <v>4.4374999999999991</v>
      </c>
      <c r="K52" s="21">
        <v>4.3243243243243246</v>
      </c>
      <c r="L52" s="21">
        <v>4.4239130434782616</v>
      </c>
      <c r="M52" s="21">
        <v>4.5686274509803901</v>
      </c>
      <c r="N52" s="24">
        <v>4.5675675675675667</v>
      </c>
    </row>
    <row r="53" spans="1:14" ht="24" customHeight="1">
      <c r="A53" s="8" t="s">
        <v>60</v>
      </c>
      <c r="B53" s="21">
        <v>4.4999999999999991</v>
      </c>
      <c r="C53" s="32">
        <v>4.4423076923076916</v>
      </c>
      <c r="D53" s="21">
        <v>4.5652173913043477</v>
      </c>
      <c r="E53" s="21">
        <v>4.5</v>
      </c>
      <c r="F53" s="34" t="s">
        <v>83</v>
      </c>
      <c r="G53" s="21">
        <v>4.454545454545455</v>
      </c>
      <c r="H53" s="21">
        <v>4.5925925925925926</v>
      </c>
      <c r="I53" s="34" t="s">
        <v>83</v>
      </c>
      <c r="J53" s="55">
        <v>4.4583333333333321</v>
      </c>
      <c r="K53" s="21">
        <v>4.2702702702702693</v>
      </c>
      <c r="L53" s="21">
        <v>4.4456521739130412</v>
      </c>
      <c r="M53" s="21">
        <v>4.5098039215686274</v>
      </c>
      <c r="N53" s="24">
        <v>4.5945945945945939</v>
      </c>
    </row>
    <row r="54" spans="1:14" ht="24" customHeight="1">
      <c r="A54" s="8" t="s">
        <v>10</v>
      </c>
      <c r="B54" s="21">
        <v>4.4499999999999993</v>
      </c>
      <c r="C54" s="32">
        <v>4.4230769230769225</v>
      </c>
      <c r="D54" s="21">
        <v>4.5217391304347814</v>
      </c>
      <c r="E54" s="21">
        <v>4.4444444444444455</v>
      </c>
      <c r="F54" s="34" t="s">
        <v>83</v>
      </c>
      <c r="G54" s="21">
        <v>4.4242424242424248</v>
      </c>
      <c r="H54" s="21">
        <v>4.5555555555555562</v>
      </c>
      <c r="I54" s="34" t="s">
        <v>83</v>
      </c>
      <c r="J54" s="55">
        <v>4.4791666666666661</v>
      </c>
      <c r="K54" s="21">
        <v>4.2972972972972983</v>
      </c>
      <c r="L54" s="21">
        <v>4.423913043478259</v>
      </c>
      <c r="M54" s="21">
        <v>4.6470588235294112</v>
      </c>
      <c r="N54" s="24">
        <v>4.5270270270270263</v>
      </c>
    </row>
    <row r="55" spans="1:14" ht="24" customHeight="1">
      <c r="A55" s="8" t="s">
        <v>11</v>
      </c>
      <c r="B55" s="21">
        <v>4.3499999999999996</v>
      </c>
      <c r="C55" s="32">
        <v>4.3653846153846168</v>
      </c>
      <c r="D55" s="21">
        <v>4.695652173913043</v>
      </c>
      <c r="E55" s="21">
        <v>4.4444444444444455</v>
      </c>
      <c r="F55" s="34" t="s">
        <v>83</v>
      </c>
      <c r="G55" s="21">
        <v>4.333333333333333</v>
      </c>
      <c r="H55" s="21">
        <v>4.4814814814814801</v>
      </c>
      <c r="I55" s="34" t="s">
        <v>83</v>
      </c>
      <c r="J55" s="55">
        <v>4.395833333333333</v>
      </c>
      <c r="K55" s="21">
        <v>4.3243243243243246</v>
      </c>
      <c r="L55" s="21">
        <v>4.4021739130434776</v>
      </c>
      <c r="M55" s="21">
        <v>4.5490196078431371</v>
      </c>
      <c r="N55" s="24">
        <v>4.5810810810810816</v>
      </c>
    </row>
    <row r="56" spans="1:14" ht="24" customHeight="1">
      <c r="A56" s="8" t="s">
        <v>12</v>
      </c>
      <c r="B56" s="21">
        <v>4.4499999999999993</v>
      </c>
      <c r="C56" s="32">
        <v>4.3846153846153859</v>
      </c>
      <c r="D56" s="21">
        <v>4.6521739130434776</v>
      </c>
      <c r="E56" s="21">
        <v>4.5</v>
      </c>
      <c r="F56" s="34" t="s">
        <v>83</v>
      </c>
      <c r="G56" s="21">
        <v>4.3333333333333339</v>
      </c>
      <c r="H56" s="21">
        <v>4.4444444444444446</v>
      </c>
      <c r="I56" s="34" t="s">
        <v>83</v>
      </c>
      <c r="J56" s="55">
        <v>4.5208333333333321</v>
      </c>
      <c r="K56" s="21">
        <v>4.1621621621621623</v>
      </c>
      <c r="L56" s="21">
        <v>4.3913043478260878</v>
      </c>
      <c r="M56" s="21">
        <v>4.5490196078431371</v>
      </c>
      <c r="N56" s="24">
        <v>4.6081081081081106</v>
      </c>
    </row>
    <row r="57" spans="1:14" ht="24" customHeight="1">
      <c r="A57" s="8" t="s">
        <v>13</v>
      </c>
      <c r="B57" s="21">
        <v>4.3499999999999996</v>
      </c>
      <c r="C57" s="32">
        <v>4.4807692307692299</v>
      </c>
      <c r="D57" s="21">
        <v>4.5217391304347814</v>
      </c>
      <c r="E57" s="21">
        <v>4.3888888888888893</v>
      </c>
      <c r="F57" s="34" t="s">
        <v>83</v>
      </c>
      <c r="G57" s="21">
        <v>4.3636363636363642</v>
      </c>
      <c r="H57" s="21">
        <v>4.6543209876543203</v>
      </c>
      <c r="I57" s="34" t="s">
        <v>83</v>
      </c>
      <c r="J57" s="55">
        <v>4.4166666666666661</v>
      </c>
      <c r="K57" s="21">
        <v>4.4054054054054044</v>
      </c>
      <c r="L57" s="21">
        <v>4.5326086956521729</v>
      </c>
      <c r="M57" s="21">
        <v>4.6078431372549025</v>
      </c>
      <c r="N57" s="24">
        <v>4.7027027027027035</v>
      </c>
    </row>
    <row r="58" spans="1:14" ht="24" customHeight="1">
      <c r="A58" s="8" t="s">
        <v>14</v>
      </c>
      <c r="B58" s="21">
        <v>4.3000000000000007</v>
      </c>
      <c r="C58" s="32">
        <v>4.4807692307692308</v>
      </c>
      <c r="D58" s="21">
        <v>4.4782608695652169</v>
      </c>
      <c r="E58" s="21">
        <v>4.3888888888888893</v>
      </c>
      <c r="F58" s="34" t="s">
        <v>83</v>
      </c>
      <c r="G58" s="21">
        <v>4.3939393939393936</v>
      </c>
      <c r="H58" s="21">
        <v>4.4691358024691343</v>
      </c>
      <c r="I58" s="34" t="s">
        <v>83</v>
      </c>
      <c r="J58" s="55">
        <v>4.4166666666666661</v>
      </c>
      <c r="K58" s="21">
        <v>4.243243243243243</v>
      </c>
      <c r="L58" s="21">
        <v>4.3478260869565197</v>
      </c>
      <c r="M58" s="21">
        <v>4.450980392156862</v>
      </c>
      <c r="N58" s="24">
        <v>4.513513513513514</v>
      </c>
    </row>
    <row r="59" spans="1:14" ht="24" customHeight="1">
      <c r="A59" s="8" t="s">
        <v>15</v>
      </c>
      <c r="B59" s="21">
        <v>4.3499999999999996</v>
      </c>
      <c r="C59" s="32">
        <v>4.4807692307692308</v>
      </c>
      <c r="D59" s="21">
        <v>4.695652173913043</v>
      </c>
      <c r="E59" s="21">
        <v>4.3888888888888884</v>
      </c>
      <c r="F59" s="34" t="s">
        <v>83</v>
      </c>
      <c r="G59" s="21">
        <v>4.3333333333333339</v>
      </c>
      <c r="H59" s="21">
        <v>4.5679012345679011</v>
      </c>
      <c r="I59" s="34" t="s">
        <v>83</v>
      </c>
      <c r="J59" s="55">
        <v>4.416666666666667</v>
      </c>
      <c r="K59" s="21">
        <v>4.4054054054054053</v>
      </c>
      <c r="L59" s="21">
        <v>4.5760869565217401</v>
      </c>
      <c r="M59" s="21">
        <v>4.4705882352941178</v>
      </c>
      <c r="N59" s="24">
        <v>4.6081081081081088</v>
      </c>
    </row>
    <row r="60" spans="1:14" ht="24" customHeight="1">
      <c r="A60" s="8" t="s">
        <v>16</v>
      </c>
      <c r="B60" s="21">
        <v>4.4499999999999993</v>
      </c>
      <c r="C60" s="32">
        <v>4.5</v>
      </c>
      <c r="D60" s="21">
        <v>4.4782608695652169</v>
      </c>
      <c r="E60" s="21">
        <v>4.3888888888888884</v>
      </c>
      <c r="F60" s="34" t="s">
        <v>83</v>
      </c>
      <c r="G60" s="21">
        <v>4.454545454545455</v>
      </c>
      <c r="H60" s="21">
        <v>4.5802469135802468</v>
      </c>
      <c r="I60" s="34" t="s">
        <v>83</v>
      </c>
      <c r="J60" s="55">
        <v>4.4374999999999982</v>
      </c>
      <c r="K60" s="21">
        <v>4.4054054054054044</v>
      </c>
      <c r="L60" s="21">
        <v>4.4782608695652177</v>
      </c>
      <c r="M60" s="21">
        <v>4.5686274509803901</v>
      </c>
      <c r="N60" s="24">
        <v>4.6621621621621605</v>
      </c>
    </row>
    <row r="61" spans="1:14" ht="24" customHeight="1">
      <c r="A61" s="8" t="s">
        <v>17</v>
      </c>
      <c r="B61" s="21">
        <v>4.45</v>
      </c>
      <c r="C61" s="32">
        <v>4.4807692307692308</v>
      </c>
      <c r="D61" s="21">
        <v>4.4782608695652169</v>
      </c>
      <c r="E61" s="21">
        <v>4.333333333333333</v>
      </c>
      <c r="F61" s="34" t="s">
        <v>83</v>
      </c>
      <c r="G61" s="21">
        <v>4.333333333333333</v>
      </c>
      <c r="H61" s="21">
        <v>4.5925925925925908</v>
      </c>
      <c r="I61" s="34" t="s">
        <v>83</v>
      </c>
      <c r="J61" s="55">
        <v>4.4374999999999991</v>
      </c>
      <c r="K61" s="21">
        <v>4.4594594594594597</v>
      </c>
      <c r="L61" s="21">
        <v>4.5326086956521729</v>
      </c>
      <c r="M61" s="21">
        <v>4.4901960784313717</v>
      </c>
      <c r="N61" s="24">
        <v>4.6756756756756772</v>
      </c>
    </row>
    <row r="62" spans="1:14" ht="24" customHeight="1">
      <c r="A62" s="8" t="s">
        <v>18</v>
      </c>
      <c r="B62" s="21">
        <v>4.55</v>
      </c>
      <c r="C62" s="32">
        <v>4.3846153846153841</v>
      </c>
      <c r="D62" s="21">
        <v>4.6521739130434785</v>
      </c>
      <c r="E62" s="21">
        <v>4.333333333333333</v>
      </c>
      <c r="F62" s="34" t="s">
        <v>83</v>
      </c>
      <c r="G62" s="21">
        <v>4.3030303030303036</v>
      </c>
      <c r="H62" s="21">
        <v>4.5185185185185182</v>
      </c>
      <c r="I62" s="34" t="s">
        <v>83</v>
      </c>
      <c r="J62" s="55">
        <v>4.4999999999999982</v>
      </c>
      <c r="K62" s="21">
        <v>4.4324324324324316</v>
      </c>
      <c r="L62" s="21">
        <v>4.445652173913043</v>
      </c>
      <c r="M62" s="21">
        <v>4.5294117647058814</v>
      </c>
      <c r="N62" s="24">
        <v>4.5540540540540553</v>
      </c>
    </row>
    <row r="63" spans="1:14" ht="24" customHeight="1">
      <c r="A63" s="8" t="s">
        <v>19</v>
      </c>
      <c r="B63" s="21">
        <v>4.5</v>
      </c>
      <c r="C63" s="32">
        <v>4.4615384615384617</v>
      </c>
      <c r="D63" s="21">
        <v>4.5217391304347814</v>
      </c>
      <c r="E63" s="21">
        <v>4.333333333333333</v>
      </c>
      <c r="F63" s="34" t="s">
        <v>83</v>
      </c>
      <c r="G63" s="21">
        <v>4.3636363636363642</v>
      </c>
      <c r="H63" s="21">
        <v>4.5432098765432105</v>
      </c>
      <c r="I63" s="34" t="s">
        <v>83</v>
      </c>
      <c r="J63" s="55">
        <v>4.4999999999999982</v>
      </c>
      <c r="K63" s="21">
        <v>4.3783783783783772</v>
      </c>
      <c r="L63" s="21">
        <v>4.4565217391304355</v>
      </c>
      <c r="M63" s="21">
        <v>4.4117647058823506</v>
      </c>
      <c r="N63" s="24">
        <v>4.5540540540540544</v>
      </c>
    </row>
    <row r="64" spans="1:14" ht="24" customHeight="1">
      <c r="A64" s="8" t="s">
        <v>20</v>
      </c>
      <c r="B64" s="21">
        <v>4.3499999999999996</v>
      </c>
      <c r="C64" s="32">
        <v>4.5384615384615392</v>
      </c>
      <c r="D64" s="21">
        <v>4.5652173913043477</v>
      </c>
      <c r="E64" s="21">
        <v>4.4444444444444455</v>
      </c>
      <c r="F64" s="34" t="s">
        <v>83</v>
      </c>
      <c r="G64" s="21">
        <v>4.4242424242424248</v>
      </c>
      <c r="H64" s="21">
        <v>4.481481481481481</v>
      </c>
      <c r="I64" s="34" t="s">
        <v>83</v>
      </c>
      <c r="J64" s="55">
        <v>4.520833333333333</v>
      </c>
      <c r="K64" s="21">
        <v>4.3243243243243246</v>
      </c>
      <c r="L64" s="21">
        <v>4.5434782608695654</v>
      </c>
      <c r="M64" s="21">
        <v>4.5490196078431362</v>
      </c>
      <c r="N64" s="24">
        <v>4.6351351351351351</v>
      </c>
    </row>
    <row r="65" spans="1:16" ht="24" customHeight="1">
      <c r="A65" s="8" t="s">
        <v>21</v>
      </c>
      <c r="B65" s="21">
        <v>4.3999999999999995</v>
      </c>
      <c r="C65" s="32">
        <v>4.4423076923076916</v>
      </c>
      <c r="D65" s="21">
        <v>4.6521739130434776</v>
      </c>
      <c r="E65" s="21">
        <v>4.333333333333333</v>
      </c>
      <c r="F65" s="34" t="s">
        <v>83</v>
      </c>
      <c r="G65" s="21">
        <v>4.4242424242424248</v>
      </c>
      <c r="H65" s="21">
        <v>4.5432098765432114</v>
      </c>
      <c r="I65" s="34" t="s">
        <v>83</v>
      </c>
      <c r="J65" s="55">
        <v>4.4374999999999982</v>
      </c>
      <c r="K65" s="21">
        <v>4.3243243243243246</v>
      </c>
      <c r="L65" s="21">
        <v>4.5</v>
      </c>
      <c r="M65" s="21">
        <v>4.5294117647058814</v>
      </c>
      <c r="N65" s="24">
        <v>4.621621621621621</v>
      </c>
    </row>
    <row r="66" spans="1:16" ht="24" customHeight="1">
      <c r="A66" s="8" t="s">
        <v>22</v>
      </c>
      <c r="B66" s="21">
        <v>4.5</v>
      </c>
      <c r="C66" s="32">
        <v>4.5</v>
      </c>
      <c r="D66" s="21">
        <v>4.6086956521739131</v>
      </c>
      <c r="E66" s="21">
        <v>4.3888888888888893</v>
      </c>
      <c r="F66" s="34" t="s">
        <v>83</v>
      </c>
      <c r="G66" s="21">
        <v>4.3939393939393936</v>
      </c>
      <c r="H66" s="21">
        <v>4.7037037037037042</v>
      </c>
      <c r="I66" s="34" t="s">
        <v>83</v>
      </c>
      <c r="J66" s="55">
        <v>4.4999999999999973</v>
      </c>
      <c r="K66" s="21">
        <v>4.4054054054054053</v>
      </c>
      <c r="L66" s="21">
        <v>4.6195652173913029</v>
      </c>
      <c r="M66" s="21">
        <v>4.6274509803921573</v>
      </c>
      <c r="N66" s="24">
        <v>4.6756756756756763</v>
      </c>
    </row>
    <row r="67" spans="1:16" ht="24" customHeight="1">
      <c r="A67" s="9" t="s">
        <v>23</v>
      </c>
      <c r="B67" s="21">
        <v>4.4218749999999991</v>
      </c>
      <c r="C67" s="41">
        <v>4.4447115384615392</v>
      </c>
      <c r="D67" s="21">
        <v>4.5815217391304346</v>
      </c>
      <c r="E67" s="21">
        <v>4.40625</v>
      </c>
      <c r="F67" s="34" t="s">
        <v>83</v>
      </c>
      <c r="G67" s="21">
        <v>4.3939393939393945</v>
      </c>
      <c r="H67" s="21">
        <v>4.5570987654320989</v>
      </c>
      <c r="I67" s="34" t="s">
        <v>83</v>
      </c>
      <c r="J67" s="56">
        <v>4.4596354166666661</v>
      </c>
      <c r="K67" s="21">
        <v>4.3496621621621614</v>
      </c>
      <c r="L67" s="21">
        <v>4.478260869565216</v>
      </c>
      <c r="M67" s="21">
        <v>4.5416666666666661</v>
      </c>
      <c r="N67" s="24">
        <v>4.6013513513513509</v>
      </c>
    </row>
    <row r="68" spans="1:16">
      <c r="A68" s="9" t="s">
        <v>24</v>
      </c>
      <c r="B68" s="36">
        <f t="shared" ref="B68:N68" si="2">B67*20</f>
        <v>88.437499999999986</v>
      </c>
      <c r="C68" s="36">
        <f t="shared" si="2"/>
        <v>88.894230769230788</v>
      </c>
      <c r="D68" s="36">
        <f t="shared" si="2"/>
        <v>91.630434782608688</v>
      </c>
      <c r="E68" s="36">
        <f t="shared" si="2"/>
        <v>88.125</v>
      </c>
      <c r="F68" s="34" t="s">
        <v>83</v>
      </c>
      <c r="G68" s="36">
        <f t="shared" si="2"/>
        <v>87.87878787878789</v>
      </c>
      <c r="H68" s="36">
        <f t="shared" si="2"/>
        <v>91.141975308641975</v>
      </c>
      <c r="I68" s="34" t="s">
        <v>83</v>
      </c>
      <c r="J68" s="36">
        <f t="shared" si="2"/>
        <v>89.192708333333314</v>
      </c>
      <c r="K68" s="36">
        <f t="shared" si="2"/>
        <v>86.993243243243228</v>
      </c>
      <c r="L68" s="36">
        <f t="shared" si="2"/>
        <v>89.565217391304316</v>
      </c>
      <c r="M68" s="36">
        <f t="shared" si="2"/>
        <v>90.833333333333314</v>
      </c>
      <c r="N68" s="36">
        <f t="shared" si="2"/>
        <v>92.027027027027017</v>
      </c>
    </row>
    <row r="69" spans="1:16">
      <c r="A69" s="17" t="s">
        <v>61</v>
      </c>
      <c r="B69" s="35">
        <v>100</v>
      </c>
      <c r="C69" s="35">
        <v>100</v>
      </c>
      <c r="D69" s="35">
        <v>100</v>
      </c>
      <c r="E69" s="35">
        <v>100</v>
      </c>
      <c r="F69" s="46" t="s">
        <v>84</v>
      </c>
      <c r="G69" s="35">
        <v>100</v>
      </c>
      <c r="H69" s="37">
        <v>98.461538461538467</v>
      </c>
      <c r="I69" s="46" t="s">
        <v>84</v>
      </c>
      <c r="J69" s="35">
        <v>100</v>
      </c>
      <c r="K69" s="35">
        <v>100</v>
      </c>
      <c r="L69" s="35">
        <v>100</v>
      </c>
      <c r="M69" s="35">
        <v>98.04</v>
      </c>
      <c r="N69" s="35">
        <v>100</v>
      </c>
    </row>
    <row r="71" spans="1:16" ht="24" customHeight="1"/>
    <row r="72" spans="1:16" s="15" customFormat="1" ht="24" customHeight="1">
      <c r="A72" s="7" t="s">
        <v>0</v>
      </c>
      <c r="B72" s="5" t="s">
        <v>37</v>
      </c>
      <c r="C72" s="5" t="s">
        <v>38</v>
      </c>
      <c r="D72" s="5" t="s">
        <v>39</v>
      </c>
      <c r="E72" s="10" t="s">
        <v>40</v>
      </c>
      <c r="F72" s="5" t="s">
        <v>41</v>
      </c>
      <c r="G72" s="5" t="s">
        <v>42</v>
      </c>
      <c r="H72" s="5" t="s">
        <v>43</v>
      </c>
      <c r="I72" s="5" t="s">
        <v>44</v>
      </c>
      <c r="J72" s="5" t="s">
        <v>45</v>
      </c>
      <c r="K72" s="5" t="s">
        <v>46</v>
      </c>
      <c r="L72" s="5" t="s">
        <v>47</v>
      </c>
      <c r="M72" s="5" t="s">
        <v>28</v>
      </c>
      <c r="N72" s="5" t="s">
        <v>81</v>
      </c>
      <c r="O72" s="27"/>
      <c r="P72" s="3"/>
    </row>
    <row r="73" spans="1:16" s="27" customFormat="1" ht="24" customHeight="1">
      <c r="A73" s="9" t="s">
        <v>9</v>
      </c>
      <c r="B73" s="26">
        <v>10</v>
      </c>
      <c r="C73" s="26">
        <v>14</v>
      </c>
      <c r="D73" s="26">
        <v>33</v>
      </c>
      <c r="E73" s="26">
        <v>51</v>
      </c>
      <c r="F73" s="26">
        <v>60</v>
      </c>
      <c r="G73" s="26">
        <v>43</v>
      </c>
      <c r="H73" s="26">
        <v>29</v>
      </c>
      <c r="I73" s="26">
        <v>61</v>
      </c>
      <c r="J73" s="26">
        <v>76</v>
      </c>
      <c r="K73" s="34">
        <v>67</v>
      </c>
      <c r="L73" s="34" t="s">
        <v>83</v>
      </c>
      <c r="M73" s="19">
        <v>39</v>
      </c>
      <c r="N73" s="34" t="s">
        <v>83</v>
      </c>
      <c r="O73" s="3"/>
      <c r="P73" s="39"/>
    </row>
    <row r="74" spans="1:16" ht="24" customHeight="1">
      <c r="A74" s="8" t="s">
        <v>26</v>
      </c>
      <c r="B74" s="21">
        <v>4.3</v>
      </c>
      <c r="C74" s="21">
        <v>4.3571428571428577</v>
      </c>
      <c r="D74" s="21">
        <v>4.6363636363636358</v>
      </c>
      <c r="E74" s="21">
        <v>4.5490196078431371</v>
      </c>
      <c r="F74" s="21">
        <v>4.4999999999999991</v>
      </c>
      <c r="G74" s="21">
        <v>4.7906976744186052</v>
      </c>
      <c r="H74" s="21">
        <v>4.7241379310344822</v>
      </c>
      <c r="I74" s="21">
        <v>4.6721311475409841</v>
      </c>
      <c r="J74" s="21">
        <v>4.6842105263157912</v>
      </c>
      <c r="K74" s="42">
        <v>4.6865671641791042</v>
      </c>
      <c r="L74" s="34" t="s">
        <v>83</v>
      </c>
      <c r="M74" s="21">
        <v>4.4615384615384599</v>
      </c>
      <c r="N74" s="34" t="s">
        <v>83</v>
      </c>
    </row>
    <row r="75" spans="1:16" ht="24" customHeight="1">
      <c r="A75" s="8" t="s">
        <v>59</v>
      </c>
      <c r="B75" s="21">
        <v>4.3</v>
      </c>
      <c r="C75" s="21">
        <v>4.4285714285714288</v>
      </c>
      <c r="D75" s="21">
        <v>4.6363636363636358</v>
      </c>
      <c r="E75" s="21">
        <v>4.5490196078431362</v>
      </c>
      <c r="F75" s="21">
        <v>4.4333333333333336</v>
      </c>
      <c r="G75" s="21">
        <v>4.7906976744186025</v>
      </c>
      <c r="H75" s="21">
        <v>4.6206896551724137</v>
      </c>
      <c r="I75" s="21">
        <v>4.6885245901639356</v>
      </c>
      <c r="J75" s="21">
        <v>4.6710526315789487</v>
      </c>
      <c r="K75" s="42">
        <v>4.7014925373134338</v>
      </c>
      <c r="L75" s="34" t="s">
        <v>83</v>
      </c>
      <c r="M75" s="21">
        <v>4.4615384615384608</v>
      </c>
      <c r="N75" s="34" t="s">
        <v>83</v>
      </c>
    </row>
    <row r="76" spans="1:16" ht="24" customHeight="1">
      <c r="A76" s="8" t="s">
        <v>60</v>
      </c>
      <c r="B76" s="21">
        <v>4.4000000000000012</v>
      </c>
      <c r="C76" s="21">
        <v>4.4285714285714288</v>
      </c>
      <c r="D76" s="21">
        <v>4.5757575757575761</v>
      </c>
      <c r="E76" s="21">
        <v>4.6078431372549034</v>
      </c>
      <c r="F76" s="21">
        <v>4.3499999999999996</v>
      </c>
      <c r="G76" s="21">
        <v>4.6511627906976747</v>
      </c>
      <c r="H76" s="21">
        <v>4.724137931034484</v>
      </c>
      <c r="I76" s="21">
        <v>4.639344262295082</v>
      </c>
      <c r="J76" s="21">
        <v>4.6052631578947345</v>
      </c>
      <c r="K76" s="42">
        <v>4.641791044776121</v>
      </c>
      <c r="L76" s="34" t="s">
        <v>83</v>
      </c>
      <c r="M76" s="21">
        <v>4.4358974358974352</v>
      </c>
      <c r="N76" s="34" t="s">
        <v>83</v>
      </c>
    </row>
    <row r="77" spans="1:16" ht="24" customHeight="1">
      <c r="A77" s="8" t="s">
        <v>10</v>
      </c>
      <c r="B77" s="21">
        <v>4.3000000000000007</v>
      </c>
      <c r="C77" s="21">
        <v>4.5</v>
      </c>
      <c r="D77" s="21">
        <v>4.666666666666667</v>
      </c>
      <c r="E77" s="21">
        <v>4.450980392156862</v>
      </c>
      <c r="F77" s="21">
        <v>4.3999999999999995</v>
      </c>
      <c r="G77" s="21">
        <v>4.7441860465116283</v>
      </c>
      <c r="H77" s="21">
        <v>4.5517241379310347</v>
      </c>
      <c r="I77" s="21">
        <v>4.7049180327868854</v>
      </c>
      <c r="J77" s="21">
        <v>4.618421052631577</v>
      </c>
      <c r="K77" s="42">
        <v>4.731343283582091</v>
      </c>
      <c r="L77" s="34" t="s">
        <v>83</v>
      </c>
      <c r="M77" s="21">
        <v>4.512820512820511</v>
      </c>
      <c r="N77" s="34" t="s">
        <v>83</v>
      </c>
    </row>
    <row r="78" spans="1:16" ht="24" customHeight="1">
      <c r="A78" s="8" t="s">
        <v>11</v>
      </c>
      <c r="B78" s="21">
        <v>4.5</v>
      </c>
      <c r="C78" s="21">
        <v>4.4285714285714288</v>
      </c>
      <c r="D78" s="21">
        <v>4.7272727272727266</v>
      </c>
      <c r="E78" s="21">
        <v>4.5098039215686265</v>
      </c>
      <c r="F78" s="21">
        <v>4.3166666666666655</v>
      </c>
      <c r="G78" s="21">
        <v>4.6744186046511622</v>
      </c>
      <c r="H78" s="21">
        <v>4.5862068965517242</v>
      </c>
      <c r="I78" s="21">
        <v>4.6557377049180335</v>
      </c>
      <c r="J78" s="21">
        <v>4.6710526315789496</v>
      </c>
      <c r="K78" s="42">
        <v>4.7462686567164178</v>
      </c>
      <c r="L78" s="34" t="s">
        <v>83</v>
      </c>
      <c r="M78" s="21">
        <v>4.4615384615384608</v>
      </c>
      <c r="N78" s="34" t="s">
        <v>83</v>
      </c>
    </row>
    <row r="79" spans="1:16" ht="24" customHeight="1">
      <c r="A79" s="8" t="s">
        <v>12</v>
      </c>
      <c r="B79" s="21">
        <v>4.5</v>
      </c>
      <c r="C79" s="21">
        <v>4.5</v>
      </c>
      <c r="D79" s="21">
        <v>4.7575757575757569</v>
      </c>
      <c r="E79" s="21">
        <v>4.5294117647058822</v>
      </c>
      <c r="F79" s="21">
        <v>4.3833333333333329</v>
      </c>
      <c r="G79" s="21">
        <v>4.767441860465115</v>
      </c>
      <c r="H79" s="21">
        <v>4.4482758620689662</v>
      </c>
      <c r="I79" s="21">
        <v>4.6065573770491799</v>
      </c>
      <c r="J79" s="21">
        <v>4.6710526315789487</v>
      </c>
      <c r="K79" s="42">
        <v>4.7462686567164178</v>
      </c>
      <c r="L79" s="34" t="s">
        <v>83</v>
      </c>
      <c r="M79" s="21">
        <v>4.5384615384615357</v>
      </c>
      <c r="N79" s="34" t="s">
        <v>83</v>
      </c>
    </row>
    <row r="80" spans="1:16" ht="24" customHeight="1">
      <c r="A80" s="8" t="s">
        <v>13</v>
      </c>
      <c r="B80" s="21">
        <v>4.6000000000000005</v>
      </c>
      <c r="C80" s="21">
        <v>4.5714285714285712</v>
      </c>
      <c r="D80" s="21">
        <v>4.7272727272727275</v>
      </c>
      <c r="E80" s="21">
        <v>4.5294117647058822</v>
      </c>
      <c r="F80" s="21">
        <v>4.5166666666666675</v>
      </c>
      <c r="G80" s="21">
        <v>4.8139534883720918</v>
      </c>
      <c r="H80" s="21">
        <v>4.6896551724137927</v>
      </c>
      <c r="I80" s="21">
        <v>4.7213114754098351</v>
      </c>
      <c r="J80" s="21">
        <v>4.7368421052631575</v>
      </c>
      <c r="K80" s="42">
        <v>4.7611940298507465</v>
      </c>
      <c r="L80" s="34" t="s">
        <v>83</v>
      </c>
      <c r="M80" s="21">
        <v>4.6410256410256414</v>
      </c>
      <c r="N80" s="34" t="s">
        <v>83</v>
      </c>
    </row>
    <row r="81" spans="1:16" ht="24" customHeight="1">
      <c r="A81" s="8" t="s">
        <v>14</v>
      </c>
      <c r="B81" s="21">
        <v>4.4000000000000012</v>
      </c>
      <c r="C81" s="21">
        <v>4.5</v>
      </c>
      <c r="D81" s="21">
        <v>4.5454545454545459</v>
      </c>
      <c r="E81" s="21">
        <v>4.4313725490196081</v>
      </c>
      <c r="F81" s="21">
        <v>4.4499999999999984</v>
      </c>
      <c r="G81" s="21">
        <v>4.6976744186046506</v>
      </c>
      <c r="H81" s="21">
        <v>4.6896551724137936</v>
      </c>
      <c r="I81" s="21">
        <v>4.6557377049180335</v>
      </c>
      <c r="J81" s="21">
        <v>4.6052631578947381</v>
      </c>
      <c r="K81" s="42">
        <v>4.6865671641791042</v>
      </c>
      <c r="L81" s="34" t="s">
        <v>83</v>
      </c>
      <c r="M81" s="21">
        <v>4.4358974358974352</v>
      </c>
      <c r="N81" s="34" t="s">
        <v>83</v>
      </c>
    </row>
    <row r="82" spans="1:16" ht="24" customHeight="1">
      <c r="A82" s="8" t="s">
        <v>15</v>
      </c>
      <c r="B82" s="21">
        <v>4.5</v>
      </c>
      <c r="C82" s="21">
        <v>4.5714285714285721</v>
      </c>
      <c r="D82" s="21">
        <v>4.6969696969696964</v>
      </c>
      <c r="E82" s="21">
        <v>4.5098039215686256</v>
      </c>
      <c r="F82" s="21">
        <v>4.4999999999999991</v>
      </c>
      <c r="G82" s="21">
        <v>4.6976744186046497</v>
      </c>
      <c r="H82" s="21">
        <v>4.7586206896551735</v>
      </c>
      <c r="I82" s="21">
        <v>4.7213114754098351</v>
      </c>
      <c r="J82" s="21">
        <v>4.6710526315789487</v>
      </c>
      <c r="K82" s="42">
        <v>4.776119402985076</v>
      </c>
      <c r="L82" s="34" t="s">
        <v>83</v>
      </c>
      <c r="M82" s="21">
        <v>4.6410256410256423</v>
      </c>
      <c r="N82" s="34" t="s">
        <v>83</v>
      </c>
    </row>
    <row r="83" spans="1:16" ht="24" customHeight="1">
      <c r="A83" s="8" t="s">
        <v>16</v>
      </c>
      <c r="B83" s="21">
        <v>4.5</v>
      </c>
      <c r="C83" s="21">
        <v>4.5</v>
      </c>
      <c r="D83" s="21">
        <v>4.666666666666667</v>
      </c>
      <c r="E83" s="21">
        <v>4.5686274509803919</v>
      </c>
      <c r="F83" s="21">
        <v>4.4999999999999982</v>
      </c>
      <c r="G83" s="21">
        <v>4.8139534883720918</v>
      </c>
      <c r="H83" s="21">
        <v>4.5517241379310347</v>
      </c>
      <c r="I83" s="21">
        <v>4.6721311475409859</v>
      </c>
      <c r="J83" s="21">
        <v>4.6842105263157903</v>
      </c>
      <c r="K83" s="42">
        <v>4.7313432835820901</v>
      </c>
      <c r="L83" s="34" t="s">
        <v>83</v>
      </c>
      <c r="M83" s="21">
        <v>4.6153846153846159</v>
      </c>
      <c r="N83" s="34" t="s">
        <v>83</v>
      </c>
    </row>
    <row r="84" spans="1:16" ht="24" customHeight="1">
      <c r="A84" s="8" t="s">
        <v>17</v>
      </c>
      <c r="B84" s="21">
        <v>4.5</v>
      </c>
      <c r="C84" s="21">
        <v>4.5714285714285712</v>
      </c>
      <c r="D84" s="21">
        <v>4.7272727272727275</v>
      </c>
      <c r="E84" s="21">
        <v>4.5882352941176476</v>
      </c>
      <c r="F84" s="21">
        <v>4.5166666666666684</v>
      </c>
      <c r="G84" s="21">
        <v>4.7674418604651176</v>
      </c>
      <c r="H84" s="21">
        <v>4.5517241379310347</v>
      </c>
      <c r="I84" s="21">
        <v>4.721311475409836</v>
      </c>
      <c r="J84" s="21">
        <v>4.6842105263157912</v>
      </c>
      <c r="K84" s="42">
        <v>4.7313432835820901</v>
      </c>
      <c r="L84" s="34" t="s">
        <v>83</v>
      </c>
      <c r="M84" s="21">
        <v>4.564102564102563</v>
      </c>
      <c r="N84" s="34" t="s">
        <v>83</v>
      </c>
    </row>
    <row r="85" spans="1:16" ht="24" customHeight="1">
      <c r="A85" s="8" t="s">
        <v>18</v>
      </c>
      <c r="B85" s="21">
        <v>4.3000000000000007</v>
      </c>
      <c r="C85" s="21">
        <v>4.5714285714285721</v>
      </c>
      <c r="D85" s="21">
        <v>4.6060606060606055</v>
      </c>
      <c r="E85" s="21">
        <v>4.5098039215686256</v>
      </c>
      <c r="F85" s="21">
        <v>4.466666666666665</v>
      </c>
      <c r="G85" s="21">
        <v>4.8139534883720909</v>
      </c>
      <c r="H85" s="21">
        <v>4.5862068965517242</v>
      </c>
      <c r="I85" s="21">
        <v>4.721311475409836</v>
      </c>
      <c r="J85" s="21">
        <v>4.7105263157894743</v>
      </c>
      <c r="K85" s="42">
        <v>4.7164179104477606</v>
      </c>
      <c r="L85" s="34" t="s">
        <v>83</v>
      </c>
      <c r="M85" s="21">
        <v>4.4871794871794863</v>
      </c>
      <c r="N85" s="34" t="s">
        <v>83</v>
      </c>
    </row>
    <row r="86" spans="1:16" ht="24" customHeight="1">
      <c r="A86" s="8" t="s">
        <v>19</v>
      </c>
      <c r="B86" s="21">
        <v>4.5</v>
      </c>
      <c r="C86" s="21">
        <v>4.4285714285714288</v>
      </c>
      <c r="D86" s="21">
        <v>4.7272727272727275</v>
      </c>
      <c r="E86" s="21">
        <v>4.6078431372549025</v>
      </c>
      <c r="F86" s="21">
        <v>4.4333333333333318</v>
      </c>
      <c r="G86" s="21">
        <v>4.6976744186046506</v>
      </c>
      <c r="H86" s="21">
        <v>4.6896551724137927</v>
      </c>
      <c r="I86" s="21">
        <v>4.7049180327868845</v>
      </c>
      <c r="J86" s="21">
        <v>4.6315789473684195</v>
      </c>
      <c r="K86" s="42">
        <v>4.776119402985076</v>
      </c>
      <c r="L86" s="34" t="s">
        <v>83</v>
      </c>
      <c r="M86" s="21">
        <v>4.564102564102563</v>
      </c>
      <c r="N86" s="34" t="s">
        <v>83</v>
      </c>
    </row>
    <row r="87" spans="1:16" ht="24" customHeight="1">
      <c r="A87" s="8" t="s">
        <v>20</v>
      </c>
      <c r="B87" s="21">
        <v>4.5999999999999996</v>
      </c>
      <c r="C87" s="21">
        <v>4.4285714285714288</v>
      </c>
      <c r="D87" s="21">
        <v>4.7272727272727275</v>
      </c>
      <c r="E87" s="21">
        <v>4.5490196078431362</v>
      </c>
      <c r="F87" s="21">
        <v>4.4333333333333327</v>
      </c>
      <c r="G87" s="21">
        <v>4.7674418604651176</v>
      </c>
      <c r="H87" s="21">
        <v>4.6551724137931041</v>
      </c>
      <c r="I87" s="21">
        <v>4.7213114754098351</v>
      </c>
      <c r="J87" s="21">
        <v>4.6447368421052628</v>
      </c>
      <c r="K87" s="42">
        <v>4.7313432835820901</v>
      </c>
      <c r="L87" s="34" t="s">
        <v>83</v>
      </c>
      <c r="M87" s="21">
        <v>4.6410256410256414</v>
      </c>
      <c r="N87" s="34" t="s">
        <v>83</v>
      </c>
    </row>
    <row r="88" spans="1:16" ht="24" customHeight="1">
      <c r="A88" s="8" t="s">
        <v>21</v>
      </c>
      <c r="B88" s="21">
        <v>4.5</v>
      </c>
      <c r="C88" s="21">
        <v>4.5000000000000009</v>
      </c>
      <c r="D88" s="21">
        <v>4.7272727272727275</v>
      </c>
      <c r="E88" s="21">
        <v>4.5490196078431371</v>
      </c>
      <c r="F88" s="21">
        <v>4.4666666666666659</v>
      </c>
      <c r="G88" s="21">
        <v>4.6976744186046497</v>
      </c>
      <c r="H88" s="21">
        <v>4.5862068965517242</v>
      </c>
      <c r="I88" s="21">
        <v>4.6721311475409841</v>
      </c>
      <c r="J88" s="21">
        <v>4.7105263157894752</v>
      </c>
      <c r="K88" s="42">
        <v>4.7761194029850769</v>
      </c>
      <c r="L88" s="34" t="s">
        <v>83</v>
      </c>
      <c r="M88" s="21">
        <v>4.6153846153846159</v>
      </c>
      <c r="N88" s="34" t="s">
        <v>83</v>
      </c>
    </row>
    <row r="89" spans="1:16" ht="24" customHeight="1">
      <c r="A89" s="8" t="s">
        <v>22</v>
      </c>
      <c r="B89" s="21">
        <v>4.5999999999999996</v>
      </c>
      <c r="C89" s="21">
        <v>4.5000000000000009</v>
      </c>
      <c r="D89" s="21">
        <v>4.7575757575757587</v>
      </c>
      <c r="E89" s="21">
        <v>4.5882352941176467</v>
      </c>
      <c r="F89" s="21">
        <v>4.5666666666666673</v>
      </c>
      <c r="G89" s="21">
        <v>4.8372093023255793</v>
      </c>
      <c r="H89" s="21">
        <v>4.724137931034484</v>
      </c>
      <c r="I89" s="21">
        <v>4.6885245901639347</v>
      </c>
      <c r="J89" s="21">
        <v>4.7631578947368425</v>
      </c>
      <c r="K89" s="42">
        <v>4.7611940298507456</v>
      </c>
      <c r="L89" s="34" t="s">
        <v>83</v>
      </c>
      <c r="M89" s="21">
        <v>4.666666666666667</v>
      </c>
      <c r="N89" s="34" t="s">
        <v>83</v>
      </c>
    </row>
    <row r="90" spans="1:16" ht="24" customHeight="1">
      <c r="A90" s="9" t="s">
        <v>23</v>
      </c>
      <c r="B90" s="21">
        <v>4.4562500000000007</v>
      </c>
      <c r="C90" s="21">
        <v>4.4866071428571432</v>
      </c>
      <c r="D90" s="21">
        <v>4.6818181818181825</v>
      </c>
      <c r="E90" s="21">
        <v>4.5392156862745097</v>
      </c>
      <c r="F90" s="21">
        <f>SUM(F74:F89)/16</f>
        <v>4.4520833333333325</v>
      </c>
      <c r="G90" s="21">
        <v>4.7514534883720918</v>
      </c>
      <c r="H90" s="21">
        <v>4.6336206896551726</v>
      </c>
      <c r="I90" s="21">
        <v>4.6854508196721314</v>
      </c>
      <c r="J90" s="21">
        <v>4.6726973684210531</v>
      </c>
      <c r="K90" s="42">
        <v>4.7313432835820892</v>
      </c>
      <c r="L90" s="34" t="s">
        <v>83</v>
      </c>
      <c r="M90" s="21">
        <v>4.5464743589743586</v>
      </c>
      <c r="N90" s="34" t="s">
        <v>83</v>
      </c>
    </row>
    <row r="91" spans="1:16" s="39" customFormat="1">
      <c r="A91" s="38" t="s">
        <v>24</v>
      </c>
      <c r="B91" s="40">
        <f>B90*20</f>
        <v>89.125000000000014</v>
      </c>
      <c r="C91" s="36">
        <f>C90*20</f>
        <v>89.732142857142861</v>
      </c>
      <c r="D91" s="36">
        <f>D90*20</f>
        <v>93.636363636363654</v>
      </c>
      <c r="E91" s="36">
        <f t="shared" ref="E91:M91" si="3">E90*20</f>
        <v>90.784313725490193</v>
      </c>
      <c r="F91" s="36">
        <f t="shared" si="3"/>
        <v>89.041666666666657</v>
      </c>
      <c r="G91" s="36">
        <f t="shared" si="3"/>
        <v>95.02906976744184</v>
      </c>
      <c r="H91" s="36">
        <f t="shared" si="3"/>
        <v>92.672413793103459</v>
      </c>
      <c r="I91" s="36">
        <f t="shared" si="3"/>
        <v>93.709016393442624</v>
      </c>
      <c r="J91" s="36">
        <f t="shared" si="3"/>
        <v>93.453947368421069</v>
      </c>
      <c r="K91" s="36">
        <f t="shared" si="3"/>
        <v>94.626865671641781</v>
      </c>
      <c r="L91" s="34" t="s">
        <v>83</v>
      </c>
      <c r="M91" s="36">
        <f t="shared" si="3"/>
        <v>90.929487179487168</v>
      </c>
      <c r="N91" s="34" t="s">
        <v>83</v>
      </c>
      <c r="P91" s="3"/>
    </row>
    <row r="92" spans="1:16">
      <c r="A92" s="17" t="s">
        <v>61</v>
      </c>
      <c r="B92" s="35">
        <v>100</v>
      </c>
      <c r="C92" s="35">
        <v>100</v>
      </c>
      <c r="D92" s="35">
        <v>100</v>
      </c>
      <c r="E92" s="35">
        <v>100</v>
      </c>
      <c r="F92" s="35">
        <v>98.33</v>
      </c>
      <c r="G92" s="35">
        <v>100</v>
      </c>
      <c r="H92" s="35">
        <v>96.55</v>
      </c>
      <c r="I92" s="35">
        <v>100</v>
      </c>
      <c r="J92" s="35">
        <v>98.69</v>
      </c>
      <c r="K92" s="35">
        <v>100</v>
      </c>
      <c r="L92" s="46" t="s">
        <v>84</v>
      </c>
      <c r="M92" s="35">
        <v>100</v>
      </c>
      <c r="N92" s="46" t="s">
        <v>84</v>
      </c>
    </row>
    <row r="93" spans="1:16" ht="24" customHeight="1"/>
    <row r="94" spans="1:16" ht="24" customHeight="1"/>
    <row r="95" spans="1:16">
      <c r="B95" s="3"/>
      <c r="E95" s="11"/>
      <c r="F95" s="11"/>
    </row>
    <row r="96" spans="1:16">
      <c r="B96" s="3"/>
      <c r="E96" s="12"/>
      <c r="F96" s="12"/>
    </row>
    <row r="97" spans="2:6">
      <c r="B97" s="3"/>
      <c r="E97" s="12"/>
      <c r="F97" s="12"/>
    </row>
    <row r="98" spans="2:6">
      <c r="B98" s="3"/>
      <c r="E98" s="12"/>
      <c r="F98" s="12"/>
    </row>
    <row r="99" spans="2:6">
      <c r="B99" s="3"/>
      <c r="E99" s="12"/>
      <c r="F99" s="12"/>
    </row>
    <row r="100" spans="2:6">
      <c r="B100" s="3"/>
      <c r="E100" s="12"/>
      <c r="F100" s="12"/>
    </row>
    <row r="101" spans="2:6">
      <c r="B101" s="3"/>
      <c r="E101" s="12"/>
      <c r="F101" s="12"/>
    </row>
    <row r="102" spans="2:6">
      <c r="B102" s="3"/>
      <c r="E102" s="12"/>
      <c r="F102" s="12"/>
    </row>
    <row r="103" spans="2:6" ht="24" customHeight="1">
      <c r="B103" s="3"/>
      <c r="E103" s="12"/>
      <c r="F103" s="12"/>
    </row>
    <row r="104" spans="2:6" ht="24" customHeight="1">
      <c r="B104" s="3"/>
      <c r="E104" s="12"/>
      <c r="F104" s="12"/>
    </row>
    <row r="105" spans="2:6">
      <c r="B105" s="3"/>
      <c r="E105" s="12"/>
      <c r="F105" s="12"/>
    </row>
    <row r="106" spans="2:6">
      <c r="B106" s="3"/>
      <c r="E106" s="12"/>
      <c r="F106" s="12"/>
    </row>
    <row r="107" spans="2:6">
      <c r="B107" s="3"/>
      <c r="E107" s="12"/>
      <c r="F107" s="12"/>
    </row>
    <row r="108" spans="2:6">
      <c r="B108" s="3"/>
      <c r="E108" s="12"/>
      <c r="F108" s="12"/>
    </row>
    <row r="109" spans="2:6">
      <c r="B109" s="3"/>
      <c r="E109" s="12"/>
      <c r="F109" s="12"/>
    </row>
    <row r="110" spans="2:6">
      <c r="B110" s="3"/>
      <c r="E110" s="12"/>
      <c r="F110" s="12"/>
    </row>
    <row r="111" spans="2:6" ht="24" customHeight="1">
      <c r="B111" s="3"/>
      <c r="E111" s="12"/>
      <c r="F111" s="12"/>
    </row>
    <row r="112" spans="2:6" ht="24" customHeight="1">
      <c r="B112" s="3"/>
      <c r="E112" s="12"/>
      <c r="F112" s="12"/>
    </row>
    <row r="113" spans="2:6">
      <c r="B113" s="3"/>
      <c r="E113" s="13"/>
      <c r="F113" s="13"/>
    </row>
    <row r="114" spans="2:6">
      <c r="B114" s="3"/>
      <c r="E114" s="13"/>
      <c r="F114" s="13"/>
    </row>
    <row r="115" spans="2:6">
      <c r="B115" s="3"/>
    </row>
  </sheetData>
  <mergeCells count="1">
    <mergeCell ref="A1:P1"/>
  </mergeCells>
  <pageMargins left="0.31496062992125984" right="0" top="0.51181102362204722" bottom="0.11811023622047245" header="0.31496062992125984" footer="0.31496062992125984"/>
  <pageSetup scale="68" orientation="landscape" r:id="rId1"/>
  <rowBreaks count="4" manualBreakCount="4">
    <brk id="24" max="16383" man="1"/>
    <brk id="47" max="16383" man="1"/>
    <brk id="70" max="16383" man="1"/>
    <brk id="9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8"/>
  <sheetViews>
    <sheetView tabSelected="1" view="pageBreakPreview" zoomScale="166" zoomScaleNormal="100" zoomScaleSheetLayoutView="166" workbookViewId="0">
      <selection activeCell="D123" sqref="D123"/>
    </sheetView>
  </sheetViews>
  <sheetFormatPr defaultColWidth="9" defaultRowHeight="18.75"/>
  <cols>
    <col min="1" max="1" width="4.75" style="77" customWidth="1"/>
    <col min="2" max="2" width="27.625" style="77" customWidth="1"/>
    <col min="3" max="7" width="12" style="77" customWidth="1"/>
    <col min="8" max="8" width="30.125" style="77" customWidth="1"/>
    <col min="9" max="9" width="24" style="77" customWidth="1"/>
    <col min="10" max="10" width="7.25" style="77" customWidth="1"/>
    <col min="11" max="16384" width="9" style="77"/>
  </cols>
  <sheetData>
    <row r="1" spans="1:9" s="57" customFormat="1" ht="43.5" customHeight="1">
      <c r="A1" s="97" t="s">
        <v>93</v>
      </c>
      <c r="B1" s="97"/>
      <c r="C1" s="97"/>
      <c r="D1" s="97"/>
      <c r="E1" s="97"/>
      <c r="F1" s="97"/>
      <c r="G1" s="97"/>
      <c r="H1" s="97"/>
      <c r="I1" s="97"/>
    </row>
    <row r="2" spans="1:9" s="57" customFormat="1">
      <c r="A2" s="96" t="s">
        <v>100</v>
      </c>
      <c r="B2" s="96"/>
      <c r="C2" s="96"/>
      <c r="D2" s="96"/>
      <c r="E2" s="96"/>
      <c r="F2" s="96"/>
      <c r="G2" s="96"/>
      <c r="H2" s="96"/>
    </row>
    <row r="3" spans="1:9" s="58" customFormat="1">
      <c r="A3" s="96" t="s">
        <v>99</v>
      </c>
      <c r="B3" s="96"/>
      <c r="C3" s="96"/>
      <c r="D3" s="96"/>
      <c r="E3" s="96"/>
      <c r="F3" s="96"/>
      <c r="G3" s="96"/>
      <c r="H3" s="96"/>
      <c r="I3" s="57"/>
    </row>
    <row r="4" spans="1:9" s="57" customFormat="1">
      <c r="A4" s="59" t="s">
        <v>70</v>
      </c>
      <c r="B4" s="59"/>
      <c r="C4" s="59"/>
      <c r="D4" s="59"/>
      <c r="E4" s="59"/>
      <c r="F4" s="60"/>
      <c r="G4" s="60"/>
      <c r="H4" s="60"/>
      <c r="I4" s="58"/>
    </row>
    <row r="5" spans="1:9" s="57" customFormat="1">
      <c r="B5" s="99" t="s">
        <v>90</v>
      </c>
      <c r="C5" s="99"/>
      <c r="D5" s="99"/>
      <c r="E5" s="99"/>
      <c r="F5" s="99"/>
      <c r="G5" s="99"/>
      <c r="H5" s="99"/>
    </row>
    <row r="6" spans="1:9" s="61" customFormat="1">
      <c r="A6" s="57"/>
      <c r="B6" s="99" t="s">
        <v>91</v>
      </c>
      <c r="C6" s="99"/>
      <c r="D6" s="99"/>
      <c r="E6" s="99"/>
      <c r="F6" s="99"/>
      <c r="G6" s="99"/>
      <c r="H6" s="99"/>
      <c r="I6" s="57"/>
    </row>
    <row r="7" spans="1:9" s="58" customFormat="1" ht="21.75" customHeight="1">
      <c r="A7" s="61"/>
      <c r="B7" s="100" t="s">
        <v>92</v>
      </c>
      <c r="C7" s="100"/>
      <c r="D7" s="100"/>
      <c r="E7" s="100"/>
      <c r="F7" s="100"/>
      <c r="G7" s="100"/>
      <c r="H7" s="100"/>
      <c r="I7" s="61"/>
    </row>
    <row r="8" spans="1:9" s="58" customFormat="1" ht="21.75" customHeight="1">
      <c r="B8" s="62" t="s">
        <v>0</v>
      </c>
      <c r="C8" s="63" t="s">
        <v>48</v>
      </c>
      <c r="D8" s="63" t="s">
        <v>49</v>
      </c>
      <c r="E8" s="63" t="s">
        <v>50</v>
      </c>
      <c r="F8" s="63" t="s">
        <v>51</v>
      </c>
      <c r="G8" s="63" t="s">
        <v>52</v>
      </c>
    </row>
    <row r="9" spans="1:9" s="58" customFormat="1" ht="21.75" customHeight="1">
      <c r="B9" s="64" t="s">
        <v>9</v>
      </c>
      <c r="C9" s="65" t="s">
        <v>98</v>
      </c>
      <c r="D9" s="65" t="s">
        <v>97</v>
      </c>
      <c r="E9" s="66">
        <v>9</v>
      </c>
      <c r="F9" s="67" t="s">
        <v>213</v>
      </c>
      <c r="G9" s="67" t="s">
        <v>96</v>
      </c>
    </row>
    <row r="10" spans="1:9" s="58" customFormat="1" ht="21.75" customHeight="1">
      <c r="B10" s="64" t="s">
        <v>23</v>
      </c>
      <c r="C10" s="68">
        <v>4.3</v>
      </c>
      <c r="D10" s="68">
        <v>4.5599999999999996</v>
      </c>
      <c r="E10" s="69">
        <v>4.3333333333333339</v>
      </c>
      <c r="F10" s="70">
        <v>4.82</v>
      </c>
      <c r="G10" s="70">
        <v>4.6452702702702702</v>
      </c>
    </row>
    <row r="11" spans="1:9" s="58" customFormat="1" ht="21.75" customHeight="1">
      <c r="B11" s="64" t="s">
        <v>24</v>
      </c>
      <c r="C11" s="68">
        <v>86.09</v>
      </c>
      <c r="D11" s="68">
        <v>91.15</v>
      </c>
      <c r="E11" s="71">
        <f>E10*20</f>
        <v>86.666666666666686</v>
      </c>
      <c r="F11" s="71">
        <v>96.4</v>
      </c>
      <c r="G11" s="71">
        <f>G10*20</f>
        <v>92.905405405405403</v>
      </c>
    </row>
    <row r="12" spans="1:9" s="58" customFormat="1" ht="24" customHeight="1">
      <c r="B12" s="72"/>
      <c r="C12" s="73"/>
      <c r="D12" s="73"/>
      <c r="E12" s="73"/>
      <c r="F12" s="74"/>
      <c r="G12" s="74"/>
    </row>
    <row r="13" spans="1:9" s="58" customFormat="1" ht="24" customHeight="1">
      <c r="A13" s="98" t="s">
        <v>53</v>
      </c>
      <c r="B13" s="98"/>
      <c r="H13" s="58" t="s">
        <v>68</v>
      </c>
    </row>
    <row r="14" spans="1:9" s="58" customFormat="1" ht="24" customHeight="1">
      <c r="B14" s="75" t="s">
        <v>54</v>
      </c>
    </row>
    <row r="15" spans="1:9" s="58" customFormat="1" ht="24" customHeight="1">
      <c r="B15" s="76" t="s">
        <v>138</v>
      </c>
    </row>
    <row r="16" spans="1:9" s="58" customFormat="1" ht="24" customHeight="1">
      <c r="B16" s="76" t="s">
        <v>119</v>
      </c>
    </row>
    <row r="17" spans="2:10" s="58" customFormat="1" ht="24" customHeight="1">
      <c r="B17" s="76" t="s">
        <v>153</v>
      </c>
    </row>
    <row r="18" spans="2:10" s="58" customFormat="1" ht="24" customHeight="1">
      <c r="B18" s="76" t="s">
        <v>154</v>
      </c>
    </row>
    <row r="19" spans="2:10" s="58" customFormat="1" ht="24" customHeight="1">
      <c r="B19" s="76" t="s">
        <v>134</v>
      </c>
    </row>
    <row r="20" spans="2:10" s="58" customFormat="1" ht="24" customHeight="1">
      <c r="B20" s="95" t="s">
        <v>151</v>
      </c>
      <c r="C20" s="95"/>
      <c r="D20" s="95"/>
      <c r="E20" s="95"/>
      <c r="F20" s="95"/>
      <c r="G20" s="95"/>
      <c r="H20" s="95"/>
    </row>
    <row r="21" spans="2:10" s="58" customFormat="1" ht="24" customHeight="1">
      <c r="B21" s="95" t="s">
        <v>148</v>
      </c>
      <c r="C21" s="95"/>
      <c r="D21" s="95"/>
      <c r="E21" s="95"/>
      <c r="F21" s="95"/>
      <c r="G21" s="95"/>
      <c r="H21" s="95"/>
    </row>
    <row r="22" spans="2:10" s="58" customFormat="1" ht="24" customHeight="1">
      <c r="B22" s="95" t="s">
        <v>105</v>
      </c>
      <c r="C22" s="95"/>
      <c r="D22" s="95"/>
      <c r="E22" s="95"/>
      <c r="F22" s="95"/>
      <c r="G22" s="95"/>
      <c r="H22" s="95"/>
      <c r="I22" s="95"/>
    </row>
    <row r="23" spans="2:10" s="58" customFormat="1" ht="24" customHeight="1">
      <c r="B23" s="95" t="s">
        <v>106</v>
      </c>
      <c r="C23" s="95"/>
      <c r="D23" s="95"/>
      <c r="E23" s="95"/>
      <c r="F23" s="95"/>
      <c r="G23" s="95"/>
      <c r="H23" s="95"/>
      <c r="I23" s="95"/>
    </row>
    <row r="24" spans="2:10" s="58" customFormat="1" ht="24" customHeight="1">
      <c r="B24" s="95" t="s">
        <v>208</v>
      </c>
      <c r="C24" s="95"/>
      <c r="D24" s="95"/>
      <c r="E24" s="95"/>
      <c r="F24" s="95"/>
      <c r="G24" s="95"/>
      <c r="H24" s="95"/>
      <c r="I24" s="95"/>
    </row>
    <row r="25" spans="2:10" s="58" customFormat="1" ht="24" customHeight="1">
      <c r="B25" s="95" t="s">
        <v>209</v>
      </c>
      <c r="C25" s="95"/>
      <c r="D25" s="95"/>
      <c r="E25" s="95"/>
      <c r="F25" s="95"/>
      <c r="G25" s="95"/>
      <c r="H25" s="95"/>
      <c r="I25" s="95"/>
      <c r="J25" s="76"/>
    </row>
    <row r="26" spans="2:10" s="58" customFormat="1" ht="24" customHeight="1">
      <c r="B26" s="95" t="s">
        <v>104</v>
      </c>
      <c r="C26" s="95"/>
      <c r="D26" s="95"/>
      <c r="E26" s="95"/>
      <c r="F26" s="95"/>
      <c r="G26" s="95"/>
      <c r="H26" s="95"/>
      <c r="I26" s="95"/>
      <c r="J26" s="76"/>
    </row>
    <row r="27" spans="2:10" s="58" customFormat="1" ht="24" customHeight="1">
      <c r="B27" s="95" t="s">
        <v>107</v>
      </c>
      <c r="C27" s="95"/>
      <c r="D27" s="95"/>
      <c r="E27" s="95"/>
      <c r="F27" s="95"/>
      <c r="G27" s="95"/>
      <c r="H27" s="95"/>
      <c r="I27" s="95"/>
      <c r="J27" s="72"/>
    </row>
    <row r="28" spans="2:10" s="58" customFormat="1" ht="24" customHeight="1">
      <c r="B28" s="101" t="s">
        <v>108</v>
      </c>
      <c r="C28" s="101"/>
      <c r="D28" s="101"/>
      <c r="E28" s="101"/>
      <c r="F28" s="101"/>
      <c r="G28" s="101"/>
      <c r="H28" s="101"/>
      <c r="I28" s="101"/>
      <c r="J28" s="72"/>
    </row>
    <row r="29" spans="2:10" s="58" customFormat="1" ht="24" customHeight="1">
      <c r="B29" s="101" t="s">
        <v>109</v>
      </c>
      <c r="C29" s="101"/>
      <c r="D29" s="101"/>
      <c r="E29" s="101"/>
      <c r="F29" s="101"/>
      <c r="G29" s="101"/>
      <c r="H29" s="101"/>
      <c r="I29" s="101"/>
      <c r="J29" s="72"/>
    </row>
    <row r="30" spans="2:10" s="58" customFormat="1" ht="24" customHeight="1">
      <c r="B30" s="101" t="s">
        <v>110</v>
      </c>
      <c r="C30" s="101"/>
      <c r="D30" s="101"/>
      <c r="E30" s="101"/>
      <c r="F30" s="101"/>
      <c r="G30" s="101"/>
      <c r="H30" s="101"/>
      <c r="I30" s="101"/>
      <c r="J30" s="72"/>
    </row>
    <row r="31" spans="2:10" s="58" customFormat="1" ht="24" customHeight="1">
      <c r="B31" s="101" t="s">
        <v>111</v>
      </c>
      <c r="C31" s="101"/>
      <c r="D31" s="101"/>
      <c r="E31" s="101"/>
      <c r="F31" s="101"/>
      <c r="G31" s="101"/>
      <c r="H31" s="101"/>
      <c r="I31" s="101"/>
      <c r="J31" s="72"/>
    </row>
    <row r="32" spans="2:10" s="58" customFormat="1" ht="24" customHeight="1">
      <c r="B32" s="95" t="s">
        <v>210</v>
      </c>
      <c r="C32" s="95"/>
      <c r="D32" s="95"/>
      <c r="E32" s="95"/>
      <c r="F32" s="95"/>
      <c r="G32" s="95"/>
      <c r="H32" s="95"/>
      <c r="I32" s="95"/>
      <c r="J32" s="72"/>
    </row>
    <row r="33" spans="2:10" s="58" customFormat="1" ht="24" customHeight="1">
      <c r="B33" s="95" t="s">
        <v>112</v>
      </c>
      <c r="C33" s="95"/>
      <c r="D33" s="95"/>
      <c r="E33" s="95"/>
      <c r="F33" s="95"/>
      <c r="G33" s="95"/>
      <c r="H33" s="95"/>
      <c r="I33" s="95"/>
      <c r="J33" s="72"/>
    </row>
    <row r="34" spans="2:10" s="58" customFormat="1" ht="24" customHeight="1">
      <c r="B34" s="95" t="s">
        <v>113</v>
      </c>
      <c r="C34" s="95"/>
      <c r="D34" s="95"/>
      <c r="E34" s="95"/>
      <c r="F34" s="95"/>
      <c r="G34" s="95"/>
      <c r="H34" s="95"/>
      <c r="I34" s="95"/>
      <c r="J34" s="72"/>
    </row>
    <row r="35" spans="2:10" s="58" customFormat="1" ht="24" customHeight="1">
      <c r="B35" s="95" t="s">
        <v>211</v>
      </c>
      <c r="C35" s="95"/>
      <c r="D35" s="95"/>
      <c r="E35" s="95"/>
      <c r="F35" s="95"/>
      <c r="G35" s="95"/>
      <c r="H35" s="95"/>
      <c r="I35" s="95"/>
      <c r="J35" s="72"/>
    </row>
    <row r="36" spans="2:10" s="58" customFormat="1" ht="24" customHeight="1">
      <c r="B36" s="95" t="s">
        <v>165</v>
      </c>
      <c r="C36" s="95"/>
      <c r="D36" s="95"/>
      <c r="E36" s="95"/>
      <c r="F36" s="95"/>
      <c r="G36" s="95"/>
      <c r="H36" s="95"/>
      <c r="I36" s="72"/>
      <c r="J36" s="72"/>
    </row>
    <row r="37" spans="2:10" s="58" customFormat="1" ht="24" customHeight="1">
      <c r="B37" s="95" t="s">
        <v>164</v>
      </c>
      <c r="C37" s="95"/>
      <c r="D37" s="95"/>
      <c r="E37" s="95"/>
      <c r="F37" s="95"/>
      <c r="G37" s="95"/>
      <c r="H37" s="95"/>
      <c r="I37" s="95"/>
      <c r="J37" s="72"/>
    </row>
    <row r="38" spans="2:10" s="58" customFormat="1" ht="24" customHeight="1">
      <c r="B38" s="95" t="s">
        <v>114</v>
      </c>
      <c r="C38" s="95"/>
      <c r="D38" s="95"/>
      <c r="E38" s="95"/>
      <c r="F38" s="95"/>
      <c r="G38" s="95"/>
      <c r="H38" s="95"/>
      <c r="I38" s="95"/>
      <c r="J38" s="72"/>
    </row>
    <row r="39" spans="2:10" s="58" customFormat="1" ht="24" customHeight="1">
      <c r="B39" s="72" t="s">
        <v>115</v>
      </c>
      <c r="C39" s="72"/>
      <c r="D39" s="72"/>
      <c r="E39" s="72"/>
      <c r="F39" s="72"/>
      <c r="G39" s="72"/>
      <c r="H39" s="72"/>
      <c r="I39" s="72"/>
      <c r="J39" s="72"/>
    </row>
    <row r="40" spans="2:10" s="58" customFormat="1" ht="24" customHeight="1">
      <c r="B40" s="95" t="s">
        <v>116</v>
      </c>
      <c r="C40" s="95"/>
      <c r="D40" s="95"/>
      <c r="E40" s="95"/>
      <c r="F40" s="95"/>
      <c r="G40" s="95"/>
      <c r="H40" s="95"/>
      <c r="I40" s="95"/>
      <c r="J40" s="72"/>
    </row>
    <row r="41" spans="2:10" s="58" customFormat="1" ht="24" customHeight="1">
      <c r="B41" s="95" t="s">
        <v>117</v>
      </c>
      <c r="C41" s="95"/>
      <c r="D41" s="95"/>
      <c r="E41" s="95"/>
      <c r="F41" s="95"/>
      <c r="G41" s="95"/>
      <c r="H41" s="95"/>
      <c r="I41" s="95"/>
      <c r="J41" s="72"/>
    </row>
    <row r="42" spans="2:10" s="58" customFormat="1" ht="24" customHeight="1">
      <c r="B42" s="95" t="s">
        <v>118</v>
      </c>
      <c r="C42" s="95"/>
      <c r="D42" s="95"/>
      <c r="E42" s="95"/>
      <c r="F42" s="95"/>
      <c r="G42" s="95"/>
      <c r="H42" s="95"/>
      <c r="I42" s="72"/>
      <c r="J42" s="72"/>
    </row>
    <row r="43" spans="2:10" s="58" customFormat="1" ht="24" customHeight="1">
      <c r="B43" s="95" t="s">
        <v>137</v>
      </c>
      <c r="C43" s="95"/>
      <c r="D43" s="95"/>
      <c r="E43" s="95"/>
      <c r="F43" s="95"/>
      <c r="G43" s="95"/>
      <c r="H43" s="95"/>
      <c r="I43" s="72"/>
      <c r="J43" s="72"/>
    </row>
    <row r="44" spans="2:10" s="58" customFormat="1" ht="24" customHeight="1">
      <c r="B44" s="58" t="s">
        <v>162</v>
      </c>
      <c r="I44" s="72"/>
      <c r="J44" s="72"/>
    </row>
    <row r="45" spans="2:10" s="58" customFormat="1" ht="24" customHeight="1">
      <c r="B45" s="95" t="s">
        <v>120</v>
      </c>
      <c r="C45" s="95"/>
      <c r="D45" s="95"/>
      <c r="E45" s="95"/>
      <c r="F45" s="95"/>
      <c r="G45" s="95"/>
      <c r="H45" s="95"/>
      <c r="I45" s="95"/>
      <c r="J45" s="72"/>
    </row>
    <row r="46" spans="2:10" s="58" customFormat="1" ht="24" customHeight="1">
      <c r="B46" s="95" t="s">
        <v>122</v>
      </c>
      <c r="C46" s="95"/>
      <c r="D46" s="95"/>
      <c r="E46" s="95"/>
      <c r="F46" s="95"/>
      <c r="G46" s="95"/>
      <c r="H46" s="95"/>
      <c r="I46" s="95"/>
      <c r="J46" s="72"/>
    </row>
    <row r="47" spans="2:10" s="58" customFormat="1" ht="24" customHeight="1">
      <c r="B47" s="95" t="s">
        <v>121</v>
      </c>
      <c r="C47" s="95"/>
      <c r="D47" s="95"/>
      <c r="E47" s="95"/>
      <c r="F47" s="95"/>
      <c r="G47" s="95"/>
      <c r="H47" s="95"/>
      <c r="I47" s="95"/>
      <c r="J47" s="72"/>
    </row>
    <row r="48" spans="2:10" s="58" customFormat="1" ht="24" customHeight="1">
      <c r="B48" s="72" t="s">
        <v>219</v>
      </c>
      <c r="C48" s="72"/>
      <c r="D48" s="72"/>
      <c r="E48" s="72"/>
      <c r="F48" s="72"/>
      <c r="G48" s="72"/>
      <c r="H48" s="72"/>
      <c r="I48" s="72"/>
      <c r="J48" s="72"/>
    </row>
    <row r="49" spans="1:10" s="58" customFormat="1" ht="24" customHeight="1">
      <c r="B49" s="95" t="s">
        <v>127</v>
      </c>
      <c r="C49" s="95"/>
      <c r="D49" s="95"/>
      <c r="E49" s="95"/>
      <c r="F49" s="95"/>
      <c r="G49" s="95"/>
      <c r="H49" s="95"/>
      <c r="I49" s="95"/>
      <c r="J49" s="72"/>
    </row>
    <row r="50" spans="1:10" s="58" customFormat="1" ht="24" customHeight="1">
      <c r="B50" s="95" t="s">
        <v>128</v>
      </c>
      <c r="C50" s="95"/>
      <c r="D50" s="95"/>
      <c r="E50" s="95"/>
      <c r="F50" s="95"/>
      <c r="G50" s="95"/>
      <c r="H50" s="95"/>
      <c r="I50" s="95"/>
      <c r="J50" s="72"/>
    </row>
    <row r="51" spans="1:10" s="78" customFormat="1" ht="24" customHeight="1">
      <c r="A51" s="77"/>
      <c r="B51" s="95" t="s">
        <v>129</v>
      </c>
      <c r="C51" s="95"/>
      <c r="D51" s="95"/>
      <c r="E51" s="95"/>
      <c r="F51" s="95"/>
      <c r="G51" s="95"/>
      <c r="H51" s="95"/>
      <c r="I51" s="72"/>
    </row>
    <row r="52" spans="1:10" s="78" customFormat="1" ht="24" customHeight="1">
      <c r="A52" s="79"/>
      <c r="B52" s="95" t="s">
        <v>130</v>
      </c>
      <c r="C52" s="95"/>
      <c r="D52" s="95"/>
      <c r="E52" s="95"/>
      <c r="F52" s="95"/>
      <c r="G52" s="95"/>
      <c r="H52" s="95"/>
      <c r="I52" s="72"/>
    </row>
    <row r="53" spans="1:10" s="80" customFormat="1" ht="24" customHeight="1">
      <c r="A53" s="77"/>
      <c r="B53" s="95" t="s">
        <v>125</v>
      </c>
      <c r="C53" s="95"/>
      <c r="D53" s="95"/>
      <c r="E53" s="95"/>
      <c r="F53" s="95"/>
      <c r="G53" s="95"/>
      <c r="H53" s="95"/>
      <c r="I53" s="95"/>
    </row>
    <row r="54" spans="1:10" s="80" customFormat="1" ht="24" customHeight="1">
      <c r="A54" s="77"/>
      <c r="B54" s="95" t="s">
        <v>126</v>
      </c>
      <c r="C54" s="95"/>
      <c r="D54" s="95"/>
      <c r="E54" s="95"/>
      <c r="F54" s="95"/>
      <c r="G54" s="95"/>
      <c r="H54" s="95"/>
      <c r="I54" s="95"/>
    </row>
    <row r="55" spans="1:10" s="80" customFormat="1" ht="24" customHeight="1">
      <c r="A55" s="77"/>
      <c r="B55" s="72" t="s">
        <v>131</v>
      </c>
      <c r="C55" s="72"/>
      <c r="D55" s="72"/>
      <c r="E55" s="72"/>
      <c r="F55" s="72"/>
      <c r="G55" s="72"/>
      <c r="H55" s="72"/>
      <c r="I55" s="72"/>
    </row>
    <row r="56" spans="1:10" s="80" customFormat="1" ht="24" customHeight="1">
      <c r="A56" s="77"/>
      <c r="B56" s="95" t="s">
        <v>132</v>
      </c>
      <c r="C56" s="95"/>
      <c r="D56" s="95"/>
      <c r="E56" s="95"/>
      <c r="F56" s="95"/>
      <c r="G56" s="95"/>
      <c r="H56" s="95"/>
      <c r="I56" s="95"/>
    </row>
    <row r="57" spans="1:10" s="80" customFormat="1" ht="24" customHeight="1">
      <c r="A57" s="77"/>
      <c r="B57" s="95" t="s">
        <v>212</v>
      </c>
      <c r="C57" s="95"/>
      <c r="D57" s="95"/>
      <c r="E57" s="95"/>
      <c r="F57" s="95"/>
      <c r="G57" s="95"/>
      <c r="H57" s="95"/>
      <c r="I57" s="95"/>
    </row>
    <row r="58" spans="1:10" s="80" customFormat="1" ht="24" customHeight="1">
      <c r="A58" s="77"/>
      <c r="B58" s="95" t="s">
        <v>133</v>
      </c>
      <c r="C58" s="95"/>
      <c r="D58" s="95"/>
      <c r="E58" s="95"/>
      <c r="F58" s="95"/>
      <c r="G58" s="95"/>
      <c r="H58" s="95"/>
      <c r="I58" s="95"/>
    </row>
    <row r="59" spans="1:10" s="80" customFormat="1" ht="24" customHeight="1">
      <c r="A59" s="77"/>
      <c r="B59" s="102" t="s">
        <v>141</v>
      </c>
      <c r="C59" s="102"/>
      <c r="D59" s="102"/>
      <c r="E59" s="102"/>
      <c r="F59" s="102"/>
      <c r="G59" s="102"/>
      <c r="H59" s="102"/>
      <c r="I59" s="102"/>
    </row>
    <row r="60" spans="1:10" s="80" customFormat="1" ht="24" customHeight="1">
      <c r="A60" s="77"/>
      <c r="B60" s="95" t="s">
        <v>142</v>
      </c>
      <c r="C60" s="95"/>
      <c r="D60" s="95"/>
      <c r="E60" s="95"/>
      <c r="F60" s="95"/>
      <c r="G60" s="95"/>
      <c r="H60" s="95"/>
      <c r="I60" s="95"/>
    </row>
    <row r="61" spans="1:10" s="80" customFormat="1" ht="24" customHeight="1">
      <c r="A61" s="77"/>
      <c r="B61" s="95" t="s">
        <v>135</v>
      </c>
      <c r="C61" s="95"/>
      <c r="D61" s="95"/>
      <c r="E61" s="95"/>
      <c r="F61" s="95"/>
      <c r="G61" s="95"/>
      <c r="H61" s="95"/>
      <c r="I61" s="95"/>
    </row>
    <row r="62" spans="1:10" s="80" customFormat="1" ht="24" customHeight="1">
      <c r="A62" s="77"/>
      <c r="B62" s="95" t="s">
        <v>218</v>
      </c>
      <c r="C62" s="95"/>
      <c r="D62" s="95"/>
      <c r="E62" s="95"/>
      <c r="F62" s="95"/>
      <c r="G62" s="95"/>
      <c r="H62" s="95"/>
      <c r="I62" s="95"/>
    </row>
    <row r="63" spans="1:10" s="80" customFormat="1" ht="24" customHeight="1">
      <c r="A63" s="77"/>
      <c r="B63" s="95" t="s">
        <v>136</v>
      </c>
      <c r="C63" s="95"/>
      <c r="D63" s="95"/>
      <c r="E63" s="95"/>
      <c r="F63" s="95"/>
      <c r="G63" s="95"/>
      <c r="H63" s="95"/>
      <c r="I63" s="95"/>
    </row>
    <row r="64" spans="1:10" s="80" customFormat="1" ht="24" customHeight="1">
      <c r="A64" s="77"/>
      <c r="B64" s="95" t="s">
        <v>150</v>
      </c>
      <c r="C64" s="95"/>
      <c r="D64" s="95"/>
      <c r="E64" s="95"/>
      <c r="F64" s="95"/>
      <c r="G64" s="95"/>
      <c r="H64" s="72"/>
      <c r="I64" s="72"/>
    </row>
    <row r="65" spans="1:9" s="80" customFormat="1" ht="24" customHeight="1">
      <c r="A65" s="77"/>
      <c r="B65" s="72" t="s">
        <v>159</v>
      </c>
      <c r="C65" s="72"/>
      <c r="D65" s="72"/>
      <c r="E65" s="72"/>
      <c r="F65" s="72"/>
      <c r="G65" s="72"/>
      <c r="H65" s="72"/>
      <c r="I65" s="72"/>
    </row>
    <row r="66" spans="1:9" s="80" customFormat="1" ht="24" customHeight="1">
      <c r="A66" s="77"/>
      <c r="B66" s="95" t="s">
        <v>145</v>
      </c>
      <c r="C66" s="95"/>
      <c r="D66" s="95"/>
      <c r="E66" s="95"/>
      <c r="F66" s="95"/>
      <c r="G66" s="95"/>
      <c r="H66" s="95"/>
      <c r="I66" s="95"/>
    </row>
    <row r="67" spans="1:9" s="80" customFormat="1" ht="24" customHeight="1">
      <c r="A67" s="77"/>
      <c r="B67" s="95" t="s">
        <v>160</v>
      </c>
      <c r="C67" s="95"/>
      <c r="D67" s="95"/>
      <c r="E67" s="95"/>
      <c r="F67" s="95"/>
      <c r="G67" s="95"/>
      <c r="H67" s="95"/>
      <c r="I67" s="95"/>
    </row>
    <row r="68" spans="1:9" s="80" customFormat="1" ht="24" customHeight="1">
      <c r="A68" s="77"/>
      <c r="B68" s="95" t="s">
        <v>161</v>
      </c>
      <c r="C68" s="95"/>
      <c r="D68" s="95"/>
      <c r="E68" s="95"/>
      <c r="F68" s="95"/>
      <c r="G68" s="95"/>
      <c r="H68" s="95"/>
      <c r="I68" s="95"/>
    </row>
    <row r="69" spans="1:9" s="80" customFormat="1" ht="24" customHeight="1">
      <c r="A69" s="77"/>
      <c r="B69" s="81" t="s">
        <v>183</v>
      </c>
      <c r="C69" s="82"/>
      <c r="D69" s="82"/>
      <c r="E69" s="82"/>
      <c r="F69" s="82"/>
      <c r="G69" s="82"/>
      <c r="H69" s="82"/>
      <c r="I69" s="77"/>
    </row>
    <row r="70" spans="1:9" s="80" customFormat="1" ht="24" customHeight="1">
      <c r="A70" s="77"/>
      <c r="B70" s="81"/>
      <c r="C70" s="82"/>
      <c r="D70" s="82"/>
      <c r="E70" s="82"/>
      <c r="F70" s="82"/>
      <c r="G70" s="82"/>
      <c r="H70" s="82"/>
      <c r="I70" s="77"/>
    </row>
    <row r="71" spans="1:9" s="80" customFormat="1" ht="24" customHeight="1">
      <c r="A71" s="77"/>
      <c r="B71" s="75" t="s">
        <v>55</v>
      </c>
      <c r="C71" s="83"/>
      <c r="D71" s="83"/>
      <c r="E71" s="83"/>
      <c r="F71" s="83"/>
      <c r="G71" s="83"/>
      <c r="H71" s="83"/>
      <c r="I71" s="78"/>
    </row>
    <row r="72" spans="1:9" ht="24" customHeight="1">
      <c r="A72" s="84"/>
      <c r="B72" s="77" t="s">
        <v>102</v>
      </c>
      <c r="C72" s="82"/>
      <c r="D72" s="82"/>
      <c r="E72" s="82"/>
      <c r="F72" s="82"/>
      <c r="G72" s="82"/>
      <c r="H72" s="82"/>
    </row>
    <row r="73" spans="1:9" ht="24" customHeight="1">
      <c r="A73" s="84"/>
      <c r="B73" s="103" t="s">
        <v>170</v>
      </c>
      <c r="C73" s="103"/>
      <c r="D73" s="103"/>
      <c r="E73" s="103"/>
      <c r="F73" s="103"/>
      <c r="G73" s="103"/>
      <c r="H73" s="103"/>
      <c r="I73" s="103"/>
    </row>
    <row r="74" spans="1:9" ht="24" customHeight="1">
      <c r="A74" s="84"/>
      <c r="B74" s="103" t="s">
        <v>171</v>
      </c>
      <c r="C74" s="103"/>
      <c r="D74" s="103"/>
      <c r="E74" s="103"/>
      <c r="F74" s="103"/>
      <c r="G74" s="103"/>
      <c r="H74" s="85"/>
      <c r="I74" s="78"/>
    </row>
    <row r="75" spans="1:9" ht="24" customHeight="1">
      <c r="A75" s="84"/>
      <c r="B75" s="77" t="s">
        <v>139</v>
      </c>
      <c r="C75" s="82"/>
      <c r="D75" s="82"/>
      <c r="E75" s="82"/>
      <c r="F75" s="82"/>
      <c r="G75" s="82"/>
      <c r="H75" s="82"/>
    </row>
    <row r="76" spans="1:9" ht="24" customHeight="1">
      <c r="A76" s="84"/>
      <c r="B76" s="77" t="s">
        <v>140</v>
      </c>
      <c r="C76" s="82"/>
      <c r="D76" s="82"/>
      <c r="E76" s="82"/>
      <c r="F76" s="82"/>
      <c r="G76" s="82"/>
      <c r="H76" s="82"/>
    </row>
    <row r="77" spans="1:9" ht="24" customHeight="1">
      <c r="A77" s="84"/>
      <c r="B77" s="77" t="s">
        <v>158</v>
      </c>
      <c r="C77" s="82"/>
      <c r="D77" s="82"/>
      <c r="E77" s="82"/>
      <c r="F77" s="82"/>
      <c r="G77" s="82"/>
      <c r="H77" s="82"/>
    </row>
    <row r="78" spans="1:9" ht="24" customHeight="1">
      <c r="A78" s="84"/>
      <c r="B78" s="77" t="s">
        <v>163</v>
      </c>
      <c r="C78" s="82"/>
      <c r="D78" s="82"/>
      <c r="E78" s="82"/>
      <c r="F78" s="82"/>
      <c r="G78" s="82"/>
      <c r="H78" s="82"/>
    </row>
    <row r="79" spans="1:9" ht="24" customHeight="1">
      <c r="A79" s="84"/>
      <c r="C79" s="82"/>
      <c r="D79" s="82"/>
      <c r="E79" s="82"/>
      <c r="F79" s="82"/>
      <c r="G79" s="82"/>
      <c r="H79" s="82"/>
    </row>
    <row r="80" spans="1:9" ht="24" customHeight="1">
      <c r="A80" s="78"/>
      <c r="B80" s="86" t="s">
        <v>56</v>
      </c>
      <c r="C80" s="86"/>
      <c r="D80" s="86"/>
      <c r="E80" s="86"/>
      <c r="F80" s="58"/>
      <c r="G80" s="58"/>
      <c r="H80" s="58"/>
      <c r="I80" s="80"/>
    </row>
    <row r="81" spans="1:9" ht="24" customHeight="1">
      <c r="A81" s="78"/>
      <c r="B81" s="95" t="s">
        <v>146</v>
      </c>
      <c r="C81" s="95"/>
      <c r="D81" s="95"/>
      <c r="E81" s="95"/>
      <c r="F81" s="95"/>
      <c r="G81" s="95"/>
      <c r="H81" s="95"/>
      <c r="I81" s="80"/>
    </row>
    <row r="82" spans="1:9" ht="24" customHeight="1">
      <c r="A82" s="78"/>
      <c r="B82" s="95" t="s">
        <v>143</v>
      </c>
      <c r="C82" s="95"/>
      <c r="D82" s="95"/>
      <c r="E82" s="95"/>
      <c r="F82" s="95"/>
      <c r="G82" s="95"/>
      <c r="H82" s="95"/>
      <c r="I82" s="80"/>
    </row>
    <row r="83" spans="1:9" ht="24" customHeight="1">
      <c r="A83" s="78"/>
      <c r="B83" s="72" t="s">
        <v>156</v>
      </c>
      <c r="F83" s="58"/>
      <c r="G83" s="58"/>
      <c r="H83" s="58"/>
      <c r="I83" s="80"/>
    </row>
    <row r="84" spans="1:9" ht="24" customHeight="1">
      <c r="B84" s="95" t="s">
        <v>144</v>
      </c>
      <c r="C84" s="95"/>
      <c r="D84" s="95"/>
      <c r="E84" s="95"/>
      <c r="I84" s="80"/>
    </row>
    <row r="85" spans="1:9" ht="24" customHeight="1">
      <c r="B85" s="77" t="s">
        <v>152</v>
      </c>
      <c r="C85" s="72"/>
      <c r="D85" s="72"/>
      <c r="E85" s="72"/>
      <c r="F85" s="58"/>
      <c r="G85" s="58"/>
      <c r="H85" s="58"/>
      <c r="I85" s="80"/>
    </row>
    <row r="86" spans="1:9" s="78" customFormat="1" ht="24" customHeight="1">
      <c r="B86" s="72" t="s">
        <v>123</v>
      </c>
      <c r="I86" s="80"/>
    </row>
    <row r="87" spans="1:9" s="78" customFormat="1" ht="24" customHeight="1">
      <c r="B87" s="72" t="s">
        <v>149</v>
      </c>
      <c r="C87" s="72"/>
      <c r="D87" s="72"/>
      <c r="E87" s="72"/>
      <c r="F87" s="72"/>
      <c r="G87" s="72"/>
      <c r="H87" s="72"/>
      <c r="I87" s="80"/>
    </row>
    <row r="88" spans="1:9" s="78" customFormat="1" ht="24" customHeight="1">
      <c r="B88" s="95" t="s">
        <v>157</v>
      </c>
      <c r="C88" s="95"/>
      <c r="D88" s="95"/>
      <c r="E88" s="95"/>
      <c r="F88" s="95"/>
      <c r="G88" s="95"/>
      <c r="H88" s="95"/>
      <c r="I88" s="95"/>
    </row>
    <row r="89" spans="1:9" s="78" customFormat="1" ht="24" customHeight="1">
      <c r="B89" s="72" t="s">
        <v>155</v>
      </c>
      <c r="C89" s="72"/>
      <c r="D89" s="72"/>
      <c r="E89" s="72"/>
      <c r="F89" s="72"/>
      <c r="G89" s="72"/>
      <c r="H89" s="72"/>
      <c r="I89" s="80"/>
    </row>
    <row r="90" spans="1:9" s="78" customFormat="1" ht="24" customHeight="1">
      <c r="B90" s="78" t="s">
        <v>166</v>
      </c>
      <c r="H90" s="72"/>
      <c r="I90" s="80"/>
    </row>
    <row r="91" spans="1:9" s="78" customFormat="1" ht="24" customHeight="1">
      <c r="B91" s="95" t="s">
        <v>103</v>
      </c>
      <c r="C91" s="95"/>
      <c r="D91" s="95"/>
      <c r="E91" s="95"/>
      <c r="F91" s="95"/>
      <c r="G91" s="95"/>
      <c r="I91" s="80"/>
    </row>
    <row r="92" spans="1:9" s="78" customFormat="1" ht="24" customHeight="1">
      <c r="B92" s="72" t="s">
        <v>147</v>
      </c>
      <c r="C92" s="72"/>
      <c r="D92" s="72"/>
      <c r="E92" s="72"/>
      <c r="F92" s="72"/>
      <c r="G92" s="72"/>
      <c r="H92" s="72"/>
      <c r="I92" s="80"/>
    </row>
    <row r="93" spans="1:9" s="78" customFormat="1" ht="24" customHeight="1">
      <c r="B93" s="72"/>
      <c r="C93" s="72"/>
      <c r="D93" s="72"/>
      <c r="E93" s="72"/>
      <c r="F93" s="72"/>
      <c r="G93" s="72"/>
      <c r="H93" s="72"/>
      <c r="I93" s="80"/>
    </row>
    <row r="94" spans="1:9" s="79" customFormat="1" ht="24" customHeight="1">
      <c r="A94" s="98" t="s">
        <v>57</v>
      </c>
      <c r="B94" s="98"/>
      <c r="C94" s="58"/>
      <c r="D94" s="58"/>
      <c r="E94" s="58"/>
      <c r="F94" s="58"/>
      <c r="G94" s="58"/>
      <c r="H94" s="58"/>
      <c r="I94" s="77"/>
    </row>
    <row r="95" spans="1:9" s="79" customFormat="1" ht="24" customHeight="1">
      <c r="B95" s="75" t="s">
        <v>54</v>
      </c>
      <c r="C95" s="87"/>
      <c r="D95" s="87"/>
      <c r="E95" s="87"/>
      <c r="F95" s="87"/>
      <c r="G95" s="87"/>
      <c r="H95" s="87"/>
      <c r="I95" s="77"/>
    </row>
    <row r="96" spans="1:9" s="79" customFormat="1" ht="24" customHeight="1">
      <c r="B96" s="76" t="s">
        <v>198</v>
      </c>
      <c r="D96" s="87"/>
      <c r="E96" s="87"/>
      <c r="F96" s="87"/>
      <c r="G96" s="87"/>
      <c r="H96" s="87"/>
      <c r="I96" s="77"/>
    </row>
    <row r="97" spans="2:9" s="79" customFormat="1" ht="24" customHeight="1">
      <c r="B97" s="76" t="s">
        <v>124</v>
      </c>
      <c r="C97" s="87"/>
      <c r="D97" s="87"/>
      <c r="E97" s="87"/>
      <c r="F97" s="87"/>
      <c r="G97" s="87"/>
      <c r="H97" s="87"/>
      <c r="I97" s="77"/>
    </row>
    <row r="98" spans="2:9" s="79" customFormat="1" ht="24" customHeight="1">
      <c r="B98" s="76" t="s">
        <v>201</v>
      </c>
      <c r="C98" s="87"/>
      <c r="D98" s="87"/>
      <c r="E98" s="87"/>
      <c r="F98" s="87"/>
      <c r="G98" s="87"/>
      <c r="H98" s="87"/>
      <c r="I98" s="77"/>
    </row>
    <row r="99" spans="2:9" s="79" customFormat="1" ht="24" customHeight="1">
      <c r="B99" s="95" t="s">
        <v>175</v>
      </c>
      <c r="C99" s="95"/>
      <c r="D99" s="95"/>
      <c r="E99" s="95"/>
      <c r="F99" s="95"/>
      <c r="G99" s="95"/>
      <c r="H99" s="95"/>
      <c r="I99" s="95"/>
    </row>
    <row r="100" spans="2:9" s="79" customFormat="1" ht="24" customHeight="1">
      <c r="B100" s="95" t="s">
        <v>178</v>
      </c>
      <c r="C100" s="95"/>
      <c r="D100" s="95"/>
      <c r="E100" s="95"/>
      <c r="F100" s="95"/>
      <c r="G100" s="95"/>
      <c r="H100" s="95"/>
      <c r="I100" s="95"/>
    </row>
    <row r="101" spans="2:9" s="79" customFormat="1" ht="24" customHeight="1">
      <c r="B101" s="95" t="s">
        <v>179</v>
      </c>
      <c r="C101" s="95"/>
      <c r="D101" s="95"/>
      <c r="E101" s="95"/>
      <c r="F101" s="95"/>
      <c r="G101" s="95"/>
      <c r="H101" s="95"/>
      <c r="I101" s="72"/>
    </row>
    <row r="102" spans="2:9" s="79" customFormat="1" ht="24" customHeight="1">
      <c r="B102" s="95" t="s">
        <v>193</v>
      </c>
      <c r="C102" s="95"/>
      <c r="D102" s="95"/>
      <c r="E102" s="95"/>
      <c r="F102" s="95"/>
      <c r="G102" s="95"/>
      <c r="H102" s="95"/>
      <c r="I102" s="95"/>
    </row>
    <row r="103" spans="2:9" s="79" customFormat="1" ht="24" customHeight="1">
      <c r="B103" s="76" t="s">
        <v>174</v>
      </c>
      <c r="C103" s="87"/>
      <c r="D103" s="87"/>
      <c r="E103" s="87"/>
      <c r="F103" s="87"/>
      <c r="G103" s="87"/>
      <c r="H103" s="87"/>
      <c r="I103" s="77"/>
    </row>
    <row r="104" spans="2:9" s="79" customFormat="1" ht="24" customHeight="1">
      <c r="B104" s="95" t="s">
        <v>167</v>
      </c>
      <c r="C104" s="95"/>
      <c r="D104" s="95"/>
      <c r="E104" s="95"/>
      <c r="F104" s="95"/>
      <c r="G104" s="95"/>
      <c r="H104" s="95"/>
      <c r="I104" s="95"/>
    </row>
    <row r="105" spans="2:9" s="79" customFormat="1" ht="24" customHeight="1">
      <c r="B105" s="95" t="s">
        <v>172</v>
      </c>
      <c r="C105" s="95"/>
      <c r="D105" s="95"/>
      <c r="E105" s="95"/>
      <c r="F105" s="95"/>
      <c r="G105" s="95"/>
      <c r="H105" s="95"/>
      <c r="I105" s="77"/>
    </row>
    <row r="106" spans="2:9" s="79" customFormat="1" ht="24" customHeight="1">
      <c r="B106" s="76" t="s">
        <v>176</v>
      </c>
      <c r="C106" s="87"/>
      <c r="D106" s="87"/>
      <c r="E106" s="87"/>
      <c r="F106" s="87"/>
      <c r="G106" s="87"/>
      <c r="H106" s="87"/>
      <c r="I106" s="77"/>
    </row>
    <row r="107" spans="2:9" s="79" customFormat="1" ht="24" customHeight="1">
      <c r="B107" s="76" t="s">
        <v>177</v>
      </c>
      <c r="C107" s="87"/>
      <c r="D107" s="87"/>
      <c r="E107" s="87"/>
      <c r="F107" s="87"/>
      <c r="G107" s="87"/>
      <c r="H107" s="87"/>
      <c r="I107" s="77"/>
    </row>
    <row r="108" spans="2:9" s="79" customFormat="1" ht="24" customHeight="1">
      <c r="B108" s="95" t="s">
        <v>185</v>
      </c>
      <c r="C108" s="95"/>
      <c r="D108" s="95"/>
      <c r="E108" s="95"/>
      <c r="F108" s="95"/>
      <c r="G108" s="95"/>
      <c r="H108" s="95"/>
      <c r="I108" s="95"/>
    </row>
    <row r="109" spans="2:9" s="79" customFormat="1" ht="24" customHeight="1">
      <c r="B109" s="72" t="s">
        <v>186</v>
      </c>
      <c r="C109" s="72"/>
      <c r="D109" s="72"/>
      <c r="E109" s="72"/>
      <c r="F109" s="72"/>
      <c r="G109" s="72"/>
      <c r="H109" s="72"/>
      <c r="I109" s="72"/>
    </row>
    <row r="110" spans="2:9" s="79" customFormat="1" ht="24" customHeight="1">
      <c r="B110" s="95" t="s">
        <v>217</v>
      </c>
      <c r="C110" s="95"/>
      <c r="D110" s="95"/>
      <c r="E110" s="95"/>
      <c r="F110" s="95"/>
      <c r="G110" s="95"/>
      <c r="H110" s="95"/>
      <c r="I110" s="72"/>
    </row>
    <row r="111" spans="2:9" s="79" customFormat="1" ht="24" customHeight="1">
      <c r="B111" s="95" t="s">
        <v>189</v>
      </c>
      <c r="C111" s="95"/>
      <c r="D111" s="95"/>
      <c r="E111" s="95"/>
      <c r="F111" s="95"/>
      <c r="G111" s="95"/>
      <c r="H111" s="95"/>
      <c r="I111" s="95"/>
    </row>
    <row r="112" spans="2:9" s="79" customFormat="1" ht="24" customHeight="1">
      <c r="B112" s="95" t="s">
        <v>194</v>
      </c>
      <c r="C112" s="95"/>
      <c r="D112" s="95"/>
      <c r="E112" s="95"/>
      <c r="F112" s="95"/>
      <c r="G112" s="95"/>
      <c r="H112" s="95"/>
      <c r="I112" s="95"/>
    </row>
    <row r="113" spans="1:9" s="79" customFormat="1" ht="24" customHeight="1">
      <c r="B113" s="95" t="s">
        <v>190</v>
      </c>
      <c r="C113" s="95"/>
      <c r="D113" s="95"/>
      <c r="E113" s="95"/>
      <c r="F113" s="95"/>
      <c r="G113" s="95"/>
      <c r="H113" s="95"/>
      <c r="I113" s="95"/>
    </row>
    <row r="114" spans="1:9" s="79" customFormat="1" ht="24" customHeight="1">
      <c r="B114" s="95" t="s">
        <v>192</v>
      </c>
      <c r="C114" s="95"/>
      <c r="D114" s="95"/>
      <c r="E114" s="95"/>
      <c r="F114" s="95"/>
      <c r="G114" s="95"/>
      <c r="H114" s="95"/>
      <c r="I114" s="72"/>
    </row>
    <row r="115" spans="1:9" s="79" customFormat="1" ht="24" customHeight="1">
      <c r="B115" s="72" t="s">
        <v>195</v>
      </c>
      <c r="C115" s="72"/>
      <c r="D115" s="72"/>
      <c r="E115" s="72"/>
      <c r="F115" s="72"/>
      <c r="G115" s="72"/>
      <c r="H115" s="72"/>
      <c r="I115" s="72"/>
    </row>
    <row r="116" spans="1:9" s="79" customFormat="1" ht="24" customHeight="1">
      <c r="B116" s="95" t="s">
        <v>196</v>
      </c>
      <c r="C116" s="95"/>
      <c r="D116" s="95"/>
      <c r="E116" s="95"/>
      <c r="F116" s="95"/>
      <c r="G116" s="95"/>
      <c r="H116" s="95"/>
      <c r="I116" s="95"/>
    </row>
    <row r="117" spans="1:9" s="79" customFormat="1" ht="24" customHeight="1">
      <c r="B117" s="78" t="s">
        <v>199</v>
      </c>
      <c r="C117" s="78"/>
      <c r="D117" s="78"/>
      <c r="E117" s="78"/>
      <c r="F117" s="78"/>
      <c r="G117" s="78"/>
      <c r="H117" s="78"/>
      <c r="I117" s="78"/>
    </row>
    <row r="118" spans="1:9" s="79" customFormat="1" ht="24" customHeight="1">
      <c r="B118" s="78" t="s">
        <v>202</v>
      </c>
      <c r="C118" s="78"/>
      <c r="D118" s="78"/>
      <c r="E118" s="78"/>
      <c r="F118" s="78"/>
      <c r="G118" s="78"/>
      <c r="H118" s="78"/>
      <c r="I118" s="78"/>
    </row>
    <row r="119" spans="1:9" s="79" customFormat="1" ht="24" customHeight="1">
      <c r="B119" s="78" t="s">
        <v>206</v>
      </c>
      <c r="C119" s="78"/>
      <c r="D119" s="78"/>
      <c r="E119" s="78"/>
      <c r="F119" s="78"/>
      <c r="G119" s="78"/>
      <c r="H119" s="78"/>
      <c r="I119" s="78"/>
    </row>
    <row r="120" spans="1:9" s="79" customFormat="1" ht="24" customHeight="1">
      <c r="B120" s="78"/>
      <c r="C120" s="78"/>
      <c r="D120" s="78"/>
      <c r="E120" s="78"/>
      <c r="F120" s="78"/>
      <c r="G120" s="78"/>
      <c r="H120" s="78"/>
      <c r="I120" s="78"/>
    </row>
    <row r="121" spans="1:9" s="79" customFormat="1" ht="24" customHeight="1">
      <c r="B121" s="88" t="s">
        <v>55</v>
      </c>
      <c r="C121" s="85"/>
      <c r="D121" s="85"/>
      <c r="E121" s="85"/>
      <c r="F121" s="85"/>
      <c r="G121" s="85"/>
      <c r="H121" s="85"/>
      <c r="I121" s="78"/>
    </row>
    <row r="122" spans="1:9" s="79" customFormat="1" ht="24" customHeight="1">
      <c r="B122" s="78" t="s">
        <v>216</v>
      </c>
    </row>
    <row r="123" spans="1:9" s="79" customFormat="1" ht="24" customHeight="1"/>
    <row r="124" spans="1:9" s="79" customFormat="1" ht="24" customHeight="1">
      <c r="B124" s="89" t="s">
        <v>56</v>
      </c>
      <c r="C124" s="83"/>
      <c r="D124" s="83"/>
      <c r="E124" s="83"/>
      <c r="F124" s="83"/>
      <c r="G124" s="83"/>
      <c r="H124" s="83"/>
    </row>
    <row r="125" spans="1:9" s="79" customFormat="1" ht="24" customHeight="1">
      <c r="B125" s="78" t="s">
        <v>168</v>
      </c>
      <c r="C125" s="83"/>
      <c r="D125" s="83"/>
      <c r="E125" s="83"/>
      <c r="F125" s="83"/>
      <c r="G125" s="83"/>
      <c r="H125" s="83"/>
    </row>
    <row r="126" spans="1:9" s="79" customFormat="1" ht="24" customHeight="1">
      <c r="A126" s="78"/>
      <c r="B126" s="81" t="s">
        <v>169</v>
      </c>
      <c r="C126" s="90"/>
      <c r="D126" s="90"/>
      <c r="E126" s="90"/>
      <c r="F126" s="90"/>
      <c r="G126" s="90"/>
      <c r="H126" s="90"/>
    </row>
    <row r="127" spans="1:9" s="79" customFormat="1" ht="24" customHeight="1">
      <c r="A127" s="78"/>
      <c r="B127" s="58" t="s">
        <v>173</v>
      </c>
      <c r="C127" s="90"/>
      <c r="D127" s="90"/>
      <c r="E127" s="90"/>
      <c r="F127" s="90"/>
      <c r="G127" s="90"/>
      <c r="H127" s="90"/>
    </row>
    <row r="128" spans="1:9" ht="24" customHeight="1">
      <c r="A128" s="78"/>
      <c r="B128" s="81" t="s">
        <v>180</v>
      </c>
      <c r="C128" s="83"/>
      <c r="D128" s="83"/>
      <c r="E128" s="83"/>
      <c r="F128" s="83"/>
      <c r="G128" s="83"/>
      <c r="H128" s="83"/>
      <c r="I128" s="79"/>
    </row>
    <row r="129" spans="1:9" s="78" customFormat="1" ht="24" customHeight="1">
      <c r="B129" s="81" t="s">
        <v>181</v>
      </c>
      <c r="C129" s="83"/>
      <c r="D129" s="83"/>
      <c r="E129" s="83"/>
      <c r="F129" s="83"/>
      <c r="G129" s="83"/>
      <c r="H129" s="83"/>
      <c r="I129" s="79"/>
    </row>
    <row r="130" spans="1:9" s="78" customFormat="1" ht="24" customHeight="1">
      <c r="A130" s="79"/>
      <c r="B130" s="81" t="s">
        <v>182</v>
      </c>
      <c r="C130" s="83"/>
      <c r="D130" s="83"/>
      <c r="E130" s="83"/>
      <c r="F130" s="83"/>
      <c r="G130" s="83"/>
      <c r="H130" s="83"/>
      <c r="I130" s="79"/>
    </row>
    <row r="131" spans="1:9" s="79" customFormat="1" ht="24" customHeight="1">
      <c r="A131" s="78"/>
      <c r="B131" s="78" t="s">
        <v>184</v>
      </c>
      <c r="C131" s="83"/>
      <c r="D131" s="83"/>
      <c r="E131" s="83"/>
      <c r="F131" s="83"/>
      <c r="G131" s="83"/>
      <c r="H131" s="83"/>
    </row>
    <row r="132" spans="1:9" s="79" customFormat="1" ht="24" customHeight="1">
      <c r="A132" s="78"/>
      <c r="B132" s="81" t="s">
        <v>187</v>
      </c>
      <c r="C132" s="83"/>
      <c r="D132" s="83"/>
      <c r="E132" s="83"/>
      <c r="F132" s="83"/>
      <c r="G132" s="83"/>
      <c r="H132" s="83"/>
    </row>
    <row r="133" spans="1:9" s="78" customFormat="1" ht="24" customHeight="1">
      <c r="B133" s="105" t="s">
        <v>215</v>
      </c>
      <c r="C133" s="105"/>
      <c r="D133" s="105"/>
      <c r="E133" s="105"/>
      <c r="F133" s="105"/>
      <c r="G133" s="105"/>
      <c r="H133" s="105"/>
      <c r="I133" s="105"/>
    </row>
    <row r="134" spans="1:9" s="78" customFormat="1" ht="24" customHeight="1">
      <c r="B134" s="78" t="s">
        <v>188</v>
      </c>
      <c r="C134" s="85"/>
      <c r="D134" s="85"/>
      <c r="E134" s="85"/>
      <c r="F134" s="85"/>
      <c r="G134" s="85"/>
      <c r="H134" s="85"/>
    </row>
    <row r="135" spans="1:9" s="78" customFormat="1" ht="24" customHeight="1">
      <c r="A135" s="79"/>
      <c r="B135" s="78" t="s">
        <v>191</v>
      </c>
      <c r="C135" s="85"/>
      <c r="D135" s="85"/>
      <c r="E135" s="85"/>
      <c r="F135" s="85"/>
      <c r="G135" s="85"/>
      <c r="H135" s="85"/>
    </row>
    <row r="136" spans="1:9" s="78" customFormat="1" ht="24" customHeight="1">
      <c r="A136" s="79"/>
      <c r="B136" s="78" t="s">
        <v>200</v>
      </c>
      <c r="C136" s="85"/>
      <c r="D136" s="85"/>
      <c r="E136" s="85"/>
      <c r="F136" s="85"/>
      <c r="G136" s="85"/>
      <c r="H136" s="85"/>
    </row>
    <row r="137" spans="1:9" s="78" customFormat="1" ht="24" customHeight="1">
      <c r="B137" s="78" t="s">
        <v>197</v>
      </c>
      <c r="C137" s="83"/>
      <c r="D137" s="83"/>
      <c r="E137" s="83"/>
      <c r="F137" s="83"/>
      <c r="G137" s="83"/>
      <c r="H137" s="83"/>
      <c r="I137" s="79"/>
    </row>
    <row r="138" spans="1:9" s="78" customFormat="1" ht="24" customHeight="1">
      <c r="B138" s="78" t="s">
        <v>203</v>
      </c>
      <c r="C138" s="83"/>
      <c r="D138" s="83"/>
      <c r="E138" s="83"/>
      <c r="F138" s="83"/>
      <c r="G138" s="83"/>
      <c r="H138" s="83"/>
      <c r="I138" s="79"/>
    </row>
    <row r="139" spans="1:9" s="78" customFormat="1" ht="24" customHeight="1">
      <c r="B139" s="78" t="s">
        <v>204</v>
      </c>
      <c r="C139" s="83"/>
      <c r="D139" s="83"/>
      <c r="E139" s="83"/>
      <c r="F139" s="83"/>
      <c r="G139" s="83"/>
      <c r="H139" s="83"/>
      <c r="I139" s="79"/>
    </row>
    <row r="140" spans="1:9" s="78" customFormat="1" ht="24" customHeight="1">
      <c r="B140" s="78" t="s">
        <v>205</v>
      </c>
      <c r="C140" s="83"/>
      <c r="D140" s="83"/>
      <c r="E140" s="83"/>
      <c r="F140" s="83"/>
      <c r="G140" s="83"/>
      <c r="H140" s="83"/>
      <c r="I140" s="79"/>
    </row>
    <row r="141" spans="1:9" s="78" customFormat="1" ht="24" customHeight="1">
      <c r="B141" s="78" t="s">
        <v>214</v>
      </c>
      <c r="C141" s="83"/>
      <c r="D141" s="83"/>
      <c r="E141" s="83"/>
      <c r="F141" s="91"/>
      <c r="G141" s="83"/>
      <c r="H141" s="83"/>
      <c r="I141" s="79"/>
    </row>
    <row r="142" spans="1:9" s="79" customFormat="1" ht="24" customHeight="1">
      <c r="A142" s="78"/>
      <c r="B142" s="104" t="s">
        <v>207</v>
      </c>
      <c r="C142" s="104"/>
      <c r="D142" s="104"/>
      <c r="E142" s="104"/>
      <c r="F142" s="104"/>
      <c r="G142" s="104"/>
      <c r="H142" s="104"/>
    </row>
    <row r="143" spans="1:9" s="78" customFormat="1" ht="24" customHeight="1">
      <c r="B143" s="92"/>
      <c r="C143" s="85"/>
      <c r="D143" s="85"/>
      <c r="E143" s="85"/>
      <c r="F143" s="85"/>
      <c r="G143" s="85"/>
      <c r="H143" s="85"/>
    </row>
    <row r="144" spans="1:9" s="78" customFormat="1" ht="24" customHeight="1">
      <c r="B144" s="92"/>
      <c r="C144" s="85"/>
      <c r="D144" s="85"/>
      <c r="E144" s="85"/>
      <c r="F144" s="85"/>
      <c r="G144" s="85"/>
      <c r="H144" s="85"/>
    </row>
    <row r="145" spans="2:9" s="78" customFormat="1" ht="24" customHeight="1">
      <c r="B145" s="92"/>
      <c r="C145" s="85"/>
      <c r="D145" s="85"/>
      <c r="E145" s="85"/>
      <c r="F145" s="85"/>
      <c r="G145" s="85"/>
      <c r="H145" s="85"/>
    </row>
    <row r="146" spans="2:9" s="78" customFormat="1" ht="24" customHeight="1">
      <c r="B146" s="92"/>
      <c r="C146" s="85"/>
      <c r="D146" s="85"/>
      <c r="E146" s="85"/>
      <c r="F146" s="85"/>
      <c r="G146" s="85"/>
      <c r="H146" s="85"/>
    </row>
    <row r="147" spans="2:9" s="78" customFormat="1" ht="24" customHeight="1">
      <c r="B147" s="93"/>
      <c r="C147" s="83"/>
      <c r="D147" s="83"/>
      <c r="E147" s="83"/>
      <c r="F147" s="83"/>
      <c r="G147" s="83"/>
      <c r="H147" s="83"/>
      <c r="I147" s="79"/>
    </row>
    <row r="148" spans="2:9" s="78" customFormat="1" ht="24" customHeight="1">
      <c r="B148" s="93"/>
      <c r="C148" s="85"/>
      <c r="D148" s="85"/>
      <c r="E148" s="85"/>
      <c r="F148" s="85"/>
      <c r="G148" s="85"/>
      <c r="H148" s="85"/>
    </row>
    <row r="149" spans="2:9" s="78" customFormat="1" ht="24" customHeight="1">
      <c r="B149" s="93"/>
      <c r="C149" s="85"/>
      <c r="D149" s="85"/>
      <c r="E149" s="85"/>
      <c r="F149" s="85"/>
      <c r="G149" s="85"/>
      <c r="H149" s="85"/>
    </row>
    <row r="150" spans="2:9" s="78" customFormat="1" ht="24" customHeight="1">
      <c r="B150" s="93"/>
      <c r="C150" s="85"/>
      <c r="D150" s="85"/>
      <c r="E150" s="85"/>
      <c r="F150" s="85"/>
      <c r="G150" s="85"/>
      <c r="H150" s="85"/>
    </row>
    <row r="151" spans="2:9" s="78" customFormat="1" ht="24" customHeight="1">
      <c r="B151" s="92"/>
      <c r="C151" s="85"/>
      <c r="D151" s="85"/>
      <c r="E151" s="85"/>
      <c r="F151" s="85"/>
      <c r="G151" s="85"/>
      <c r="H151" s="85"/>
    </row>
    <row r="152" spans="2:9" s="78" customFormat="1" ht="24" customHeight="1">
      <c r="B152" s="92"/>
      <c r="C152" s="85"/>
      <c r="D152" s="85"/>
      <c r="E152" s="85"/>
      <c r="F152" s="85"/>
      <c r="G152" s="85"/>
      <c r="H152" s="85"/>
    </row>
    <row r="153" spans="2:9" s="78" customFormat="1" ht="24" customHeight="1">
      <c r="B153" s="92"/>
      <c r="C153" s="85"/>
      <c r="D153" s="85"/>
      <c r="E153" s="85"/>
      <c r="F153" s="85"/>
      <c r="G153" s="85"/>
      <c r="H153" s="85"/>
    </row>
    <row r="154" spans="2:9" s="78" customFormat="1" ht="24" customHeight="1">
      <c r="B154" s="92"/>
      <c r="C154" s="85"/>
      <c r="D154" s="85"/>
      <c r="E154" s="85"/>
      <c r="F154" s="85"/>
      <c r="G154" s="85"/>
      <c r="H154" s="85"/>
    </row>
    <row r="155" spans="2:9" s="78" customFormat="1" ht="24" customHeight="1">
      <c r="B155" s="92"/>
      <c r="C155" s="85"/>
      <c r="D155" s="85"/>
      <c r="E155" s="85"/>
      <c r="F155" s="85"/>
      <c r="G155" s="85"/>
      <c r="H155" s="85"/>
    </row>
    <row r="156" spans="2:9" s="78" customFormat="1" ht="24" customHeight="1">
      <c r="B156" s="92"/>
      <c r="C156" s="85"/>
      <c r="D156" s="85"/>
      <c r="E156" s="85"/>
      <c r="F156" s="85"/>
      <c r="G156" s="85"/>
      <c r="H156" s="85"/>
    </row>
    <row r="157" spans="2:9" s="78" customFormat="1" ht="24" customHeight="1">
      <c r="B157" s="92"/>
      <c r="C157" s="85"/>
      <c r="D157" s="85"/>
      <c r="E157" s="85"/>
      <c r="F157" s="85"/>
      <c r="G157" s="85"/>
      <c r="H157" s="85"/>
    </row>
    <row r="158" spans="2:9" s="78" customFormat="1" ht="24" customHeight="1">
      <c r="B158" s="92"/>
      <c r="C158" s="85"/>
      <c r="D158" s="85"/>
      <c r="E158" s="85"/>
      <c r="F158" s="85"/>
      <c r="G158" s="85"/>
      <c r="H158" s="85"/>
    </row>
    <row r="159" spans="2:9" s="78" customFormat="1" ht="24" customHeight="1">
      <c r="B159" s="92"/>
      <c r="C159" s="85"/>
      <c r="D159" s="85"/>
      <c r="E159" s="85"/>
      <c r="F159" s="85"/>
      <c r="G159" s="85"/>
      <c r="H159" s="85"/>
    </row>
    <row r="160" spans="2:9" s="78" customFormat="1" ht="24" customHeight="1">
      <c r="B160" s="92"/>
      <c r="C160" s="85"/>
      <c r="D160" s="85"/>
      <c r="E160" s="85"/>
      <c r="F160" s="85"/>
      <c r="G160" s="85"/>
      <c r="H160" s="85"/>
    </row>
    <row r="161" spans="1:9" s="78" customFormat="1" ht="24" customHeight="1">
      <c r="B161" s="92"/>
      <c r="C161" s="85"/>
      <c r="D161" s="85"/>
      <c r="E161" s="85"/>
      <c r="F161" s="85"/>
      <c r="G161" s="85"/>
      <c r="H161" s="85"/>
    </row>
    <row r="162" spans="1:9" s="78" customFormat="1" ht="24" customHeight="1">
      <c r="A162" s="77"/>
      <c r="B162" s="77"/>
      <c r="C162" s="85"/>
      <c r="D162" s="85"/>
      <c r="E162" s="85"/>
      <c r="F162" s="85"/>
      <c r="G162" s="85"/>
      <c r="H162" s="85"/>
    </row>
    <row r="163" spans="1:9" s="78" customFormat="1" ht="24" customHeight="1">
      <c r="A163" s="77"/>
      <c r="B163" s="77"/>
      <c r="C163" s="85"/>
      <c r="D163" s="85"/>
      <c r="E163" s="85"/>
      <c r="F163" s="85"/>
      <c r="G163" s="85"/>
      <c r="H163" s="85"/>
    </row>
    <row r="164" spans="1:9">
      <c r="C164" s="85"/>
      <c r="D164" s="85"/>
      <c r="E164" s="85"/>
      <c r="F164" s="85"/>
      <c r="G164" s="85"/>
      <c r="H164" s="85"/>
      <c r="I164" s="78"/>
    </row>
    <row r="165" spans="1:9">
      <c r="C165" s="85"/>
      <c r="D165" s="85"/>
      <c r="E165" s="85"/>
      <c r="F165" s="85"/>
      <c r="G165" s="85"/>
      <c r="H165" s="85"/>
      <c r="I165" s="78"/>
    </row>
    <row r="166" spans="1:9">
      <c r="C166" s="85"/>
      <c r="D166" s="85"/>
      <c r="E166" s="85"/>
      <c r="F166" s="85"/>
      <c r="G166" s="85"/>
      <c r="H166" s="85"/>
      <c r="I166" s="78"/>
    </row>
    <row r="167" spans="1:9">
      <c r="C167" s="85"/>
      <c r="D167" s="85"/>
      <c r="E167" s="85"/>
      <c r="F167" s="85"/>
      <c r="G167" s="85"/>
      <c r="H167" s="85"/>
      <c r="I167" s="78"/>
    </row>
    <row r="168" spans="1:9">
      <c r="C168" s="85"/>
      <c r="D168" s="85"/>
      <c r="E168" s="85"/>
      <c r="F168" s="85"/>
      <c r="G168" s="85"/>
      <c r="H168" s="85"/>
      <c r="I168" s="78"/>
    </row>
  </sheetData>
  <mergeCells count="74">
    <mergeCell ref="B142:H142"/>
    <mergeCell ref="B108:I108"/>
    <mergeCell ref="B133:I133"/>
    <mergeCell ref="B110:H110"/>
    <mergeCell ref="B111:I111"/>
    <mergeCell ref="B112:I112"/>
    <mergeCell ref="B113:I113"/>
    <mergeCell ref="B114:H114"/>
    <mergeCell ref="B116:I116"/>
    <mergeCell ref="B104:I104"/>
    <mergeCell ref="B73:I73"/>
    <mergeCell ref="B74:G74"/>
    <mergeCell ref="B105:H105"/>
    <mergeCell ref="B99:I99"/>
    <mergeCell ref="B100:I100"/>
    <mergeCell ref="B101:H101"/>
    <mergeCell ref="B102:I102"/>
    <mergeCell ref="A94:B94"/>
    <mergeCell ref="B91:G91"/>
    <mergeCell ref="B21:H21"/>
    <mergeCell ref="B64:G64"/>
    <mergeCell ref="B88:I88"/>
    <mergeCell ref="B67:I67"/>
    <mergeCell ref="B68:I68"/>
    <mergeCell ref="B37:I37"/>
    <mergeCell ref="B36:H36"/>
    <mergeCell ref="B43:H43"/>
    <mergeCell ref="B59:I59"/>
    <mergeCell ref="B60:I60"/>
    <mergeCell ref="B35:I35"/>
    <mergeCell ref="B84:E84"/>
    <mergeCell ref="B66:I66"/>
    <mergeCell ref="B82:H82"/>
    <mergeCell ref="B51:H51"/>
    <mergeCell ref="B52:H52"/>
    <mergeCell ref="B63:I63"/>
    <mergeCell ref="B81:H81"/>
    <mergeCell ref="B45:I45"/>
    <mergeCell ref="B46:I46"/>
    <mergeCell ref="B47:I47"/>
    <mergeCell ref="B53:I53"/>
    <mergeCell ref="B54:I54"/>
    <mergeCell ref="B49:I49"/>
    <mergeCell ref="B50:I50"/>
    <mergeCell ref="B56:I56"/>
    <mergeCell ref="B57:I57"/>
    <mergeCell ref="B58:I58"/>
    <mergeCell ref="B61:I61"/>
    <mergeCell ref="B62:I62"/>
    <mergeCell ref="B22:I22"/>
    <mergeCell ref="B23:I23"/>
    <mergeCell ref="B24:I24"/>
    <mergeCell ref="B27:I27"/>
    <mergeCell ref="B28:I28"/>
    <mergeCell ref="B25:I25"/>
    <mergeCell ref="B26:I26"/>
    <mergeCell ref="B29:I29"/>
    <mergeCell ref="B30:I30"/>
    <mergeCell ref="B31:I31"/>
    <mergeCell ref="B32:I32"/>
    <mergeCell ref="B33:I33"/>
    <mergeCell ref="B34:I34"/>
    <mergeCell ref="B38:I38"/>
    <mergeCell ref="B40:I40"/>
    <mergeCell ref="B41:I41"/>
    <mergeCell ref="B42:H42"/>
    <mergeCell ref="B20:H20"/>
    <mergeCell ref="A3:H3"/>
    <mergeCell ref="A1:I1"/>
    <mergeCell ref="A13:B13"/>
    <mergeCell ref="A2:H2"/>
    <mergeCell ref="B5:H5"/>
    <mergeCell ref="B7:H7"/>
    <mergeCell ref="B6:H6"/>
  </mergeCells>
  <phoneticPr fontId="10" type="noConversion"/>
  <pageMargins left="0.59055118110236227" right="0.15748031496062992" top="0.74803149606299213" bottom="0.74803149606299213" header="0.31496062992125984" footer="0.31496062992125984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2</vt:i4>
      </vt:variant>
    </vt:vector>
  </HeadingPairs>
  <TitlesOfParts>
    <vt:vector size="4" baseType="lpstr">
      <vt:lpstr>Total Table</vt:lpstr>
      <vt:lpstr>Summary</vt:lpstr>
      <vt:lpstr>Summary!Print_Area</vt:lpstr>
      <vt:lpstr>'Total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เบญจวรรณ ยืนยงค์</dc:creator>
  <cp:lastModifiedBy>maneerat nerwong</cp:lastModifiedBy>
  <cp:lastPrinted>2024-09-09T08:48:14Z</cp:lastPrinted>
  <dcterms:created xsi:type="dcterms:W3CDTF">2023-02-02T03:43:01Z</dcterms:created>
  <dcterms:modified xsi:type="dcterms:W3CDTF">2024-10-02T08:13:43Z</dcterms:modified>
</cp:coreProperties>
</file>