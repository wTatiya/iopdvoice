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45.246\Quality\Aaa\ESB\2567\9.Sep\"/>
    </mc:Choice>
  </mc:AlternateContent>
  <xr:revisionPtr revIDLastSave="0" documentId="13_ncr:1_{B79BDC4B-9DC8-4CAC-9077-FD09D45F370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tal Table" sheetId="1" r:id="rId1"/>
    <sheet name="Summary" sheetId="2" r:id="rId2"/>
  </sheets>
  <definedNames>
    <definedName name="OLE_LINK1" localSheetId="1">Summary!#REF!</definedName>
    <definedName name="_xlnm.Print_Area" localSheetId="1">Summary!$A$1:$K$93</definedName>
    <definedName name="_xlnm.Print_Area" localSheetId="0">'Total Table'!$A$1:$N$116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5" i="1" l="1"/>
  <c r="D22" i="1"/>
  <c r="K45" i="1"/>
  <c r="B22" i="1"/>
  <c r="C22" i="1"/>
  <c r="E22" i="1"/>
  <c r="F22" i="1"/>
  <c r="G22" i="1"/>
  <c r="I22" i="1"/>
  <c r="J22" i="1"/>
  <c r="K22" i="1"/>
  <c r="L22" i="1"/>
  <c r="M22" i="1"/>
  <c r="N22" i="1"/>
  <c r="O22" i="1"/>
  <c r="P22" i="1"/>
  <c r="Q45" i="1"/>
  <c r="P45" i="1" l="1"/>
  <c r="I45" i="1"/>
  <c r="L91" i="1" l="1"/>
  <c r="E45" i="1" l="1"/>
  <c r="H45" i="1"/>
  <c r="J45" i="1"/>
  <c r="M45" i="1"/>
  <c r="N45" i="1"/>
  <c r="O45" i="1"/>
  <c r="J68" i="1"/>
  <c r="K68" i="1"/>
  <c r="L68" i="1"/>
  <c r="M68" i="1"/>
  <c r="N68" i="1"/>
  <c r="M91" i="1"/>
  <c r="B91" i="1"/>
  <c r="C91" i="1"/>
  <c r="D91" i="1"/>
  <c r="E91" i="1"/>
  <c r="F91" i="1"/>
  <c r="G91" i="1"/>
  <c r="H91" i="1"/>
  <c r="I91" i="1"/>
  <c r="J91" i="1"/>
  <c r="B68" i="1"/>
  <c r="C68" i="1"/>
  <c r="D68" i="1"/>
  <c r="E68" i="1"/>
  <c r="F68" i="1"/>
  <c r="G68" i="1"/>
  <c r="H68" i="1"/>
</calcChain>
</file>

<file path=xl/sharedStrings.xml><?xml version="1.0" encoding="utf-8"?>
<sst xmlns="http://schemas.openxmlformats.org/spreadsheetml/2006/main" count="456" uniqueCount="167">
  <si>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</si>
  <si>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</si>
  <si>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</si>
  <si>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</si>
  <si>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</si>
  <si>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</si>
  <si>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</si>
  <si>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เคมีบำบัด</t>
  </si>
  <si>
    <t>จักษุ</t>
  </si>
  <si>
    <t>จำนวนใบประเมิน</t>
  </si>
  <si>
    <t>ระดับคะแนนเฉลี่ย</t>
  </si>
  <si>
    <t>คิดเป็นร้อยละ</t>
  </si>
  <si>
    <t>ไตเทียม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</si>
  <si>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</si>
  <si>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</si>
  <si>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</si>
  <si>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</si>
  <si>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</si>
  <si>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</si>
  <si>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</si>
  <si>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</si>
  <si>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</si>
  <si>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</si>
  <si>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</si>
  <si>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</si>
  <si>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</si>
  <si>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</si>
  <si>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</si>
  <si>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</si>
  <si>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</si>
  <si>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</si>
  <si>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</si>
  <si>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</si>
  <si>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</si>
  <si>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</si>
  <si>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</si>
  <si>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</si>
  <si>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</si>
  <si>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</si>
  <si>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</si>
  <si>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</si>
  <si>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</si>
  <si>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</si>
  <si>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</si>
  <si>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</si>
  <si>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</si>
  <si>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</si>
  <si>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</si>
  <si>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</si>
  <si>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</si>
  <si>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</si>
  <si>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</si>
  <si>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</si>
  <si>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</si>
  <si>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</si>
  <si>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</si>
  <si>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</si>
  <si>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</si>
  <si>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</si>
  <si>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</si>
  <si>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</si>
  <si>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</si>
  <si>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</si>
  <si>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</si>
  <si>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</si>
  <si>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ไม่ระบุ</t>
  </si>
  <si>
    <t>ผิวหนัง</t>
  </si>
  <si>
    <t xml:space="preserve"> -</t>
  </si>
  <si>
    <t>-</t>
  </si>
  <si>
    <t>ศูนย์ประกันสุขภาพ</t>
  </si>
  <si>
    <t>เวชกรรม
ฟื้นฟู</t>
  </si>
  <si>
    <t>ชั้น 1
 อาคาร 
150 ปี</t>
  </si>
  <si>
    <t>โรคเลือด</t>
  </si>
  <si>
    <t>หัตถการ</t>
  </si>
  <si>
    <t>ห้องบัตร ชั้น 1</t>
  </si>
  <si>
    <t>HBO</t>
  </si>
  <si>
    <t>1. แพทย์ให้ความสำคัญกับการตรวจร่างกายเพื่อวินิจฉัยโรค</t>
  </si>
  <si>
    <t>2. แพทย์ให้ข้อมูล/แนะนำวิธีการและทางเลือกในการรักษา</t>
  </si>
  <si>
    <t>3. คำถามและข้อสงสัย ได้รับคำตอบที่ชัดเจนจากแพทย์</t>
  </si>
  <si>
    <t>4. แพทย์รับฟัง/พูดคุยให้ท่านคลายความกังวลในอาการเจ็บป่วย</t>
  </si>
  <si>
    <t>5. ท่านได้มีโอกาสพูดคุยกับพยาบาลหรือเจ้าหน้าที่เรื่องอาการเจ็บป่วย</t>
  </si>
  <si>
    <t>6. พยาบาลเจ้าหน้าที่สามารถตอบข้อสงสัยได้ชัดเจน</t>
  </si>
  <si>
    <t>7. ท่านได้รับการดูแลเอาใจใส่</t>
  </si>
  <si>
    <t>8. ท่านมีส่วนร่วมในการตัดสินใจเรื่องการรักษาพยาบาล</t>
  </si>
  <si>
    <t>9. ท่านได้รับการดูแลอย่างเท่าเทียม ไม่เลือกปฏิบัติ</t>
  </si>
  <si>
    <t>10. ท่านได้รับคำแนะนำและขั้นตอนในการรับบริการโรงพยาบาล</t>
  </si>
  <si>
    <t>11. อาการเจ็บป่วยทางกายและใจได้รับการดูแลอย่างดี</t>
  </si>
  <si>
    <t>12. แพทย์เปิดโอกาสให้ผู้ป่วย/ญาติได้ซักถาม</t>
  </si>
  <si>
    <t>13. ผู้ป่วยและญาติได้รับข้อมูลการรักษาที่เป็นประโยชน์ สามารถดูแลตัวเองได้</t>
  </si>
  <si>
    <t>14. ท่านได้รับข้อมูลการใช้ยาและผลข้างเคียงอย่างชัดเจน</t>
  </si>
  <si>
    <t>15. ท่านได้รับคำแนะนำอย่างชัดเจนถึงอาการที่ควรกลับมาพบแพทย์</t>
  </si>
  <si>
    <t>16. ท่านพึงพอใจต่อการบริการของโรงพยาบาลโดยรวมในระดับใด</t>
  </si>
  <si>
    <t>การเงิน และบัญชี</t>
  </si>
  <si>
    <t>สรุปการประเมินผล OP-IP VOICE เดือนกันยายน 2567</t>
  </si>
  <si>
    <t>สรุปการประเมินผล OP-IP VOICE  เดือนกันยายน 2567</t>
  </si>
  <si>
    <t>568</t>
  </si>
  <si>
    <t>978</t>
  </si>
  <si>
    <t>50</t>
  </si>
  <si>
    <t xml:space="preserve">ค่าเฉลี่ยการแนะนำญาติหรือคนรู้จักให้มาใช้บริการที่โรงพยาบาล  OPD = 94.72% IPD = 96.22%  </t>
  </si>
  <si>
    <t xml:space="preserve"> - เจ้าหน้าที่ไม่ค่อยพยายามเข้าใจคนไข้เท่าที่ควร ถามแล้วหงุดหงิด พูดจาห้วน ๆ น่าจะใช้น้ำเสียงที่อ่อนโยน เข้าใจว่าทุกคนมีปัญหาของตัวเอง เป็นตัวของตัวเองดีค่ะ แต่อย่าเอามารวมกับการทำงาน</t>
  </si>
  <si>
    <t xml:space="preserve"> - แย่มากปล่อยให้คนปวดท้องรอนาน เรียกพยาบาลบางคนก็ชักสีหน้าใส่ ไปตั้งแต่เช้าได้หาหมอ 14:00 น. ยาก็ไม่ได้ฉีด ขอใบรับรองแพทย์จะกลับบ้านแต่ยังมาบอกให้รอหมอหลัง 4 โมงเย็นอีก</t>
  </si>
  <si>
    <t xml:space="preserve"> - ควรปรับปรุงมาก คลินิกเวชปฏิบัติชั้น 4 ไม่ควรจะเอาผู้ป่วยไปกองรวมกันขนาดนั้น</t>
  </si>
  <si>
    <t xml:space="preserve"> - การจัดคิว ไปใช้บริการโดยที่ไม่มีใบนัด ตั้งแต่ 7.30 น. การจัดคิวให้ผู้มีใบนัดก่อนประมาณเกือบร้อยคิว แล้วก็ติดเที่ยง พอเปิดมาบ่ายก็จะเรียกแต่ผู้มีใบนัดก่อน </t>
  </si>
  <si>
    <t xml:space="preserve"> - การใช้คำพูดกับคนไข้ไม่น่าฟัง อยากให้ใช้คำพูดที่ดีกว่านี้ แนะนำ</t>
  </si>
  <si>
    <t xml:space="preserve"> - รอนาน</t>
  </si>
  <si>
    <t xml:space="preserve"> - ปรับปรุงเรื่องการตรวจปัสสาวะคนท้องขึ้นลงลำบาก</t>
  </si>
  <si>
    <t xml:space="preserve"> - อยากให้ปรับปรุงเรื่องน้ำอุ่นของห้องพักรวม  อยากให้อุ่นมากกว่านี้</t>
  </si>
  <si>
    <t xml:space="preserve"> - แผนกเจาะเลือดควรอยู่ที่เดียวกัน (คลินิกฝากครรภ์ ANC)</t>
  </si>
  <si>
    <t xml:space="preserve"> - จุดเจาะเลือดอยู่คนละชั้น  (คลินิกฝากครรภ์ ANC)</t>
  </si>
  <si>
    <t xml:space="preserve"> - จุดลงทะเบียนมีเจ้าหน้าที่น้อยควรเพิ่มบุคลากร</t>
  </si>
  <si>
    <t xml:space="preserve"> - ขั้นตอนการส่งฉี่ เจาะเลือด ล่าช้า ต่อแถวนานมาก</t>
  </si>
  <si>
    <t xml:space="preserve"> - แต่ละจุดอยู่ค่อนข้างไกลขึ้นลงบันไดเมื่อย และลิฟท์ก็ช้า</t>
  </si>
  <si>
    <t xml:space="preserve"> - กรณีแถวยาว ควรจะเสริมเจ้าหน้าที่</t>
  </si>
  <si>
    <t xml:space="preserve"> - เพิ่ม QR Code เพื่อใช้เป็นข้อมูลการประสานงานของคนไข้กับโรงพยาบาล</t>
  </si>
  <si>
    <t xml:space="preserve"> - การบริการในช่วงกลางคืนอยากให้รวดเร็วเพิ่มขึ้นค่ะ</t>
  </si>
  <si>
    <t xml:space="preserve"> - ใช้เวลาเยอะไปหน่อยค่ะ</t>
  </si>
  <si>
    <t xml:space="preserve"> - การซักประวัติไม่เป็นส่วนตัว  (HBO)</t>
  </si>
  <si>
    <t xml:space="preserve"> - ควรมีนาฬิกาในห้อง (SICU)</t>
  </si>
  <si>
    <t xml:space="preserve"> - ควรอบรมพนักงานให้ปฏิบัติกับผู้มาใช้บริการดุจญาติมิตรและเต็มใจในการให้บริการไม่ใช่ทำงานเหมือนกับโดนบังคับมาและแยกเขี้ยวพร้อมจะกัดผู้ที่มาให้บริการตลอดเวลา </t>
  </si>
  <si>
    <t xml:space="preserve">   เจ้าหน้าที่ที่ไม่พอใจไม่ทราบชื่อแต่ทำงานที่คือห้องปลอดเชื้อทารกแรกคลอด ประสบการณ์ครั้งนี้ที่เจอทำให้ครอบครัวเรารู้ว่าที่เข้าใจมาตลอดว่าโรงพยาบาลเอกชนดีกว่าโรงพยาบาลของรัฐ</t>
  </si>
  <si>
    <t xml:space="preserve"> - สิ่งที่ควรปรับปรุงคือเรื่องของห้องน้ำ  การเข้าห้องน้ำค่อนข้างลำบากมากต้องบอกเจ้าหน้าที่ทุกครั้งซึ่งบางครั้งก็เกรงใจเพราะต้องรบกวนการทำงานของเจ้าหน้าที่ขณะปฏิบัติงาน</t>
  </si>
  <si>
    <t xml:space="preserve"> - ห้องอาบน้ำน้อยไปไม่เพียงพอต่อผู้ป่วย  ควรเพิ่มห้องอาบน้ำให้มากกว่านี้ (18B)</t>
  </si>
  <si>
    <t xml:space="preserve">   จึงอยากให้ทางโรงพยาบาลพัฒนาบุคลากรเพิ่มขึ้นเรื่อย ๆ </t>
  </si>
  <si>
    <t xml:space="preserve"> - ขั้นตอนการทำเอกสารช่วงเวลาฉุกเฉินค่อนข้างช้า</t>
  </si>
  <si>
    <t xml:space="preserve">   ดูดเสมหะ คนเฝ้าไข้ก็ไม่รู้ต้องทำอย่างไรทำตัวไม่ถูก ภาพรวมดีค่ะแต่ควรปรับปรุงนิดหน่อย (18D)</t>
  </si>
  <si>
    <t xml:space="preserve"> - อาหารเย็นชืด</t>
  </si>
  <si>
    <t xml:space="preserve"> - ปรับปรุงเสียงออดที่ประตูทางเข้า เสียงดัง (19B)</t>
  </si>
  <si>
    <t xml:space="preserve"> - การใช้แสงและเสียง (19B)</t>
  </si>
  <si>
    <t xml:space="preserve"> - ขั้นตอนของการให้บริการบางแผนก  ไม่บอกขั้นตอนที่ชัดเจนผู้ป่วยและญาติผู้ป่วยไม่สามารถรู้ขั้นตอนได้ ว่าต้องไปที่ไหน หรือทำอะไรต่อ ไม่มีการชี้แจง</t>
  </si>
  <si>
    <t xml:space="preserve"> - เวลาพักผ่อนตอนกลางคืนของคนไข้ไม่เพียงพอ </t>
  </si>
  <si>
    <t xml:space="preserve"> - อาหารผู้ป่วยไม่ร้อน  ไม่มีความหลากหลายของเมนูอาหารสำหรับผู้ป่วยที่เข้าพักเป็นระยะยาว อาหารจำเจ รสชาติอาหารไม่ดี และอาหารที่เป็นเมนูปลามีความคาวเป็นอย่างมาก</t>
  </si>
  <si>
    <t xml:space="preserve">   สร้างความไม่สะดวกเป็นอย่างมาก</t>
  </si>
  <si>
    <t xml:space="preserve"> - ให้ผู้ช่วยดูดเสมหะคนไข้ (22C)</t>
  </si>
  <si>
    <t xml:space="preserve"> - บางช่วงแอร์เย็นเกินไป (22C)</t>
  </si>
  <si>
    <t xml:space="preserve"> - ควรควบคุมอารมณ์ในการรักษาผู้ป่วยเพราะบางทีผู้ป่วยอยู่ในภวังค์ที่คิดไม่ออกว่ามันเกิดอะไรขึ้นและต้องทำอะไรต่อ</t>
  </si>
  <si>
    <t xml:space="preserve"> - ร้อนไปหน่อย (22D)</t>
  </si>
  <si>
    <t xml:space="preserve"> - อยากแนะนำเรื่องเก้าอี้สำหรับนั่งรอการรับบริการของคุณแม่ตั้งครรภ์ เพราะเวลามารอคิวพบแพทย์ใช้เวลานานคุณแม่ต้องยืนเมื่อยมาก</t>
  </si>
  <si>
    <t xml:space="preserve"> - ควรขอข้าวเพิ่มได้</t>
  </si>
  <si>
    <t xml:space="preserve">   อยากให้แพทย์เชื่อคนไข้มากกว่านี้ ว่าคนไข้ปวดจริง ๆ</t>
  </si>
  <si>
    <t xml:space="preserve"> - อยากให้มีการแจ้งคนไข้ว่ามีแพทย์หรือเจ้าหน้าที่หลายท่านมาดูเคสตอนผ่าตัด</t>
  </si>
  <si>
    <t xml:space="preserve"> - อยากให้โรงพยาบาลมีการแจกแจงรายละเอียดในใบเสร็จมากกว่านี้</t>
  </si>
  <si>
    <t xml:space="preserve"> - สวิตช์ไฟหัวเตียงค่อนข้างไกล  อยากให้รวมสวิตช์ไฟที่เตียงเพื่อให้คนไข้หรือผู้ป่วยสามารถช่วยเหลือตัวเองได้ อาทิ ในกรณีที่บล็อกหลังมาไม่สามารถขยับตัวได้ การกดสวิตช์ไฟจึงลำบาก</t>
  </si>
  <si>
    <t xml:space="preserve"> - ทีวีดูไม่ได้  สัญญาณไม่มี ดูรายการทีวีได้แค่สองช่อง หรือได้แค่บางช่วงเวลา (25B) (3)</t>
  </si>
  <si>
    <t xml:space="preserve"> - ห้องไม่สะอาด  มีแมลงสาบตัวเล็กเล็ก ไม่มีแม่บ้านมาทำความสะอาดทำความสะอาด (25B)</t>
  </si>
  <si>
    <t xml:space="preserve"> - มีการให้บริการที่ดี  แต่น้อยกว่าโรงพยาบาลเอกชน</t>
  </si>
  <si>
    <t xml:space="preserve"> - ความล่าช้าในการให้บริการ</t>
  </si>
  <si>
    <t xml:space="preserve"> - ทีวีดูไม่ได้  และไม่มีช่างมาดู (26B)</t>
  </si>
  <si>
    <t xml:space="preserve"> - ห้อง B218 Return Air มีน้ำหยด ประตูห้องน้ำล็อคยาก หน้าต่างบานที่หนึ่งมีเสียงลมเข้าตลอด บนฝ้าหน้าต่างบานที่หนึ่งมีคราบน้ำเนื่องจากน้ำรั่วซึม (26B)</t>
  </si>
  <si>
    <t xml:space="preserve"> - ไม่มีห้องน้ำ  (HBO)</t>
  </si>
  <si>
    <t xml:space="preserve">   เบ็ดเสร็จแค่รับยาน่าจะใช้เวลาทั้งวัน อยากให้ปรับปรุงการจัดคิวคนมาถึงก่อน ควรจะได้รับการบริการก่อน สลับกันก็ได้กับผู้มีใบนัด นึกถึงใจคนรอบ้าง ลางานมาเสียเวลาทั้งวัน</t>
  </si>
  <si>
    <t xml:space="preserve"> - ในวันแรกมีอาการปวดท้องมาก ปวดจนนอนไม่ได้ ขอยาแก้ปวดแล้ว เป็นกลุ่ม Nsad แต่ก็แจ้งว่ายังไม่ควรฉีด สุดท้ายก็ได้ฉีดยาตอนตีห้า อาการถึงค่อยบรรเทาลงและนอนได้ </t>
  </si>
  <si>
    <r>
      <t xml:space="preserve"> - </t>
    </r>
    <r>
      <rPr>
        <sz val="16"/>
        <rFont val="TH SarabunPSK"/>
        <family val="2"/>
      </rPr>
      <t>การเข้ารับผู้ป่วยในควรมีกำหนดเวลาที่ชัดเจนกว่านี้  หรือเวลาที่ผู้ป่วยต้องออกควรมีกำหนดเวลาที่ชัดเจน อาทิ ต้องออกจากการแอดมิดภายในเวลา 14.00 น. หรืออื่น ๆ เพราะมีผู้ป่วยที่ต้องนอนรอห้องอีกมาก</t>
    </r>
  </si>
  <si>
    <t>อันดับ 1 การให้บริการโดยรวม (OPD : 13 IPD : 17 )</t>
  </si>
  <si>
    <t>อันดับ 2 อุปกรณ์ เครื่องมือ และสถานที่ไม่สมบูรณ์ (OPD : 6  IPD : 13 )</t>
  </si>
  <si>
    <t>อันดับ 3 การทำงานและพฤติกรรมของบุคลากร (OPD : 2 IPD : 5 )</t>
  </si>
  <si>
    <t xml:space="preserve"> - ควรมีรายละเอียดชี้แจงให้ผู้ป่วยและ ญาติได้รับข้อมูลเบื้องต้น ในแต่ละวันควรมีของใช้อะไรบ้างให้เพียงพอต่อการแอดมิหนึ่งครั้ง อะไรบ้างที่สามารถนำกลับบ้านได้หลังออกจากโรงพยาบาล</t>
  </si>
  <si>
    <t xml:space="preserve">ค่าเฉลี่ยความพึงพอใจการใช้บริการของโรงพยาบาล OPD =  86.92% IPD = 91.12%  </t>
  </si>
  <si>
    <t xml:space="preserve"> - ควรมีถุงใส่ยา เพราะจำนวนยาที่เยอะอาจตก ร่วงหาย</t>
  </si>
  <si>
    <t xml:space="preserve"> - การทำบัตรควรทำให้ชัดเจนว่าให้ไปที่ชั้นไหน เพราะเสียเวลาในการขึ้นลงในการยื่นเอกสาร เก็บปัสสาวะ เจาะเลือด ทำให้ทุกอย่างล่าช้า</t>
  </si>
  <si>
    <t xml:space="preserve"> - เตียงที่ D5-05 ไม่มีผ้าม่านกั้น (19D)</t>
  </si>
  <si>
    <t xml:space="preserve"> - สิ่งที่อยากแนะนำเพิ่มเติมคือการมีบุคลากรที่ดีทั้งกายและใจจะทำให้บุคลากรทำงานได้ดีขึ้น  ส่งผลทางด้านอารมณ์และสุขภาพจิตของผู้มาใช้บริการ </t>
  </si>
  <si>
    <t xml:space="preserve"> - การล็อคประตูแล้วไม่มีกริ่งกดหน้าห้อง การบริการควรดีกว่านี้ ตอนนี้ก็ดีอยู่แล้วแต่อยากให้ดียิ่งขึ้นเพราะค่ารักษาก็แพง ส่วนมากคนไข้เหมือนมาบริการตัวเอง ทั้งเรื่องการพ่นยา ล้างจมูก </t>
  </si>
  <si>
    <t xml:space="preserve"> - ควรปรับปรุงพัฒนาเรื่องระบบการเงินอยากให้มีเครื่องรูดบัตรคนไข้ที่ตึก กรณีคนไข้แอดมิดเนื่องจากเกิดเหตุการณ์คนไข้ใส่ออกซิเจนแล้วต้องย้ายเตียงเพื่อขึ้นไปจ่ายเงิน  </t>
  </si>
  <si>
    <t xml:space="preserve">   หรือของสภากาชาดทั้งที่เราจ่ายเงินเหมือนกันนั้นถูกต้องและหลังจากนี้จะไม่แนะนำให้คนรู้จักมาใช้บริการที่นี่แบบเกิน 100% </t>
  </si>
  <si>
    <t xml:space="preserve"> - อาหารไม่น่าทาน  ซ้ำ ๆ ไม่อร่อย ขอเมนูปลาแต่ก็ไม่ได้มีแต่ไก่กับหมู ทานแล้วไขมันสูง</t>
  </si>
  <si>
    <t xml:space="preserve"> - ควรมีจุดเจาะเลือด สำหรับคุณแม่ที่ตั้งครรภ์ ต้องขึ้นลงระหว่างชั้น 4 และชั้น 6 สร้างความลำบาก (คลินิกฝากครรภ์ ANC)</t>
  </si>
  <si>
    <t>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</si>
</sst>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##0.00"/>
  </numFmts>
  <fonts count="30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b/>
      <sz val="12"/>
      <color rgb="FF000000"/>
      <name val="TH SarabunPSK"/>
      <family val="2"/>
      <charset val="222"/>
    </font>
    <font>
      <b/>
      <sz val="18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3" fillId="0" borderId="0"/>
    <xf numFmtId="0" fontId="22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87" fontId="19" fillId="0" borderId="1" xfId="11" applyNumberFormat="1" applyFont="1" applyBorder="1" applyAlignment="1">
      <alignment horizontal="center" vertical="center"/>
    </xf>
    <xf numFmtId="187" fontId="19" fillId="0" borderId="1" xfId="13" applyNumberFormat="1" applyFont="1" applyBorder="1" applyAlignment="1">
      <alignment horizontal="center" vertical="center"/>
    </xf>
    <xf numFmtId="2" fontId="21" fillId="6" borderId="1" xfId="0" applyNumberFormat="1" applyFont="1" applyFill="1" applyBorder="1" applyAlignment="1">
      <alignment horizontal="center" vertical="center" wrapText="1"/>
    </xf>
    <xf numFmtId="187" fontId="18" fillId="0" borderId="1" xfId="12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5" fillId="0" borderId="7" xfId="16" applyFont="1" applyBorder="1" applyAlignment="1">
      <alignment horizontal="center" vertical="center"/>
    </xf>
    <xf numFmtId="0" fontId="25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187" fontId="19" fillId="7" borderId="1" xfId="14" applyNumberFormat="1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187" fontId="19" fillId="7" borderId="1" xfId="12" applyNumberFormat="1" applyFont="1" applyFill="1" applyBorder="1" applyAlignment="1">
      <alignment horizontal="center" vertical="center"/>
    </xf>
    <xf numFmtId="49" fontId="26" fillId="0" borderId="0" xfId="0" applyNumberFormat="1" applyFont="1" applyAlignment="1">
      <alignment vertical="center"/>
    </xf>
    <xf numFmtId="49" fontId="5" fillId="0" borderId="0" xfId="0" applyNumberFormat="1" applyFont="1"/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5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2" fontId="19" fillId="6" borderId="1" xfId="14" applyNumberFormat="1" applyFont="1" applyFill="1" applyBorder="1" applyAlignment="1">
      <alignment horizontal="center" vertical="center" wrapText="1"/>
    </xf>
    <xf numFmtId="187" fontId="16" fillId="7" borderId="4" xfId="10" applyNumberFormat="1" applyFill="1" applyBorder="1" applyAlignment="1">
      <alignment horizontal="center" vertical="center"/>
    </xf>
    <xf numFmtId="2" fontId="19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187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/>
    <xf numFmtId="2" fontId="27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187" fontId="19" fillId="0" borderId="1" xfId="12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87" fontId="27" fillId="0" borderId="1" xfId="11" applyNumberFormat="1" applyFont="1" applyBorder="1" applyAlignment="1">
      <alignment horizontal="center" vertical="center"/>
    </xf>
    <xf numFmtId="187" fontId="14" fillId="7" borderId="4" xfId="10" applyNumberFormat="1" applyFont="1" applyFill="1" applyBorder="1" applyAlignment="1">
      <alignment horizontal="center" vertical="center"/>
    </xf>
    <xf numFmtId="49" fontId="14" fillId="7" borderId="0" xfId="0" applyNumberFormat="1" applyFont="1" applyFill="1" applyAlignment="1">
      <alignment vertical="center"/>
    </xf>
    <xf numFmtId="0" fontId="28" fillId="2" borderId="1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</cellXfs>
  <cellStyles count="18">
    <cellStyle name="Normal_IPD November" xfId="12" xr:uid="{00000000-0005-0000-0000-000001000000}"/>
    <cellStyle name="Normal_IPD_1" xfId="13" xr:uid="{00000000-0005-0000-0000-000002000000}"/>
    <cellStyle name="Normal_OPD August" xfId="11" xr:uid="{00000000-0005-0000-0000-000003000000}"/>
    <cellStyle name="Normal_OPD July" xfId="10" xr:uid="{00000000-0005-0000-0000-000004000000}"/>
    <cellStyle name="Normal_OPD_1" xfId="14" xr:uid="{00000000-0005-0000-0000-000005000000}"/>
    <cellStyle name="style1683707694983" xfId="1" xr:uid="{00000000-0005-0000-0000-000006000000}"/>
    <cellStyle name="style1683707695268" xfId="2" xr:uid="{00000000-0005-0000-0000-000007000000}"/>
    <cellStyle name="style1683707695497" xfId="3" xr:uid="{00000000-0005-0000-0000-000008000000}"/>
    <cellStyle name="style1683873781043" xfId="4" xr:uid="{00000000-0005-0000-0000-000009000000}"/>
    <cellStyle name="style1683873781293" xfId="5" xr:uid="{00000000-0005-0000-0000-00000A000000}"/>
    <cellStyle name="style1683873781509" xfId="6" xr:uid="{00000000-0005-0000-0000-00000B000000}"/>
    <cellStyle name="style1690951585398" xfId="8" xr:uid="{00000000-0005-0000-0000-00000C000000}"/>
    <cellStyle name="style1690951585625" xfId="9" xr:uid="{00000000-0005-0000-0000-00000D000000}"/>
    <cellStyle name="style1690951585802" xfId="7" xr:uid="{00000000-0005-0000-0000-00000E000000}"/>
    <cellStyle name="ปกติ" xfId="0" builtinId="0"/>
    <cellStyle name="ปกติ 2" xfId="16" xr:uid="{00000000-0005-0000-0000-00000F000000}"/>
    <cellStyle name="ปกติ 3" xfId="17" xr:uid="{00000000-0005-0000-0000-000010000000}"/>
    <cellStyle name="ปกติ 4" xfId="15" xr:uid="{00000000-0005-0000-0000-000011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topLeftCell="A67" zoomScaleNormal="100" zoomScaleSheetLayoutView="80" workbookViewId="0">
      <selection activeCell="H40" sqref="H40"/>
    </sheetView>
  </sheetViews>
  <sheetFormatPr defaultColWidth="9" defaultRowHeight="21"/>
  <cols>
    <col min="1" max="1" width="62.625" style="4" customWidth="1"/>
    <col min="2" max="2" width="9" style="4" customWidth="1"/>
    <col min="3" max="4" width="9" style="3"/>
    <col min="5" max="5" width="9.375" style="3" bestFit="1" customWidth="1"/>
    <col min="6" max="6" width="9.625" style="3" customWidth="1"/>
    <col min="7" max="7" width="9.75" style="3" bestFit="1" customWidth="1"/>
    <col min="8" max="8" width="9" style="3"/>
    <col min="9" max="9" width="9.625" style="3" bestFit="1" customWidth="1"/>
    <col min="10" max="12" width="9" style="3"/>
    <col min="13" max="13" width="10.75" style="3" customWidth="1"/>
    <col min="14" max="14" width="10.125" style="3" bestFit="1" customWidth="1"/>
    <col min="15" max="16384" width="9" style="3"/>
  </cols>
  <sheetData>
    <row r="1" spans="1:17" s="14" customFormat="1" ht="49.7" customHeight="1">
      <c r="A1" s="89" t="s">
        <v>93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</row>
    <row r="2" spans="1:17" s="14" customFormat="1" ht="49.7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spans="1:17" s="2" customFormat="1" ht="54.75" customHeight="1">
      <c r="A3" s="6" t="s">
        <v>0</v>
      </c>
      <c r="B3" s="86" t="s">
        <v>71</v>
      </c>
      <c r="C3" s="86" t="s">
        <v>74</v>
      </c>
      <c r="D3" s="86" t="s">
        <v>69</v>
      </c>
      <c r="E3" s="1" t="s">
        <v>2</v>
      </c>
      <c r="F3" s="1" t="s">
        <v>58</v>
      </c>
      <c r="G3" s="1" t="s">
        <v>64</v>
      </c>
      <c r="H3" s="1" t="s">
        <v>59</v>
      </c>
      <c r="I3" s="1" t="s">
        <v>3</v>
      </c>
      <c r="J3" s="1" t="s">
        <v>4</v>
      </c>
      <c r="K3" s="1" t="s">
        <v>61</v>
      </c>
      <c r="L3" s="1" t="s">
        <v>50</v>
      </c>
      <c r="M3" s="1" t="s">
        <v>44</v>
      </c>
      <c r="N3" s="1" t="s">
        <v>5</v>
      </c>
      <c r="O3" s="1" t="s">
        <v>66</v>
      </c>
      <c r="P3" s="1" t="s">
        <v>62</v>
      </c>
      <c r="Q3" s="1" t="s">
        <v>70</v>
      </c>
    </row>
    <row r="4" spans="1:17" s="82" customFormat="1" ht="24.75" customHeight="1">
      <c r="A4" s="79" t="s">
        <v>9</v>
      </c>
      <c r="B4" s="26">
        <v>3</v>
      </c>
      <c r="C4" s="26">
        <v>4</v>
      </c>
      <c r="D4" s="80">
        <v>1</v>
      </c>
      <c r="E4" s="81">
        <v>6</v>
      </c>
      <c r="F4" s="80">
        <v>6</v>
      </c>
      <c r="G4" s="80">
        <v>21</v>
      </c>
      <c r="H4" s="63" t="s">
        <v>67</v>
      </c>
      <c r="I4" s="80">
        <v>1</v>
      </c>
      <c r="J4" s="80">
        <v>28</v>
      </c>
      <c r="K4" s="80">
        <v>1</v>
      </c>
      <c r="L4" s="80">
        <v>107</v>
      </c>
      <c r="M4" s="80">
        <v>12</v>
      </c>
      <c r="N4" s="80">
        <v>188</v>
      </c>
      <c r="O4" s="80">
        <v>1</v>
      </c>
      <c r="P4" s="80">
        <v>2</v>
      </c>
      <c r="Q4" s="80" t="s">
        <v>67</v>
      </c>
    </row>
    <row r="5" spans="1:17" s="2" customFormat="1" ht="24" customHeight="1">
      <c r="A5" s="8" t="s">
        <v>76</v>
      </c>
      <c r="B5" s="25">
        <v>5</v>
      </c>
      <c r="C5" s="25">
        <v>5</v>
      </c>
      <c r="D5" s="87">
        <v>5</v>
      </c>
      <c r="E5" s="31">
        <v>4.1666666666666661</v>
      </c>
      <c r="F5" s="77">
        <v>4.833333333333333</v>
      </c>
      <c r="G5" s="25">
        <v>3.8571428571428572</v>
      </c>
      <c r="H5" s="87" t="s">
        <v>67</v>
      </c>
      <c r="I5" s="21">
        <v>5</v>
      </c>
      <c r="J5" s="21">
        <v>4.6785714285714279</v>
      </c>
      <c r="K5" s="21">
        <v>2</v>
      </c>
      <c r="L5" s="21">
        <v>4.3457943925233637</v>
      </c>
      <c r="M5" s="21">
        <v>4.0833333333333321</v>
      </c>
      <c r="N5" s="21">
        <v>4.2553191489361675</v>
      </c>
      <c r="O5" s="25">
        <v>5</v>
      </c>
      <c r="P5" s="77">
        <v>5</v>
      </c>
      <c r="Q5" s="87" t="s">
        <v>67</v>
      </c>
    </row>
    <row r="6" spans="1:17" s="2" customFormat="1" ht="24" customHeight="1">
      <c r="A6" s="8" t="s">
        <v>77</v>
      </c>
      <c r="B6" s="25">
        <v>4.666666666666667</v>
      </c>
      <c r="C6" s="25">
        <v>4.75</v>
      </c>
      <c r="D6" s="87">
        <v>5</v>
      </c>
      <c r="E6" s="31">
        <v>4.1666666666666661</v>
      </c>
      <c r="F6" s="77">
        <v>4.833333333333333</v>
      </c>
      <c r="G6" s="25">
        <v>3.9047619047619051</v>
      </c>
      <c r="H6" s="87" t="s">
        <v>67</v>
      </c>
      <c r="I6" s="21">
        <v>5</v>
      </c>
      <c r="J6" s="21">
        <v>4.6071428571428577</v>
      </c>
      <c r="K6" s="21">
        <v>1</v>
      </c>
      <c r="L6" s="21">
        <v>4.3457943925233637</v>
      </c>
      <c r="M6" s="21">
        <v>3.9999999999999996</v>
      </c>
      <c r="N6" s="21">
        <v>4.3510638297872317</v>
      </c>
      <c r="O6" s="25">
        <v>5</v>
      </c>
      <c r="P6" s="77">
        <v>5</v>
      </c>
      <c r="Q6" s="87" t="s">
        <v>67</v>
      </c>
    </row>
    <row r="7" spans="1:17" s="2" customFormat="1" ht="24" customHeight="1">
      <c r="A7" s="8" t="s">
        <v>78</v>
      </c>
      <c r="B7" s="25">
        <v>5</v>
      </c>
      <c r="C7" s="25">
        <v>4.75</v>
      </c>
      <c r="D7" s="87">
        <v>5</v>
      </c>
      <c r="E7" s="31">
        <v>4.1666666666666661</v>
      </c>
      <c r="F7" s="77">
        <v>4.6666666666666661</v>
      </c>
      <c r="G7" s="25">
        <v>3.9523809523809526</v>
      </c>
      <c r="H7" s="87" t="s">
        <v>67</v>
      </c>
      <c r="I7" s="21">
        <v>5</v>
      </c>
      <c r="J7" s="21">
        <v>4.6071428571428568</v>
      </c>
      <c r="K7" s="21">
        <v>1</v>
      </c>
      <c r="L7" s="21">
        <v>4.3457943925233655</v>
      </c>
      <c r="M7" s="21">
        <v>4.1666666666666661</v>
      </c>
      <c r="N7" s="21">
        <v>4.2393617021276633</v>
      </c>
      <c r="O7" s="25">
        <v>5</v>
      </c>
      <c r="P7" s="77">
        <v>5</v>
      </c>
      <c r="Q7" s="87" t="s">
        <v>67</v>
      </c>
    </row>
    <row r="8" spans="1:17" s="2" customFormat="1" ht="24" customHeight="1">
      <c r="A8" s="8" t="s">
        <v>79</v>
      </c>
      <c r="B8" s="25">
        <v>4.666666666666667</v>
      </c>
      <c r="C8" s="25">
        <v>5</v>
      </c>
      <c r="D8" s="87">
        <v>5</v>
      </c>
      <c r="E8" s="31">
        <v>3.9999999999999996</v>
      </c>
      <c r="F8" s="77">
        <v>4.833333333333333</v>
      </c>
      <c r="G8" s="25">
        <v>4</v>
      </c>
      <c r="H8" s="87" t="s">
        <v>67</v>
      </c>
      <c r="I8" s="21">
        <v>5</v>
      </c>
      <c r="J8" s="21">
        <v>4.6071428571428568</v>
      </c>
      <c r="K8" s="21">
        <v>1</v>
      </c>
      <c r="L8" s="21">
        <v>4.4018691588785037</v>
      </c>
      <c r="M8" s="21">
        <v>3.9999999999999996</v>
      </c>
      <c r="N8" s="21">
        <v>4.2446808510638308</v>
      </c>
      <c r="O8" s="25">
        <v>5</v>
      </c>
      <c r="P8" s="77">
        <v>5</v>
      </c>
      <c r="Q8" s="87" t="s">
        <v>67</v>
      </c>
    </row>
    <row r="9" spans="1:17" s="2" customFormat="1" ht="24" customHeight="1">
      <c r="A9" s="8" t="s">
        <v>80</v>
      </c>
      <c r="B9" s="25">
        <v>5</v>
      </c>
      <c r="C9" s="25">
        <v>4.75</v>
      </c>
      <c r="D9" s="87">
        <v>5</v>
      </c>
      <c r="E9" s="31">
        <v>3.8333333333333335</v>
      </c>
      <c r="F9" s="77">
        <v>4.6666666666666661</v>
      </c>
      <c r="G9" s="25">
        <v>3.714285714285714</v>
      </c>
      <c r="H9" s="87" t="s">
        <v>67</v>
      </c>
      <c r="I9" s="21">
        <v>3</v>
      </c>
      <c r="J9" s="21">
        <v>4.4642857142857135</v>
      </c>
      <c r="K9" s="21">
        <v>1</v>
      </c>
      <c r="L9" s="21">
        <v>4.2897196261682238</v>
      </c>
      <c r="M9" s="21">
        <v>3.9166666666666665</v>
      </c>
      <c r="N9" s="21">
        <v>4.1914893617021276</v>
      </c>
      <c r="O9" s="25">
        <v>5</v>
      </c>
      <c r="P9" s="77">
        <v>5</v>
      </c>
      <c r="Q9" s="87" t="s">
        <v>67</v>
      </c>
    </row>
    <row r="10" spans="1:17" s="2" customFormat="1" ht="24" customHeight="1">
      <c r="A10" s="8" t="s">
        <v>81</v>
      </c>
      <c r="B10" s="25">
        <v>5</v>
      </c>
      <c r="C10" s="25">
        <v>4.75</v>
      </c>
      <c r="D10" s="87">
        <v>5</v>
      </c>
      <c r="E10" s="31">
        <v>3.8333333333333335</v>
      </c>
      <c r="F10" s="77">
        <v>4.3333333333333339</v>
      </c>
      <c r="G10" s="25">
        <v>3.7142857142857144</v>
      </c>
      <c r="H10" s="87" t="s">
        <v>67</v>
      </c>
      <c r="I10" s="21">
        <v>3</v>
      </c>
      <c r="J10" s="21">
        <v>4.4642857142857135</v>
      </c>
      <c r="K10" s="21">
        <v>2</v>
      </c>
      <c r="L10" s="21">
        <v>4.2803738317756999</v>
      </c>
      <c r="M10" s="21">
        <v>4.1666666666666661</v>
      </c>
      <c r="N10" s="21">
        <v>4.2978723404255295</v>
      </c>
      <c r="O10" s="25">
        <v>5</v>
      </c>
      <c r="P10" s="77">
        <v>5</v>
      </c>
      <c r="Q10" s="87" t="s">
        <v>67</v>
      </c>
    </row>
    <row r="11" spans="1:17" s="2" customFormat="1" ht="24" customHeight="1">
      <c r="A11" s="8" t="s">
        <v>82</v>
      </c>
      <c r="B11" s="25">
        <v>5</v>
      </c>
      <c r="C11" s="25">
        <v>5</v>
      </c>
      <c r="D11" s="87">
        <v>5</v>
      </c>
      <c r="E11" s="31">
        <v>3.9999999999999996</v>
      </c>
      <c r="F11" s="77">
        <v>4.5</v>
      </c>
      <c r="G11" s="25">
        <v>3.666666666666667</v>
      </c>
      <c r="H11" s="87" t="s">
        <v>67</v>
      </c>
      <c r="I11" s="21">
        <v>4</v>
      </c>
      <c r="J11" s="21">
        <v>4.6428571428571432</v>
      </c>
      <c r="K11" s="21">
        <v>1</v>
      </c>
      <c r="L11" s="21">
        <v>4.2897196261682238</v>
      </c>
      <c r="M11" s="21">
        <v>3.833333333333333</v>
      </c>
      <c r="N11" s="21">
        <v>4.2499999999999991</v>
      </c>
      <c r="O11" s="25">
        <v>5</v>
      </c>
      <c r="P11" s="77">
        <v>5</v>
      </c>
      <c r="Q11" s="87" t="s">
        <v>67</v>
      </c>
    </row>
    <row r="12" spans="1:17" s="2" customFormat="1" ht="24" customHeight="1">
      <c r="A12" s="8" t="s">
        <v>83</v>
      </c>
      <c r="B12" s="25">
        <v>4.666666666666667</v>
      </c>
      <c r="C12" s="25">
        <v>4.75</v>
      </c>
      <c r="D12" s="87">
        <v>5</v>
      </c>
      <c r="E12" s="31">
        <v>3.8333333333333335</v>
      </c>
      <c r="F12" s="77">
        <v>4.6666666666666661</v>
      </c>
      <c r="G12" s="25">
        <v>3.7619047619047614</v>
      </c>
      <c r="H12" s="87" t="s">
        <v>67</v>
      </c>
      <c r="I12" s="21">
        <v>5</v>
      </c>
      <c r="J12" s="21">
        <v>4.6071428571428559</v>
      </c>
      <c r="K12" s="21">
        <v>1</v>
      </c>
      <c r="L12" s="21">
        <v>4.2523364485981325</v>
      </c>
      <c r="M12" s="21">
        <v>3.833333333333333</v>
      </c>
      <c r="N12" s="21">
        <v>4.2127659574468082</v>
      </c>
      <c r="O12" s="25">
        <v>5</v>
      </c>
      <c r="P12" s="77">
        <v>5</v>
      </c>
      <c r="Q12" s="87" t="s">
        <v>67</v>
      </c>
    </row>
    <row r="13" spans="1:17" s="2" customFormat="1" ht="24" customHeight="1">
      <c r="A13" s="8" t="s">
        <v>84</v>
      </c>
      <c r="B13" s="25">
        <v>5</v>
      </c>
      <c r="C13" s="25">
        <v>4.75</v>
      </c>
      <c r="D13" s="87">
        <v>5</v>
      </c>
      <c r="E13" s="31">
        <v>3.8333333333333335</v>
      </c>
      <c r="F13" s="77">
        <v>4.5</v>
      </c>
      <c r="G13" s="25">
        <v>3.8095238095238093</v>
      </c>
      <c r="H13" s="87" t="s">
        <v>67</v>
      </c>
      <c r="I13" s="21">
        <v>5</v>
      </c>
      <c r="J13" s="21">
        <v>4.4999999999999991</v>
      </c>
      <c r="K13" s="21">
        <v>2</v>
      </c>
      <c r="L13" s="21">
        <v>4.3457943925233637</v>
      </c>
      <c r="M13" s="21">
        <v>4.0000000000000009</v>
      </c>
      <c r="N13" s="21">
        <v>4.3031914893617014</v>
      </c>
      <c r="O13" s="25">
        <v>5</v>
      </c>
      <c r="P13" s="77">
        <v>5</v>
      </c>
      <c r="Q13" s="87" t="s">
        <v>67</v>
      </c>
    </row>
    <row r="14" spans="1:17" s="2" customFormat="1" ht="24" customHeight="1">
      <c r="A14" s="8" t="s">
        <v>85</v>
      </c>
      <c r="B14" s="25">
        <v>5</v>
      </c>
      <c r="C14" s="25">
        <v>4.75</v>
      </c>
      <c r="D14" s="87">
        <v>5</v>
      </c>
      <c r="E14" s="31">
        <v>3.8333333333333335</v>
      </c>
      <c r="F14" s="77">
        <v>4.3333333333333339</v>
      </c>
      <c r="G14" s="25">
        <v>3.8095238095238093</v>
      </c>
      <c r="H14" s="87" t="s">
        <v>67</v>
      </c>
      <c r="I14" s="21">
        <v>5</v>
      </c>
      <c r="J14" s="21">
        <v>4.5714285714285703</v>
      </c>
      <c r="K14" s="21">
        <v>2</v>
      </c>
      <c r="L14" s="21">
        <v>4.3084112149532698</v>
      </c>
      <c r="M14" s="21">
        <v>3.9166666666666665</v>
      </c>
      <c r="N14" s="21">
        <v>4.3031914893617005</v>
      </c>
      <c r="O14" s="25">
        <v>5</v>
      </c>
      <c r="P14" s="77">
        <v>5</v>
      </c>
      <c r="Q14" s="87" t="s">
        <v>67</v>
      </c>
    </row>
    <row r="15" spans="1:17" s="2" customFormat="1" ht="24" customHeight="1">
      <c r="A15" s="8" t="s">
        <v>86</v>
      </c>
      <c r="B15" s="25">
        <v>5</v>
      </c>
      <c r="C15" s="25">
        <v>4.5</v>
      </c>
      <c r="D15" s="87">
        <v>5</v>
      </c>
      <c r="E15" s="31">
        <v>3.9999999999999996</v>
      </c>
      <c r="F15" s="77">
        <v>4.6666666666666661</v>
      </c>
      <c r="G15" s="25">
        <v>3.8095238095238093</v>
      </c>
      <c r="H15" s="87" t="s">
        <v>67</v>
      </c>
      <c r="I15" s="21">
        <v>5</v>
      </c>
      <c r="J15" s="21">
        <v>4.6071428571428559</v>
      </c>
      <c r="K15" s="21">
        <v>1</v>
      </c>
      <c r="L15" s="21">
        <v>4.3364485981308425</v>
      </c>
      <c r="M15" s="21">
        <v>4.1666666666666661</v>
      </c>
      <c r="N15" s="21">
        <v>4.2712765957446832</v>
      </c>
      <c r="O15" s="25">
        <v>5</v>
      </c>
      <c r="P15" s="77">
        <v>5</v>
      </c>
      <c r="Q15" s="87" t="s">
        <v>67</v>
      </c>
    </row>
    <row r="16" spans="1:17" s="2" customFormat="1" ht="24" customHeight="1">
      <c r="A16" s="8" t="s">
        <v>87</v>
      </c>
      <c r="B16" s="25">
        <v>5</v>
      </c>
      <c r="C16" s="25">
        <v>5</v>
      </c>
      <c r="D16" s="87">
        <v>5</v>
      </c>
      <c r="E16" s="31">
        <v>4.1666666666666661</v>
      </c>
      <c r="F16" s="77">
        <v>4.833333333333333</v>
      </c>
      <c r="G16" s="25">
        <v>3.8571428571428572</v>
      </c>
      <c r="H16" s="87" t="s">
        <v>67</v>
      </c>
      <c r="I16" s="21">
        <v>5</v>
      </c>
      <c r="J16" s="21">
        <v>4.6428571428571423</v>
      </c>
      <c r="K16" s="21">
        <v>1</v>
      </c>
      <c r="L16" s="21">
        <v>4.3177570093457938</v>
      </c>
      <c r="M16" s="21">
        <v>4.1666666666666661</v>
      </c>
      <c r="N16" s="21">
        <v>4.2712765957446814</v>
      </c>
      <c r="O16" s="25">
        <v>5</v>
      </c>
      <c r="P16" s="77">
        <v>5</v>
      </c>
      <c r="Q16" s="87" t="s">
        <v>67</v>
      </c>
    </row>
    <row r="17" spans="1:18" s="2" customFormat="1" ht="24" customHeight="1">
      <c r="A17" s="8" t="s">
        <v>88</v>
      </c>
      <c r="B17" s="25">
        <v>5</v>
      </c>
      <c r="C17" s="25">
        <v>5</v>
      </c>
      <c r="D17" s="87">
        <v>5</v>
      </c>
      <c r="E17" s="31">
        <v>4.333333333333333</v>
      </c>
      <c r="F17" s="77">
        <v>4.833333333333333</v>
      </c>
      <c r="G17" s="25">
        <v>3.8571428571428572</v>
      </c>
      <c r="H17" s="87" t="s">
        <v>67</v>
      </c>
      <c r="I17" s="21">
        <v>4</v>
      </c>
      <c r="J17" s="21">
        <v>4.5</v>
      </c>
      <c r="K17" s="21">
        <v>2</v>
      </c>
      <c r="L17" s="21">
        <v>4.3364485981308407</v>
      </c>
      <c r="M17" s="21">
        <v>3.833333333333333</v>
      </c>
      <c r="N17" s="21">
        <v>4.2872340425531927</v>
      </c>
      <c r="O17" s="25">
        <v>5</v>
      </c>
      <c r="P17" s="77">
        <v>5</v>
      </c>
      <c r="Q17" s="87" t="s">
        <v>67</v>
      </c>
    </row>
    <row r="18" spans="1:18" s="2" customFormat="1" ht="24" customHeight="1">
      <c r="A18" s="8" t="s">
        <v>89</v>
      </c>
      <c r="B18" s="25">
        <v>4.333333333333333</v>
      </c>
      <c r="C18" s="25">
        <v>4</v>
      </c>
      <c r="D18" s="87">
        <v>5</v>
      </c>
      <c r="E18" s="31">
        <v>4.1666666666666661</v>
      </c>
      <c r="F18" s="77">
        <v>4.833333333333333</v>
      </c>
      <c r="G18" s="25">
        <v>3.9047619047619047</v>
      </c>
      <c r="H18" s="87" t="s">
        <v>67</v>
      </c>
      <c r="I18" s="21">
        <v>5</v>
      </c>
      <c r="J18" s="21">
        <v>4.5357142857142856</v>
      </c>
      <c r="K18" s="21">
        <v>1</v>
      </c>
      <c r="L18" s="21">
        <v>4.3271028037383168</v>
      </c>
      <c r="M18" s="21">
        <v>3.9166666666666665</v>
      </c>
      <c r="N18" s="21">
        <v>4.2819148936170217</v>
      </c>
      <c r="O18" s="25">
        <v>5</v>
      </c>
      <c r="P18" s="77">
        <v>4.5</v>
      </c>
      <c r="Q18" s="87" t="s">
        <v>67</v>
      </c>
    </row>
    <row r="19" spans="1:18" s="2" customFormat="1" ht="24" customHeight="1">
      <c r="A19" s="8" t="s">
        <v>90</v>
      </c>
      <c r="B19" s="25">
        <v>4.333333333333333</v>
      </c>
      <c r="C19" s="25">
        <v>4.75</v>
      </c>
      <c r="D19" s="87">
        <v>5</v>
      </c>
      <c r="E19" s="31">
        <v>4.1666666666666661</v>
      </c>
      <c r="F19" s="77">
        <v>5</v>
      </c>
      <c r="G19" s="25">
        <v>4</v>
      </c>
      <c r="H19" s="87" t="s">
        <v>67</v>
      </c>
      <c r="I19" s="21">
        <v>5</v>
      </c>
      <c r="J19" s="21">
        <v>4.5714285714285712</v>
      </c>
      <c r="K19" s="21">
        <v>2</v>
      </c>
      <c r="L19" s="21">
        <v>4.3551401869158894</v>
      </c>
      <c r="M19" s="21">
        <v>4.1666666666666661</v>
      </c>
      <c r="N19" s="21">
        <v>4.3244680851063819</v>
      </c>
      <c r="O19" s="25">
        <v>5</v>
      </c>
      <c r="P19" s="77">
        <v>5</v>
      </c>
      <c r="Q19" s="87" t="s">
        <v>67</v>
      </c>
    </row>
    <row r="20" spans="1:18" s="2" customFormat="1" ht="24" customHeight="1">
      <c r="A20" s="8" t="s">
        <v>91</v>
      </c>
      <c r="B20" s="25">
        <v>4.666666666666667</v>
      </c>
      <c r="C20" s="25">
        <v>4.75</v>
      </c>
      <c r="D20" s="87">
        <v>5</v>
      </c>
      <c r="E20" s="31">
        <v>4.333333333333333</v>
      </c>
      <c r="F20" s="77">
        <v>4.6666666666666661</v>
      </c>
      <c r="G20" s="25">
        <v>3.714285714285714</v>
      </c>
      <c r="H20" s="87" t="s">
        <v>67</v>
      </c>
      <c r="I20" s="21">
        <v>5</v>
      </c>
      <c r="J20" s="21">
        <v>4.5357142857142856</v>
      </c>
      <c r="K20" s="21">
        <v>1</v>
      </c>
      <c r="L20" s="21">
        <v>4.3738317757009328</v>
      </c>
      <c r="M20" s="21">
        <v>4.0000000000000009</v>
      </c>
      <c r="N20" s="21">
        <v>4.3085106382978706</v>
      </c>
      <c r="O20" s="25">
        <v>5</v>
      </c>
      <c r="P20" s="77">
        <v>5</v>
      </c>
      <c r="Q20" s="87" t="s">
        <v>67</v>
      </c>
    </row>
    <row r="21" spans="1:18" s="2" customFormat="1" ht="24" customHeight="1">
      <c r="A21" s="16" t="s">
        <v>10</v>
      </c>
      <c r="B21" s="25">
        <v>4.833333333333333</v>
      </c>
      <c r="C21" s="25">
        <v>4.765625</v>
      </c>
      <c r="D21" s="87">
        <v>5</v>
      </c>
      <c r="E21" s="31">
        <v>4.052083333333333</v>
      </c>
      <c r="F21" s="77">
        <v>4.6875</v>
      </c>
      <c r="G21" s="25">
        <v>3.8333333333333335</v>
      </c>
      <c r="H21" s="87" t="s">
        <v>67</v>
      </c>
      <c r="I21" s="21">
        <v>4.625</v>
      </c>
      <c r="J21" s="21">
        <v>4.5714285714285712</v>
      </c>
      <c r="K21" s="21">
        <v>1.375</v>
      </c>
      <c r="L21" s="21">
        <v>4.3282710280373848</v>
      </c>
      <c r="M21" s="21">
        <v>4.0104166666666661</v>
      </c>
      <c r="N21" s="21">
        <v>4.2746010638297882</v>
      </c>
      <c r="O21" s="25">
        <v>5</v>
      </c>
      <c r="P21" s="77">
        <v>4.96875</v>
      </c>
      <c r="Q21" s="87" t="s">
        <v>67</v>
      </c>
    </row>
    <row r="22" spans="1:18" s="2" customFormat="1" ht="24.75" customHeight="1">
      <c r="A22" s="9" t="s">
        <v>11</v>
      </c>
      <c r="B22" s="65">
        <f t="shared" ref="B22:G22" si="0">B21*20</f>
        <v>96.666666666666657</v>
      </c>
      <c r="C22" s="65">
        <f t="shared" si="0"/>
        <v>95.3125</v>
      </c>
      <c r="D22" s="65">
        <f t="shared" si="0"/>
        <v>100</v>
      </c>
      <c r="E22" s="65">
        <f t="shared" si="0"/>
        <v>81.041666666666657</v>
      </c>
      <c r="F22" s="65">
        <f t="shared" si="0"/>
        <v>93.75</v>
      </c>
      <c r="G22" s="65">
        <f t="shared" si="0"/>
        <v>76.666666666666671</v>
      </c>
      <c r="H22" s="87" t="s">
        <v>67</v>
      </c>
      <c r="I22" s="65">
        <f t="shared" ref="I22:N22" si="1">I21*20</f>
        <v>92.5</v>
      </c>
      <c r="J22" s="65">
        <f>J21*20</f>
        <v>91.428571428571416</v>
      </c>
      <c r="K22" s="65">
        <f t="shared" si="1"/>
        <v>27.5</v>
      </c>
      <c r="L22" s="65">
        <f t="shared" si="1"/>
        <v>86.565420560747697</v>
      </c>
      <c r="M22" s="65">
        <f t="shared" si="1"/>
        <v>80.208333333333314</v>
      </c>
      <c r="N22" s="65">
        <f t="shared" si="1"/>
        <v>85.492021276595764</v>
      </c>
      <c r="O22" s="65">
        <f>O21*20</f>
        <v>100</v>
      </c>
      <c r="P22" s="65">
        <f>P21*20</f>
        <v>99.375</v>
      </c>
      <c r="Q22" s="87" t="s">
        <v>67</v>
      </c>
    </row>
    <row r="23" spans="1:18">
      <c r="A23" s="17" t="s">
        <v>45</v>
      </c>
      <c r="B23" s="64">
        <v>66.67</v>
      </c>
      <c r="C23" s="64">
        <v>75</v>
      </c>
      <c r="D23" s="64">
        <v>100</v>
      </c>
      <c r="E23" s="64">
        <v>66.67</v>
      </c>
      <c r="F23" s="23">
        <v>100</v>
      </c>
      <c r="G23" s="64">
        <v>80.95</v>
      </c>
      <c r="H23" s="88" t="s">
        <v>68</v>
      </c>
      <c r="I23" s="64">
        <v>100</v>
      </c>
      <c r="J23" s="64">
        <v>96.43</v>
      </c>
      <c r="K23" s="64">
        <v>100</v>
      </c>
      <c r="L23" s="64">
        <v>98.13</v>
      </c>
      <c r="M23" s="64">
        <v>100</v>
      </c>
      <c r="N23" s="64">
        <v>96.28</v>
      </c>
      <c r="O23" s="64">
        <v>100</v>
      </c>
      <c r="P23" s="64">
        <v>100</v>
      </c>
      <c r="Q23" s="88" t="s">
        <v>68</v>
      </c>
    </row>
    <row r="25" spans="1:18" ht="24" customHeight="1"/>
    <row r="26" spans="1:18" ht="59.25" customHeight="1">
      <c r="A26" s="6" t="s">
        <v>0</v>
      </c>
      <c r="B26" s="1" t="s">
        <v>55</v>
      </c>
      <c r="C26" s="1" t="s">
        <v>7</v>
      </c>
      <c r="D26" s="1" t="s">
        <v>6</v>
      </c>
      <c r="E26" s="1" t="s">
        <v>8</v>
      </c>
      <c r="F26" s="1" t="s">
        <v>57</v>
      </c>
      <c r="G26" s="1" t="s">
        <v>63</v>
      </c>
      <c r="H26" s="1" t="s">
        <v>60</v>
      </c>
      <c r="I26" s="1" t="s">
        <v>12</v>
      </c>
      <c r="J26" s="1" t="s">
        <v>46</v>
      </c>
      <c r="K26" s="1" t="s">
        <v>72</v>
      </c>
      <c r="L26" s="1" t="s">
        <v>73</v>
      </c>
      <c r="M26" s="1" t="s">
        <v>51</v>
      </c>
      <c r="N26" s="1" t="s">
        <v>56</v>
      </c>
      <c r="O26" s="1" t="s">
        <v>1</v>
      </c>
      <c r="P26" s="1" t="s">
        <v>36</v>
      </c>
      <c r="Q26" s="1" t="s">
        <v>75</v>
      </c>
      <c r="R26" s="1" t="s">
        <v>92</v>
      </c>
    </row>
    <row r="27" spans="1:18" s="27" customFormat="1" ht="24" customHeight="1">
      <c r="A27" s="9" t="s">
        <v>9</v>
      </c>
      <c r="B27" s="63" t="s">
        <v>67</v>
      </c>
      <c r="C27" s="63" t="s">
        <v>67</v>
      </c>
      <c r="D27" s="63" t="s">
        <v>67</v>
      </c>
      <c r="E27" s="26">
        <v>7</v>
      </c>
      <c r="F27" s="63" t="s">
        <v>67</v>
      </c>
      <c r="G27" s="63">
        <v>6</v>
      </c>
      <c r="H27" s="26">
        <v>50</v>
      </c>
      <c r="I27" s="63">
        <v>59</v>
      </c>
      <c r="J27" s="26">
        <v>6</v>
      </c>
      <c r="K27" s="63">
        <v>1</v>
      </c>
      <c r="L27" s="63" t="s">
        <v>67</v>
      </c>
      <c r="M27" s="26">
        <v>23</v>
      </c>
      <c r="N27" s="26">
        <v>1</v>
      </c>
      <c r="O27" s="26">
        <v>1</v>
      </c>
      <c r="P27" s="26">
        <v>11</v>
      </c>
      <c r="Q27" s="26">
        <v>17</v>
      </c>
      <c r="R27" s="63" t="s">
        <v>67</v>
      </c>
    </row>
    <row r="28" spans="1:18" ht="24" customHeight="1">
      <c r="A28" s="8" t="s">
        <v>76</v>
      </c>
      <c r="B28" s="87" t="s">
        <v>67</v>
      </c>
      <c r="C28" s="87" t="s">
        <v>67</v>
      </c>
      <c r="D28" s="87" t="s">
        <v>67</v>
      </c>
      <c r="E28" s="21">
        <v>4.2857142857142856</v>
      </c>
      <c r="F28" s="87" t="s">
        <v>67</v>
      </c>
      <c r="G28" s="77">
        <v>5</v>
      </c>
      <c r="H28" s="21">
        <v>4.8000000000000007</v>
      </c>
      <c r="I28" s="77">
        <v>4.3050847457627137</v>
      </c>
      <c r="J28" s="21">
        <v>4.166666666666667</v>
      </c>
      <c r="K28" s="87">
        <v>5</v>
      </c>
      <c r="L28" s="87" t="s">
        <v>67</v>
      </c>
      <c r="M28" s="25">
        <v>4.5217391304347823</v>
      </c>
      <c r="N28" s="21">
        <v>5</v>
      </c>
      <c r="O28" s="25">
        <v>5</v>
      </c>
      <c r="P28" s="25">
        <v>3.6363636363636362</v>
      </c>
      <c r="Q28" s="25">
        <v>4.6470588235294121</v>
      </c>
      <c r="R28" s="87" t="s">
        <v>67</v>
      </c>
    </row>
    <row r="29" spans="1:18" ht="24" customHeight="1">
      <c r="A29" s="8" t="s">
        <v>77</v>
      </c>
      <c r="B29" s="87" t="s">
        <v>67</v>
      </c>
      <c r="C29" s="87" t="s">
        <v>67</v>
      </c>
      <c r="D29" s="87" t="s">
        <v>67</v>
      </c>
      <c r="E29" s="21">
        <v>4.1428571428571432</v>
      </c>
      <c r="F29" s="87" t="s">
        <v>67</v>
      </c>
      <c r="G29" s="77">
        <v>5</v>
      </c>
      <c r="H29" s="21">
        <v>4.8400000000000007</v>
      </c>
      <c r="I29" s="77">
        <v>4.389830508474577</v>
      </c>
      <c r="J29" s="21">
        <v>4.3333333333333339</v>
      </c>
      <c r="K29" s="87">
        <v>5</v>
      </c>
      <c r="L29" s="87" t="s">
        <v>67</v>
      </c>
      <c r="M29" s="25">
        <v>4.4347826086956514</v>
      </c>
      <c r="N29" s="21">
        <v>4</v>
      </c>
      <c r="O29" s="25">
        <v>5</v>
      </c>
      <c r="P29" s="25">
        <v>3.8181818181818179</v>
      </c>
      <c r="Q29" s="25">
        <v>4.5882352941176467</v>
      </c>
      <c r="R29" s="87" t="s">
        <v>67</v>
      </c>
    </row>
    <row r="30" spans="1:18" ht="24" customHeight="1">
      <c r="A30" s="8" t="s">
        <v>78</v>
      </c>
      <c r="B30" s="87" t="s">
        <v>67</v>
      </c>
      <c r="C30" s="87" t="s">
        <v>67</v>
      </c>
      <c r="D30" s="87" t="s">
        <v>67</v>
      </c>
      <c r="E30" s="21">
        <v>4.1428571428571432</v>
      </c>
      <c r="F30" s="87" t="s">
        <v>67</v>
      </c>
      <c r="G30" s="77">
        <v>5</v>
      </c>
      <c r="H30" s="21">
        <v>4.76</v>
      </c>
      <c r="I30" s="77">
        <v>4.3050847457627137</v>
      </c>
      <c r="J30" s="21">
        <v>4.166666666666667</v>
      </c>
      <c r="K30" s="87">
        <v>5</v>
      </c>
      <c r="L30" s="87" t="s">
        <v>67</v>
      </c>
      <c r="M30" s="25">
        <v>4.4782608695652186</v>
      </c>
      <c r="N30" s="21">
        <v>4</v>
      </c>
      <c r="O30" s="25">
        <v>5</v>
      </c>
      <c r="P30" s="25">
        <v>3.8181818181818179</v>
      </c>
      <c r="Q30" s="25">
        <v>4.5882352941176467</v>
      </c>
      <c r="R30" s="87" t="s">
        <v>67</v>
      </c>
    </row>
    <row r="31" spans="1:18" ht="24" customHeight="1">
      <c r="A31" s="8" t="s">
        <v>79</v>
      </c>
      <c r="B31" s="87" t="s">
        <v>67</v>
      </c>
      <c r="C31" s="87" t="s">
        <v>67</v>
      </c>
      <c r="D31" s="87" t="s">
        <v>67</v>
      </c>
      <c r="E31" s="21">
        <v>4.2857142857142856</v>
      </c>
      <c r="F31" s="87" t="s">
        <v>67</v>
      </c>
      <c r="G31" s="77">
        <v>5</v>
      </c>
      <c r="H31" s="21">
        <v>4.7600000000000007</v>
      </c>
      <c r="I31" s="77">
        <v>4.322033898305083</v>
      </c>
      <c r="J31" s="21">
        <v>4.3333333333333339</v>
      </c>
      <c r="K31" s="87">
        <v>5</v>
      </c>
      <c r="L31" s="87" t="s">
        <v>67</v>
      </c>
      <c r="M31" s="25">
        <v>4.6086956521739122</v>
      </c>
      <c r="N31" s="21">
        <v>4</v>
      </c>
      <c r="O31" s="25">
        <v>5</v>
      </c>
      <c r="P31" s="25">
        <v>3.9090909090909083</v>
      </c>
      <c r="Q31" s="25">
        <v>4.5294117647058822</v>
      </c>
      <c r="R31" s="87" t="s">
        <v>67</v>
      </c>
    </row>
    <row r="32" spans="1:18" ht="24" customHeight="1">
      <c r="A32" s="8" t="s">
        <v>80</v>
      </c>
      <c r="B32" s="87" t="s">
        <v>67</v>
      </c>
      <c r="C32" s="87" t="s">
        <v>67</v>
      </c>
      <c r="D32" s="87" t="s">
        <v>67</v>
      </c>
      <c r="E32" s="21">
        <v>4</v>
      </c>
      <c r="F32" s="87" t="s">
        <v>67</v>
      </c>
      <c r="G32" s="77">
        <v>4.833333333333333</v>
      </c>
      <c r="H32" s="21">
        <v>4.7399999999999993</v>
      </c>
      <c r="I32" s="77">
        <v>4.1694915254237301</v>
      </c>
      <c r="J32" s="21">
        <v>3.833333333333333</v>
      </c>
      <c r="K32" s="87">
        <v>5</v>
      </c>
      <c r="L32" s="87" t="s">
        <v>67</v>
      </c>
      <c r="M32" s="25">
        <v>4.4782608695652177</v>
      </c>
      <c r="N32" s="21">
        <v>4</v>
      </c>
      <c r="O32" s="25">
        <v>5</v>
      </c>
      <c r="P32" s="25">
        <v>3.9090909090909087</v>
      </c>
      <c r="Q32" s="25">
        <v>4.6470588235294121</v>
      </c>
      <c r="R32" s="87" t="s">
        <v>67</v>
      </c>
    </row>
    <row r="33" spans="1:18" ht="24" customHeight="1">
      <c r="A33" s="8" t="s">
        <v>81</v>
      </c>
      <c r="B33" s="87" t="s">
        <v>67</v>
      </c>
      <c r="C33" s="87" t="s">
        <v>67</v>
      </c>
      <c r="D33" s="87" t="s">
        <v>67</v>
      </c>
      <c r="E33" s="21">
        <v>4.2857142857142856</v>
      </c>
      <c r="F33" s="87" t="s">
        <v>67</v>
      </c>
      <c r="G33" s="77">
        <v>4.833333333333333</v>
      </c>
      <c r="H33" s="21">
        <v>4.8</v>
      </c>
      <c r="I33" s="77">
        <v>4.28813559322034</v>
      </c>
      <c r="J33" s="21">
        <v>4</v>
      </c>
      <c r="K33" s="87">
        <v>5</v>
      </c>
      <c r="L33" s="87" t="s">
        <v>67</v>
      </c>
      <c r="M33" s="25">
        <v>4.4347826086956514</v>
      </c>
      <c r="N33" s="21">
        <v>4</v>
      </c>
      <c r="O33" s="25">
        <v>5</v>
      </c>
      <c r="P33" s="25">
        <v>3.9090909090909087</v>
      </c>
      <c r="Q33" s="25">
        <v>4.7058823529411775</v>
      </c>
      <c r="R33" s="87" t="s">
        <v>67</v>
      </c>
    </row>
    <row r="34" spans="1:18" ht="24" customHeight="1">
      <c r="A34" s="8" t="s">
        <v>82</v>
      </c>
      <c r="B34" s="87" t="s">
        <v>67</v>
      </c>
      <c r="C34" s="87" t="s">
        <v>67</v>
      </c>
      <c r="D34" s="87" t="s">
        <v>67</v>
      </c>
      <c r="E34" s="21">
        <v>4.1428571428571432</v>
      </c>
      <c r="F34" s="87" t="s">
        <v>67</v>
      </c>
      <c r="G34" s="77">
        <v>5</v>
      </c>
      <c r="H34" s="21">
        <v>4.8599999999999994</v>
      </c>
      <c r="I34" s="77">
        <v>4.2711864406779654</v>
      </c>
      <c r="J34" s="21">
        <v>4.3333333333333339</v>
      </c>
      <c r="K34" s="87">
        <v>5</v>
      </c>
      <c r="L34" s="87" t="s">
        <v>67</v>
      </c>
      <c r="M34" s="25">
        <v>4.3913043478260869</v>
      </c>
      <c r="N34" s="21">
        <v>5</v>
      </c>
      <c r="O34" s="25">
        <v>5</v>
      </c>
      <c r="P34" s="25">
        <v>3.3636363636363638</v>
      </c>
      <c r="Q34" s="25">
        <v>4.5882352941176467</v>
      </c>
      <c r="R34" s="87" t="s">
        <v>67</v>
      </c>
    </row>
    <row r="35" spans="1:18" ht="24" customHeight="1">
      <c r="A35" s="8" t="s">
        <v>83</v>
      </c>
      <c r="B35" s="87" t="s">
        <v>67</v>
      </c>
      <c r="C35" s="87" t="s">
        <v>67</v>
      </c>
      <c r="D35" s="87" t="s">
        <v>67</v>
      </c>
      <c r="E35" s="21">
        <v>4</v>
      </c>
      <c r="F35" s="87" t="s">
        <v>67</v>
      </c>
      <c r="G35" s="77">
        <v>4.666666666666667</v>
      </c>
      <c r="H35" s="21">
        <v>4.7999999999999989</v>
      </c>
      <c r="I35" s="77">
        <v>4.203389830508474</v>
      </c>
      <c r="J35" s="21">
        <v>4.166666666666667</v>
      </c>
      <c r="K35" s="87">
        <v>5</v>
      </c>
      <c r="L35" s="87" t="s">
        <v>67</v>
      </c>
      <c r="M35" s="25">
        <v>4.3913043478260878</v>
      </c>
      <c r="N35" s="21">
        <v>4</v>
      </c>
      <c r="O35" s="25">
        <v>5</v>
      </c>
      <c r="P35" s="25">
        <v>3.7272727272727271</v>
      </c>
      <c r="Q35" s="25">
        <v>4.5294117647058822</v>
      </c>
      <c r="R35" s="87" t="s">
        <v>67</v>
      </c>
    </row>
    <row r="36" spans="1:18" ht="24" customHeight="1">
      <c r="A36" s="8" t="s">
        <v>84</v>
      </c>
      <c r="B36" s="87" t="s">
        <v>67</v>
      </c>
      <c r="C36" s="87" t="s">
        <v>67</v>
      </c>
      <c r="D36" s="87" t="s">
        <v>67</v>
      </c>
      <c r="E36" s="21">
        <v>4.2857142857142856</v>
      </c>
      <c r="F36" s="87" t="s">
        <v>67</v>
      </c>
      <c r="G36" s="77">
        <v>5</v>
      </c>
      <c r="H36" s="21">
        <v>4.8000000000000007</v>
      </c>
      <c r="I36" s="77">
        <v>4.2372881355932206</v>
      </c>
      <c r="J36" s="21">
        <v>4.3333333333333339</v>
      </c>
      <c r="K36" s="87">
        <v>5</v>
      </c>
      <c r="L36" s="87" t="s">
        <v>67</v>
      </c>
      <c r="M36" s="25">
        <v>4.5652173913043486</v>
      </c>
      <c r="N36" s="21">
        <v>5</v>
      </c>
      <c r="O36" s="25">
        <v>5</v>
      </c>
      <c r="P36" s="25">
        <v>3.3636363636363638</v>
      </c>
      <c r="Q36" s="25">
        <v>4.6470588235294121</v>
      </c>
      <c r="R36" s="87" t="s">
        <v>67</v>
      </c>
    </row>
    <row r="37" spans="1:18" ht="24" customHeight="1">
      <c r="A37" s="8" t="s">
        <v>85</v>
      </c>
      <c r="B37" s="87" t="s">
        <v>67</v>
      </c>
      <c r="C37" s="87" t="s">
        <v>67</v>
      </c>
      <c r="D37" s="87" t="s">
        <v>67</v>
      </c>
      <c r="E37" s="21">
        <v>4.1428571428571423</v>
      </c>
      <c r="F37" s="87" t="s">
        <v>67</v>
      </c>
      <c r="G37" s="77">
        <v>4.833333333333333</v>
      </c>
      <c r="H37" s="21">
        <v>4.8400000000000007</v>
      </c>
      <c r="I37" s="77">
        <v>4.1694915254237275</v>
      </c>
      <c r="J37" s="21">
        <v>4.3333333333333339</v>
      </c>
      <c r="K37" s="87">
        <v>5</v>
      </c>
      <c r="L37" s="87" t="s">
        <v>67</v>
      </c>
      <c r="M37" s="25">
        <v>4.5652173913043486</v>
      </c>
      <c r="N37" s="21">
        <v>5</v>
      </c>
      <c r="O37" s="25">
        <v>5</v>
      </c>
      <c r="P37" s="25">
        <v>3.2727272727272729</v>
      </c>
      <c r="Q37" s="25">
        <v>4.6470588235294121</v>
      </c>
      <c r="R37" s="87" t="s">
        <v>67</v>
      </c>
    </row>
    <row r="38" spans="1:18" ht="24" customHeight="1">
      <c r="A38" s="8" t="s">
        <v>86</v>
      </c>
      <c r="B38" s="87" t="s">
        <v>67</v>
      </c>
      <c r="C38" s="87" t="s">
        <v>67</v>
      </c>
      <c r="D38" s="87" t="s">
        <v>67</v>
      </c>
      <c r="E38" s="21">
        <v>4.2857142857142856</v>
      </c>
      <c r="F38" s="87" t="s">
        <v>67</v>
      </c>
      <c r="G38" s="77">
        <v>4.833333333333333</v>
      </c>
      <c r="H38" s="21">
        <v>4.8599999999999994</v>
      </c>
      <c r="I38" s="77">
        <v>4.3050847457627128</v>
      </c>
      <c r="J38" s="21">
        <v>4.3333333333333339</v>
      </c>
      <c r="K38" s="87">
        <v>5</v>
      </c>
      <c r="L38" s="87" t="s">
        <v>67</v>
      </c>
      <c r="M38" s="25">
        <v>4.3478260869565215</v>
      </c>
      <c r="N38" s="21">
        <v>5</v>
      </c>
      <c r="O38" s="25">
        <v>5</v>
      </c>
      <c r="P38" s="25">
        <v>3.6363636363636362</v>
      </c>
      <c r="Q38" s="25">
        <v>4.6470588235294121</v>
      </c>
      <c r="R38" s="87" t="s">
        <v>67</v>
      </c>
    </row>
    <row r="39" spans="1:18" ht="24" customHeight="1">
      <c r="A39" s="8" t="s">
        <v>87</v>
      </c>
      <c r="B39" s="87" t="s">
        <v>67</v>
      </c>
      <c r="C39" s="87" t="s">
        <v>67</v>
      </c>
      <c r="D39" s="87" t="s">
        <v>67</v>
      </c>
      <c r="E39" s="21">
        <v>4.2857142857142856</v>
      </c>
      <c r="F39" s="87" t="s">
        <v>67</v>
      </c>
      <c r="G39" s="77">
        <v>4.833333333333333</v>
      </c>
      <c r="H39" s="21">
        <v>4.7799999999999994</v>
      </c>
      <c r="I39" s="77">
        <v>4.2542372881355943</v>
      </c>
      <c r="J39" s="21">
        <v>4.3333333333333339</v>
      </c>
      <c r="K39" s="87">
        <v>5</v>
      </c>
      <c r="L39" s="87" t="s">
        <v>67</v>
      </c>
      <c r="M39" s="25">
        <v>4.608695652173914</v>
      </c>
      <c r="N39" s="21">
        <v>4</v>
      </c>
      <c r="O39" s="25">
        <v>5</v>
      </c>
      <c r="P39" s="25">
        <v>3.7272727272727271</v>
      </c>
      <c r="Q39" s="25">
        <v>4.7647058823529411</v>
      </c>
      <c r="R39" s="87" t="s">
        <v>67</v>
      </c>
    </row>
    <row r="40" spans="1:18" ht="24" customHeight="1">
      <c r="A40" s="8" t="s">
        <v>88</v>
      </c>
      <c r="B40" s="87" t="s">
        <v>67</v>
      </c>
      <c r="C40" s="87" t="s">
        <v>67</v>
      </c>
      <c r="D40" s="87" t="s">
        <v>67</v>
      </c>
      <c r="E40" s="21">
        <v>4</v>
      </c>
      <c r="F40" s="87" t="s">
        <v>67</v>
      </c>
      <c r="G40" s="77">
        <v>4.833333333333333</v>
      </c>
      <c r="H40" s="21">
        <v>4.8199999999999994</v>
      </c>
      <c r="I40" s="77">
        <v>4.3220338983050866</v>
      </c>
      <c r="J40" s="21">
        <v>4.3333333333333339</v>
      </c>
      <c r="K40" s="87">
        <v>5</v>
      </c>
      <c r="L40" s="87" t="s">
        <v>67</v>
      </c>
      <c r="M40" s="25">
        <v>4.4782608695652177</v>
      </c>
      <c r="N40" s="21">
        <v>4</v>
      </c>
      <c r="O40" s="25">
        <v>5</v>
      </c>
      <c r="P40" s="25">
        <v>3.7272727272727271</v>
      </c>
      <c r="Q40" s="25">
        <v>4.5294117647058822</v>
      </c>
      <c r="R40" s="87" t="s">
        <v>67</v>
      </c>
    </row>
    <row r="41" spans="1:18" ht="24" customHeight="1">
      <c r="A41" s="8" t="s">
        <v>89</v>
      </c>
      <c r="B41" s="87" t="s">
        <v>67</v>
      </c>
      <c r="C41" s="87" t="s">
        <v>67</v>
      </c>
      <c r="D41" s="87" t="s">
        <v>67</v>
      </c>
      <c r="E41" s="21">
        <v>4</v>
      </c>
      <c r="F41" s="87" t="s">
        <v>67</v>
      </c>
      <c r="G41" s="77">
        <v>4.833333333333333</v>
      </c>
      <c r="H41" s="21">
        <v>4.76</v>
      </c>
      <c r="I41" s="77">
        <v>4.3220338983050866</v>
      </c>
      <c r="J41" s="21">
        <v>4.3333333333333339</v>
      </c>
      <c r="K41" s="87">
        <v>5</v>
      </c>
      <c r="L41" s="87" t="s">
        <v>67</v>
      </c>
      <c r="M41" s="25">
        <v>4.5652173913043477</v>
      </c>
      <c r="N41" s="21">
        <v>4</v>
      </c>
      <c r="O41" s="25">
        <v>5</v>
      </c>
      <c r="P41" s="25">
        <v>3.6363636363636362</v>
      </c>
      <c r="Q41" s="25">
        <v>4.5294117647058822</v>
      </c>
      <c r="R41" s="87" t="s">
        <v>67</v>
      </c>
    </row>
    <row r="42" spans="1:18" ht="24" customHeight="1">
      <c r="A42" s="8" t="s">
        <v>90</v>
      </c>
      <c r="B42" s="87" t="s">
        <v>67</v>
      </c>
      <c r="C42" s="87" t="s">
        <v>67</v>
      </c>
      <c r="D42" s="87" t="s">
        <v>67</v>
      </c>
      <c r="E42" s="21">
        <v>4</v>
      </c>
      <c r="F42" s="87" t="s">
        <v>67</v>
      </c>
      <c r="G42" s="77">
        <v>4.833333333333333</v>
      </c>
      <c r="H42" s="21">
        <v>4.7799999999999994</v>
      </c>
      <c r="I42" s="77">
        <v>4.3050847457627119</v>
      </c>
      <c r="J42" s="21">
        <v>4.3333333333333339</v>
      </c>
      <c r="K42" s="87">
        <v>5</v>
      </c>
      <c r="L42" s="87" t="s">
        <v>67</v>
      </c>
      <c r="M42" s="25">
        <v>4.5652173913043486</v>
      </c>
      <c r="N42" s="21">
        <v>4</v>
      </c>
      <c r="O42" s="25">
        <v>5</v>
      </c>
      <c r="P42" s="25">
        <v>3.6363636363636362</v>
      </c>
      <c r="Q42" s="25">
        <v>4.5882352941176467</v>
      </c>
      <c r="R42" s="87" t="s">
        <v>67</v>
      </c>
    </row>
    <row r="43" spans="1:18" ht="24" customHeight="1">
      <c r="A43" s="8" t="s">
        <v>91</v>
      </c>
      <c r="B43" s="87" t="s">
        <v>67</v>
      </c>
      <c r="C43" s="87" t="s">
        <v>67</v>
      </c>
      <c r="D43" s="87" t="s">
        <v>67</v>
      </c>
      <c r="E43" s="21">
        <v>4</v>
      </c>
      <c r="F43" s="87" t="s">
        <v>67</v>
      </c>
      <c r="G43" s="77">
        <v>5</v>
      </c>
      <c r="H43" s="21">
        <v>4.82</v>
      </c>
      <c r="I43" s="77">
        <v>4.3389830508474567</v>
      </c>
      <c r="J43" s="21">
        <v>4.5</v>
      </c>
      <c r="K43" s="87">
        <v>5</v>
      </c>
      <c r="L43" s="87" t="s">
        <v>67</v>
      </c>
      <c r="M43" s="25">
        <v>4.4782608695652169</v>
      </c>
      <c r="N43" s="21">
        <v>4</v>
      </c>
      <c r="O43" s="25">
        <v>5</v>
      </c>
      <c r="P43" s="25">
        <v>3.5454545454545454</v>
      </c>
      <c r="Q43" s="25">
        <v>4.6470588235294121</v>
      </c>
      <c r="R43" s="87" t="s">
        <v>67</v>
      </c>
    </row>
    <row r="44" spans="1:18" ht="24" customHeight="1">
      <c r="A44" s="9" t="s">
        <v>10</v>
      </c>
      <c r="B44" s="87" t="s">
        <v>67</v>
      </c>
      <c r="C44" s="87" t="s">
        <v>67</v>
      </c>
      <c r="D44" s="87" t="s">
        <v>67</v>
      </c>
      <c r="E44" s="21">
        <v>4.1428571428571432</v>
      </c>
      <c r="F44" s="87" t="s">
        <v>67</v>
      </c>
      <c r="G44" s="77">
        <v>4.895833333333333</v>
      </c>
      <c r="H44" s="21">
        <v>4.8012499999999996</v>
      </c>
      <c r="I44" s="77">
        <v>4.2817796610169498</v>
      </c>
      <c r="J44" s="21">
        <v>4.2604166666666661</v>
      </c>
      <c r="K44" s="87">
        <v>5</v>
      </c>
      <c r="L44" s="87" t="s">
        <v>67</v>
      </c>
      <c r="M44" s="25">
        <v>4.4945652173913047</v>
      </c>
      <c r="N44" s="21">
        <v>4.3125</v>
      </c>
      <c r="O44" s="25">
        <v>5</v>
      </c>
      <c r="P44" s="25">
        <v>3.6647727272727271</v>
      </c>
      <c r="Q44" s="25">
        <v>4.6139705882352944</v>
      </c>
      <c r="R44" s="87" t="s">
        <v>67</v>
      </c>
    </row>
    <row r="45" spans="1:18">
      <c r="A45" s="9" t="s">
        <v>11</v>
      </c>
      <c r="B45" s="87" t="s">
        <v>67</v>
      </c>
      <c r="C45" s="87" t="s">
        <v>67</v>
      </c>
      <c r="D45" s="87" t="s">
        <v>67</v>
      </c>
      <c r="E45" s="65">
        <f t="shared" ref="E45:O45" si="2">E44*20</f>
        <v>82.857142857142861</v>
      </c>
      <c r="F45" s="87" t="s">
        <v>67</v>
      </c>
      <c r="G45" s="65">
        <f t="shared" si="2"/>
        <v>97.916666666666657</v>
      </c>
      <c r="H45" s="65">
        <f t="shared" si="2"/>
        <v>96.024999999999991</v>
      </c>
      <c r="I45" s="65">
        <f t="shared" si="2"/>
        <v>85.63559322033899</v>
      </c>
      <c r="J45" s="65">
        <f t="shared" si="2"/>
        <v>85.208333333333314</v>
      </c>
      <c r="K45" s="65">
        <f t="shared" si="2"/>
        <v>100</v>
      </c>
      <c r="L45" s="87" t="s">
        <v>67</v>
      </c>
      <c r="M45" s="65">
        <f t="shared" si="2"/>
        <v>89.891304347826093</v>
      </c>
      <c r="N45" s="65">
        <f t="shared" si="2"/>
        <v>86.25</v>
      </c>
      <c r="O45" s="65">
        <f t="shared" si="2"/>
        <v>100</v>
      </c>
      <c r="P45" s="65">
        <f>P44*20</f>
        <v>73.295454545454547</v>
      </c>
      <c r="Q45" s="65">
        <f>Q44*20</f>
        <v>92.279411764705884</v>
      </c>
      <c r="R45" s="87" t="s">
        <v>67</v>
      </c>
    </row>
    <row r="46" spans="1:18">
      <c r="A46" s="78" t="s">
        <v>45</v>
      </c>
      <c r="B46" s="88" t="s">
        <v>68</v>
      </c>
      <c r="C46" s="88" t="s">
        <v>68</v>
      </c>
      <c r="D46" s="88" t="s">
        <v>68</v>
      </c>
      <c r="E46" s="64">
        <v>85.71</v>
      </c>
      <c r="F46" s="88" t="s">
        <v>68</v>
      </c>
      <c r="G46" s="88">
        <v>66.67</v>
      </c>
      <c r="H46" s="64">
        <v>98</v>
      </c>
      <c r="I46" s="23">
        <v>94.92</v>
      </c>
      <c r="J46" s="64">
        <v>100</v>
      </c>
      <c r="K46" s="64">
        <v>100</v>
      </c>
      <c r="L46" s="88" t="s">
        <v>68</v>
      </c>
      <c r="M46" s="64">
        <v>91.3</v>
      </c>
      <c r="N46" s="64">
        <v>100</v>
      </c>
      <c r="O46" s="23">
        <v>100</v>
      </c>
      <c r="P46" s="23">
        <v>72.73</v>
      </c>
      <c r="Q46" s="23">
        <v>100</v>
      </c>
      <c r="R46" s="88" t="s">
        <v>68</v>
      </c>
    </row>
    <row r="48" spans="1:18" ht="24" customHeight="1"/>
    <row r="49" spans="1:14" s="15" customFormat="1" ht="24" customHeight="1">
      <c r="A49" s="6" t="s">
        <v>0</v>
      </c>
      <c r="B49" s="5" t="s">
        <v>47</v>
      </c>
      <c r="C49" s="5" t="s">
        <v>13</v>
      </c>
      <c r="D49" s="5" t="s">
        <v>49</v>
      </c>
      <c r="E49" s="5" t="s">
        <v>15</v>
      </c>
      <c r="F49" s="18" t="s">
        <v>53</v>
      </c>
      <c r="G49" s="5" t="s">
        <v>16</v>
      </c>
      <c r="H49" s="5" t="s">
        <v>17</v>
      </c>
      <c r="I49" s="5" t="s">
        <v>18</v>
      </c>
      <c r="J49" s="5" t="s">
        <v>19</v>
      </c>
      <c r="K49" s="5" t="s">
        <v>20</v>
      </c>
      <c r="L49" s="5" t="s">
        <v>48</v>
      </c>
      <c r="M49" s="5" t="s">
        <v>21</v>
      </c>
      <c r="N49" s="5" t="s">
        <v>22</v>
      </c>
    </row>
    <row r="50" spans="1:14" s="27" customFormat="1" ht="24" customHeight="1">
      <c r="A50" s="9" t="s">
        <v>9</v>
      </c>
      <c r="B50" s="26">
        <v>26</v>
      </c>
      <c r="C50" s="32">
        <v>51</v>
      </c>
      <c r="D50" s="26">
        <v>38</v>
      </c>
      <c r="E50" s="26">
        <v>8</v>
      </c>
      <c r="F50" s="26">
        <v>4</v>
      </c>
      <c r="G50" s="26">
        <v>89</v>
      </c>
      <c r="H50" s="26">
        <v>85</v>
      </c>
      <c r="I50" s="63" t="s">
        <v>67</v>
      </c>
      <c r="J50" s="28">
        <v>38</v>
      </c>
      <c r="K50" s="29">
        <v>25</v>
      </c>
      <c r="L50" s="26">
        <v>78</v>
      </c>
      <c r="M50" s="26">
        <v>39</v>
      </c>
      <c r="N50" s="26">
        <v>39</v>
      </c>
    </row>
    <row r="51" spans="1:14" ht="24" customHeight="1">
      <c r="A51" s="8" t="s">
        <v>76</v>
      </c>
      <c r="B51" s="22">
        <v>4.6538461538461533</v>
      </c>
      <c r="C51" s="33">
        <v>4.2549019607843146</v>
      </c>
      <c r="D51" s="22">
        <v>4.8157894736842106</v>
      </c>
      <c r="E51" s="22">
        <v>4.625</v>
      </c>
      <c r="F51" s="22">
        <v>4.75</v>
      </c>
      <c r="G51" s="22">
        <v>4.3258426966292127</v>
      </c>
      <c r="H51" s="22">
        <v>4.647058823529413</v>
      </c>
      <c r="I51" s="87" t="s">
        <v>67</v>
      </c>
      <c r="J51" s="22">
        <v>4.526315789473685</v>
      </c>
      <c r="K51" s="22">
        <v>4.72</v>
      </c>
      <c r="L51" s="22">
        <v>4.448717948717948</v>
      </c>
      <c r="M51" s="22">
        <v>4.5641025641025639</v>
      </c>
      <c r="N51" s="24">
        <v>4.5641025641025639</v>
      </c>
    </row>
    <row r="52" spans="1:14" ht="24" customHeight="1">
      <c r="A52" s="8" t="s">
        <v>77</v>
      </c>
      <c r="B52" s="22">
        <v>4.5769230769230775</v>
      </c>
      <c r="C52" s="33">
        <v>4.2745098039215668</v>
      </c>
      <c r="D52" s="22">
        <v>4.7105263157894735</v>
      </c>
      <c r="E52" s="22">
        <v>4.25</v>
      </c>
      <c r="F52" s="22">
        <v>5</v>
      </c>
      <c r="G52" s="22">
        <v>4.4269662921348321</v>
      </c>
      <c r="H52" s="22">
        <v>4.6588235294117668</v>
      </c>
      <c r="I52" s="87" t="s">
        <v>67</v>
      </c>
      <c r="J52" s="22">
        <v>4.5000000000000009</v>
      </c>
      <c r="K52" s="22">
        <v>4.72</v>
      </c>
      <c r="L52" s="22">
        <v>4.3974358974358978</v>
      </c>
      <c r="M52" s="22">
        <v>4.6410256410256414</v>
      </c>
      <c r="N52" s="24">
        <v>4.5384615384615383</v>
      </c>
    </row>
    <row r="53" spans="1:14" ht="24" customHeight="1">
      <c r="A53" s="8" t="s">
        <v>78</v>
      </c>
      <c r="B53" s="22">
        <v>4.5769230769230766</v>
      </c>
      <c r="C53" s="33">
        <v>4.3529411764705896</v>
      </c>
      <c r="D53" s="22">
        <v>4.7631578947368416</v>
      </c>
      <c r="E53" s="22">
        <v>4.375</v>
      </c>
      <c r="F53" s="22">
        <v>4.5</v>
      </c>
      <c r="G53" s="22">
        <v>4.4269662921348321</v>
      </c>
      <c r="H53" s="22">
        <v>4.6352941176470583</v>
      </c>
      <c r="I53" s="87" t="s">
        <v>67</v>
      </c>
      <c r="J53" s="22">
        <v>4.3947368421052628</v>
      </c>
      <c r="K53" s="22">
        <v>4.6399999999999997</v>
      </c>
      <c r="L53" s="22">
        <v>4.3333333333333348</v>
      </c>
      <c r="M53" s="22">
        <v>4.5641025641025639</v>
      </c>
      <c r="N53" s="24">
        <v>4.6153846153846159</v>
      </c>
    </row>
    <row r="54" spans="1:14" ht="24" customHeight="1">
      <c r="A54" s="8" t="s">
        <v>79</v>
      </c>
      <c r="B54" s="22">
        <v>4.6153846153846159</v>
      </c>
      <c r="C54" s="33">
        <v>4.2549019607843146</v>
      </c>
      <c r="D54" s="22">
        <v>4.7105263157894726</v>
      </c>
      <c r="E54" s="22">
        <v>4.625</v>
      </c>
      <c r="F54" s="22">
        <v>4.75</v>
      </c>
      <c r="G54" s="22">
        <v>4.359550561797751</v>
      </c>
      <c r="H54" s="22">
        <v>4.7176470588235313</v>
      </c>
      <c r="I54" s="87" t="s">
        <v>67</v>
      </c>
      <c r="J54" s="22">
        <v>4.4736842105263159</v>
      </c>
      <c r="K54" s="22">
        <v>4.6400000000000006</v>
      </c>
      <c r="L54" s="22">
        <v>4.333333333333333</v>
      </c>
      <c r="M54" s="22">
        <v>4.5897435897435903</v>
      </c>
      <c r="N54" s="24">
        <v>4.5384615384615374</v>
      </c>
    </row>
    <row r="55" spans="1:14" ht="24" customHeight="1">
      <c r="A55" s="8" t="s">
        <v>80</v>
      </c>
      <c r="B55" s="22">
        <v>4.6923076923076925</v>
      </c>
      <c r="C55" s="33">
        <v>4.2352941176470589</v>
      </c>
      <c r="D55" s="22">
        <v>4.6052631578947372</v>
      </c>
      <c r="E55" s="22">
        <v>4.625</v>
      </c>
      <c r="F55" s="22">
        <v>4.5</v>
      </c>
      <c r="G55" s="22">
        <v>4.3033707865168545</v>
      </c>
      <c r="H55" s="22">
        <v>4.6235294117647063</v>
      </c>
      <c r="I55" s="87" t="s">
        <v>67</v>
      </c>
      <c r="J55" s="22">
        <v>4.3947368421052628</v>
      </c>
      <c r="K55" s="22">
        <v>4.5599999999999987</v>
      </c>
      <c r="L55" s="22">
        <v>4.282051282051281</v>
      </c>
      <c r="M55" s="22">
        <v>4.4871794871794854</v>
      </c>
      <c r="N55" s="24">
        <v>4.4871794871794872</v>
      </c>
    </row>
    <row r="56" spans="1:14" ht="24" customHeight="1">
      <c r="A56" s="8" t="s">
        <v>81</v>
      </c>
      <c r="B56" s="22">
        <v>4.6538461538461542</v>
      </c>
      <c r="C56" s="33">
        <v>4.2549019607843146</v>
      </c>
      <c r="D56" s="22">
        <v>4.6842105263157867</v>
      </c>
      <c r="E56" s="22">
        <v>4.625</v>
      </c>
      <c r="F56" s="22">
        <v>4.5</v>
      </c>
      <c r="G56" s="22">
        <v>4.393258426966292</v>
      </c>
      <c r="H56" s="22">
        <v>4.6823529411764691</v>
      </c>
      <c r="I56" s="87" t="s">
        <v>67</v>
      </c>
      <c r="J56" s="22">
        <v>4.3684210526315788</v>
      </c>
      <c r="K56" s="22">
        <v>4.5199999999999987</v>
      </c>
      <c r="L56" s="22">
        <v>4.4230769230769225</v>
      </c>
      <c r="M56" s="22">
        <v>4.5128205128205119</v>
      </c>
      <c r="N56" s="24">
        <v>4.5384615384615383</v>
      </c>
    </row>
    <row r="57" spans="1:14" ht="24" customHeight="1">
      <c r="A57" s="8" t="s">
        <v>82</v>
      </c>
      <c r="B57" s="22">
        <v>4.7307692307692308</v>
      </c>
      <c r="C57" s="33">
        <v>4.2745098039215677</v>
      </c>
      <c r="D57" s="22">
        <v>4.6842105263157867</v>
      </c>
      <c r="E57" s="22">
        <v>4.375</v>
      </c>
      <c r="F57" s="22">
        <v>4.75</v>
      </c>
      <c r="G57" s="22">
        <v>4.4606741573033695</v>
      </c>
      <c r="H57" s="22">
        <v>4.647058823529413</v>
      </c>
      <c r="I57" s="87" t="s">
        <v>67</v>
      </c>
      <c r="J57" s="22">
        <v>4.4210526315789478</v>
      </c>
      <c r="K57" s="22">
        <v>4.6400000000000006</v>
      </c>
      <c r="L57" s="22">
        <v>4.4743589743589753</v>
      </c>
      <c r="M57" s="22">
        <v>4.6923076923076925</v>
      </c>
      <c r="N57" s="24">
        <v>4.6153846153846159</v>
      </c>
    </row>
    <row r="58" spans="1:14" ht="24" customHeight="1">
      <c r="A58" s="8" t="s">
        <v>83</v>
      </c>
      <c r="B58" s="22">
        <v>4.5769230769230766</v>
      </c>
      <c r="C58" s="33">
        <v>4.2941176470588234</v>
      </c>
      <c r="D58" s="22">
        <v>4.5789473684210531</v>
      </c>
      <c r="E58" s="22">
        <v>4.625</v>
      </c>
      <c r="F58" s="22">
        <v>4.25</v>
      </c>
      <c r="G58" s="22">
        <v>4.3483146067415754</v>
      </c>
      <c r="H58" s="22">
        <v>4.6588235294117659</v>
      </c>
      <c r="I58" s="87" t="s">
        <v>67</v>
      </c>
      <c r="J58" s="22">
        <v>4.3947368421052628</v>
      </c>
      <c r="K58" s="22">
        <v>4.6400000000000006</v>
      </c>
      <c r="L58" s="22">
        <v>4.3076923076923084</v>
      </c>
      <c r="M58" s="22">
        <v>4.4358974358974361</v>
      </c>
      <c r="N58" s="24">
        <v>4.4358974358974379</v>
      </c>
    </row>
    <row r="59" spans="1:14" ht="24" customHeight="1">
      <c r="A59" s="8" t="s">
        <v>84</v>
      </c>
      <c r="B59" s="22">
        <v>4.7692307692307701</v>
      </c>
      <c r="C59" s="33">
        <v>4.3725490196078436</v>
      </c>
      <c r="D59" s="22">
        <v>4.7368421052631584</v>
      </c>
      <c r="E59" s="22">
        <v>4.375</v>
      </c>
      <c r="F59" s="22">
        <v>4.75</v>
      </c>
      <c r="G59" s="22">
        <v>4.5056179775280931</v>
      </c>
      <c r="H59" s="22">
        <v>4.6823529411764682</v>
      </c>
      <c r="I59" s="87" t="s">
        <v>67</v>
      </c>
      <c r="J59" s="22">
        <v>4.5</v>
      </c>
      <c r="K59" s="22">
        <v>4.6400000000000006</v>
      </c>
      <c r="L59" s="22">
        <v>4.4615384615384617</v>
      </c>
      <c r="M59" s="22">
        <v>4.4615384615384617</v>
      </c>
      <c r="N59" s="24">
        <v>4.6923076923076916</v>
      </c>
    </row>
    <row r="60" spans="1:14" ht="24" customHeight="1">
      <c r="A60" s="8" t="s">
        <v>85</v>
      </c>
      <c r="B60" s="22">
        <v>4.615384615384615</v>
      </c>
      <c r="C60" s="33">
        <v>4.2941176470588234</v>
      </c>
      <c r="D60" s="22">
        <v>4.7105263157894726</v>
      </c>
      <c r="E60" s="22">
        <v>4.375</v>
      </c>
      <c r="F60" s="22">
        <v>4.5</v>
      </c>
      <c r="G60" s="22">
        <v>4.4494382022471903</v>
      </c>
      <c r="H60" s="22">
        <v>4.6941176470588237</v>
      </c>
      <c r="I60" s="87" t="s">
        <v>67</v>
      </c>
      <c r="J60" s="22">
        <v>4.3421052631578956</v>
      </c>
      <c r="K60" s="22">
        <v>4.5599999999999996</v>
      </c>
      <c r="L60" s="22">
        <v>4.3076923076923066</v>
      </c>
      <c r="M60" s="22">
        <v>4.5384615384615374</v>
      </c>
      <c r="N60" s="24">
        <v>4.5641025641025639</v>
      </c>
    </row>
    <row r="61" spans="1:14" ht="24" customHeight="1">
      <c r="A61" s="8" t="s">
        <v>86</v>
      </c>
      <c r="B61" s="22">
        <v>4.6538461538461524</v>
      </c>
      <c r="C61" s="33">
        <v>4.3529411764705896</v>
      </c>
      <c r="D61" s="22">
        <v>4.7105263157894735</v>
      </c>
      <c r="E61" s="22">
        <v>4.5</v>
      </c>
      <c r="F61" s="22">
        <v>4.75</v>
      </c>
      <c r="G61" s="22">
        <v>4.4382022471910085</v>
      </c>
      <c r="H61" s="22">
        <v>4.6823529411764682</v>
      </c>
      <c r="I61" s="87" t="s">
        <v>67</v>
      </c>
      <c r="J61" s="22">
        <v>4.5526315789473681</v>
      </c>
      <c r="K61" s="22">
        <v>4.6400000000000006</v>
      </c>
      <c r="L61" s="22">
        <v>4.3846153846153832</v>
      </c>
      <c r="M61" s="22">
        <v>4.5897435897435903</v>
      </c>
      <c r="N61" s="24">
        <v>4.6153846153846159</v>
      </c>
    </row>
    <row r="62" spans="1:14" ht="24" customHeight="1">
      <c r="A62" s="8" t="s">
        <v>87</v>
      </c>
      <c r="B62" s="22">
        <v>4.7307692307692308</v>
      </c>
      <c r="C62" s="33">
        <v>4.3529411764705888</v>
      </c>
      <c r="D62" s="22">
        <v>4.7105263157894726</v>
      </c>
      <c r="E62" s="22">
        <v>4.5</v>
      </c>
      <c r="F62" s="22">
        <v>4.25</v>
      </c>
      <c r="G62" s="22">
        <v>4.3595505617977528</v>
      </c>
      <c r="H62" s="22">
        <v>4.5647058823529418</v>
      </c>
      <c r="I62" s="87" t="s">
        <v>67</v>
      </c>
      <c r="J62" s="22">
        <v>4.4736842105263159</v>
      </c>
      <c r="K62" s="22">
        <v>4.5599999999999987</v>
      </c>
      <c r="L62" s="22">
        <v>4.3076923076923084</v>
      </c>
      <c r="M62" s="22">
        <v>4.6153846153846159</v>
      </c>
      <c r="N62" s="24">
        <v>4.5641025641025639</v>
      </c>
    </row>
    <row r="63" spans="1:14" ht="24" customHeight="1">
      <c r="A63" s="8" t="s">
        <v>88</v>
      </c>
      <c r="B63" s="22">
        <v>4.5</v>
      </c>
      <c r="C63" s="33">
        <v>4.2941176470588234</v>
      </c>
      <c r="D63" s="22">
        <v>4.7894736842105265</v>
      </c>
      <c r="E63" s="22">
        <v>4.5</v>
      </c>
      <c r="F63" s="22">
        <v>4.75</v>
      </c>
      <c r="G63" s="22">
        <v>4.393258426966292</v>
      </c>
      <c r="H63" s="22">
        <v>4.5647058823529409</v>
      </c>
      <c r="I63" s="87" t="s">
        <v>67</v>
      </c>
      <c r="J63" s="22">
        <v>4.5000000000000009</v>
      </c>
      <c r="K63" s="22">
        <v>4.5199999999999987</v>
      </c>
      <c r="L63" s="22">
        <v>4.3717948717948705</v>
      </c>
      <c r="M63" s="22">
        <v>4.4871794871794854</v>
      </c>
      <c r="N63" s="24">
        <v>4.5897435897435903</v>
      </c>
    </row>
    <row r="64" spans="1:14" ht="24" customHeight="1">
      <c r="A64" s="8" t="s">
        <v>89</v>
      </c>
      <c r="B64" s="22">
        <v>4.7692307692307701</v>
      </c>
      <c r="C64" s="33">
        <v>4.215686274509804</v>
      </c>
      <c r="D64" s="22">
        <v>4.7368421052631584</v>
      </c>
      <c r="E64" s="22">
        <v>4.5</v>
      </c>
      <c r="F64" s="22">
        <v>4.75</v>
      </c>
      <c r="G64" s="22">
        <v>4.4494382022471912</v>
      </c>
      <c r="H64" s="22">
        <v>4.6117647058823517</v>
      </c>
      <c r="I64" s="87" t="s">
        <v>67</v>
      </c>
      <c r="J64" s="22">
        <v>4.3684210526315788</v>
      </c>
      <c r="K64" s="22">
        <v>4.5599999999999996</v>
      </c>
      <c r="L64" s="22">
        <v>4.3717948717948714</v>
      </c>
      <c r="M64" s="22">
        <v>4.5384615384615383</v>
      </c>
      <c r="N64" s="24">
        <v>4.5897435897435903</v>
      </c>
    </row>
    <row r="65" spans="1:16" ht="24" customHeight="1">
      <c r="A65" s="8" t="s">
        <v>90</v>
      </c>
      <c r="B65" s="22">
        <v>4.6923076923076925</v>
      </c>
      <c r="C65" s="33">
        <v>4.2549019607843146</v>
      </c>
      <c r="D65" s="22">
        <v>4.8157894736842106</v>
      </c>
      <c r="E65" s="22">
        <v>4.625</v>
      </c>
      <c r="F65" s="22">
        <v>4.5</v>
      </c>
      <c r="G65" s="22">
        <v>4.4831460674157304</v>
      </c>
      <c r="H65" s="22">
        <v>4.7176470588235322</v>
      </c>
      <c r="I65" s="87" t="s">
        <v>67</v>
      </c>
      <c r="J65" s="22">
        <v>4.4473684210526319</v>
      </c>
      <c r="K65" s="22">
        <v>4.5999999999999996</v>
      </c>
      <c r="L65" s="22">
        <v>4.3974358974358969</v>
      </c>
      <c r="M65" s="22">
        <v>4.4871794871794863</v>
      </c>
      <c r="N65" s="24">
        <v>4.6153846153846159</v>
      </c>
    </row>
    <row r="66" spans="1:16" ht="24" customHeight="1">
      <c r="A66" s="8" t="s">
        <v>91</v>
      </c>
      <c r="B66" s="22">
        <v>4.7307692307692308</v>
      </c>
      <c r="C66" s="33">
        <v>4.2941176470588234</v>
      </c>
      <c r="D66" s="22">
        <v>4.7368421052631584</v>
      </c>
      <c r="E66" s="22">
        <v>4.7499999999999991</v>
      </c>
      <c r="F66" s="22">
        <v>5</v>
      </c>
      <c r="G66" s="22">
        <v>4.5393258426966288</v>
      </c>
      <c r="H66" s="22">
        <v>4.7058823529411766</v>
      </c>
      <c r="I66" s="87" t="s">
        <v>67</v>
      </c>
      <c r="J66" s="22">
        <v>4.4473684210526319</v>
      </c>
      <c r="K66" s="22">
        <v>4.6800000000000006</v>
      </c>
      <c r="L66" s="22">
        <v>4.4871794871794872</v>
      </c>
      <c r="M66" s="22">
        <v>4.5641025641025639</v>
      </c>
      <c r="N66" s="24">
        <v>4.6923076923076916</v>
      </c>
    </row>
    <row r="67" spans="1:16" ht="24" customHeight="1">
      <c r="A67" s="9" t="s">
        <v>10</v>
      </c>
      <c r="B67" s="22">
        <v>4.6586538461538458</v>
      </c>
      <c r="C67" s="76">
        <v>4.2892156862745097</v>
      </c>
      <c r="D67" s="22">
        <v>4.7187499999999991</v>
      </c>
      <c r="E67" s="22">
        <v>4.515625</v>
      </c>
      <c r="F67" s="22">
        <v>4.640625</v>
      </c>
      <c r="G67" s="22">
        <v>4.416432584269665</v>
      </c>
      <c r="H67" s="22">
        <v>4.6558823529411777</v>
      </c>
      <c r="I67" s="87" t="s">
        <v>67</v>
      </c>
      <c r="J67" s="22">
        <v>4.4440789473684221</v>
      </c>
      <c r="K67" s="22">
        <v>4.6149999999999993</v>
      </c>
      <c r="L67" s="22">
        <v>4.3806089743589745</v>
      </c>
      <c r="M67" s="22">
        <v>4.5480769230769216</v>
      </c>
      <c r="N67" s="24">
        <v>4.5785256410256423</v>
      </c>
    </row>
    <row r="68" spans="1:16">
      <c r="A68" s="9" t="s">
        <v>11</v>
      </c>
      <c r="B68" s="65">
        <f t="shared" ref="B68:N68" si="3">B67*20</f>
        <v>93.17307692307692</v>
      </c>
      <c r="C68" s="65">
        <f t="shared" si="3"/>
        <v>85.784313725490193</v>
      </c>
      <c r="D68" s="65">
        <f t="shared" si="3"/>
        <v>94.374999999999986</v>
      </c>
      <c r="E68" s="65">
        <f t="shared" si="3"/>
        <v>90.3125</v>
      </c>
      <c r="F68" s="65">
        <f t="shared" si="3"/>
        <v>92.8125</v>
      </c>
      <c r="G68" s="65">
        <f t="shared" si="3"/>
        <v>88.328651685393297</v>
      </c>
      <c r="H68" s="65">
        <f t="shared" si="3"/>
        <v>93.11764705882355</v>
      </c>
      <c r="I68" s="87" t="s">
        <v>67</v>
      </c>
      <c r="J68" s="65">
        <f t="shared" si="3"/>
        <v>88.881578947368439</v>
      </c>
      <c r="K68" s="65">
        <f t="shared" si="3"/>
        <v>92.299999999999983</v>
      </c>
      <c r="L68" s="65">
        <f t="shared" si="3"/>
        <v>87.612179487179489</v>
      </c>
      <c r="M68" s="65">
        <f t="shared" si="3"/>
        <v>90.961538461538424</v>
      </c>
      <c r="N68" s="65">
        <f t="shared" si="3"/>
        <v>91.570512820512846</v>
      </c>
    </row>
    <row r="69" spans="1:16">
      <c r="A69" s="17" t="s">
        <v>45</v>
      </c>
      <c r="B69" s="64">
        <v>96.15</v>
      </c>
      <c r="C69" s="64">
        <v>100</v>
      </c>
      <c r="D69" s="64">
        <v>94.74</v>
      </c>
      <c r="E69" s="64">
        <v>100</v>
      </c>
      <c r="F69" s="64">
        <v>100</v>
      </c>
      <c r="G69" s="64">
        <v>94.38</v>
      </c>
      <c r="H69" s="66">
        <v>97.65</v>
      </c>
      <c r="I69" s="88" t="s">
        <v>68</v>
      </c>
      <c r="J69" s="64">
        <v>100</v>
      </c>
      <c r="K69" s="64">
        <v>88</v>
      </c>
      <c r="L69" s="64">
        <v>98.72</v>
      </c>
      <c r="M69" s="64">
        <v>97.44</v>
      </c>
      <c r="N69" s="64">
        <v>100</v>
      </c>
    </row>
    <row r="71" spans="1:16" ht="24" customHeight="1"/>
    <row r="72" spans="1:16" s="15" customFormat="1" ht="24" customHeight="1">
      <c r="A72" s="7" t="s">
        <v>0</v>
      </c>
      <c r="B72" s="5" t="s">
        <v>23</v>
      </c>
      <c r="C72" s="5" t="s">
        <v>24</v>
      </c>
      <c r="D72" s="5" t="s">
        <v>25</v>
      </c>
      <c r="E72" s="10" t="s">
        <v>26</v>
      </c>
      <c r="F72" s="5" t="s">
        <v>27</v>
      </c>
      <c r="G72" s="5" t="s">
        <v>28</v>
      </c>
      <c r="H72" s="5" t="s">
        <v>29</v>
      </c>
      <c r="I72" s="5" t="s">
        <v>30</v>
      </c>
      <c r="J72" s="5" t="s">
        <v>31</v>
      </c>
      <c r="K72" s="5" t="s">
        <v>32</v>
      </c>
      <c r="L72" s="5" t="s">
        <v>33</v>
      </c>
      <c r="M72" s="5" t="s">
        <v>14</v>
      </c>
      <c r="N72" s="5" t="s">
        <v>65</v>
      </c>
      <c r="O72" s="27"/>
      <c r="P72" s="3"/>
    </row>
    <row r="73" spans="1:16" s="27" customFormat="1" ht="24" customHeight="1">
      <c r="A73" s="9" t="s">
        <v>9</v>
      </c>
      <c r="B73" s="26">
        <v>14</v>
      </c>
      <c r="C73" s="26">
        <v>18</v>
      </c>
      <c r="D73" s="26">
        <v>45</v>
      </c>
      <c r="E73" s="26">
        <v>42</v>
      </c>
      <c r="F73" s="26">
        <v>84</v>
      </c>
      <c r="G73" s="26">
        <v>27</v>
      </c>
      <c r="H73" s="26">
        <v>17</v>
      </c>
      <c r="I73" s="26">
        <v>46</v>
      </c>
      <c r="J73" s="26">
        <v>76</v>
      </c>
      <c r="K73" s="63" t="s">
        <v>67</v>
      </c>
      <c r="L73" s="63">
        <v>61</v>
      </c>
      <c r="M73" s="20">
        <v>28</v>
      </c>
      <c r="N73" s="63" t="s">
        <v>67</v>
      </c>
      <c r="O73" s="3"/>
      <c r="P73" s="68"/>
    </row>
    <row r="74" spans="1:16" ht="24" customHeight="1">
      <c r="A74" s="8" t="s">
        <v>76</v>
      </c>
      <c r="B74" s="22">
        <v>4.7142857142857144</v>
      </c>
      <c r="C74" s="22">
        <v>4.7777777777777777</v>
      </c>
      <c r="D74" s="22">
        <v>4.5777777777777793</v>
      </c>
      <c r="E74" s="22">
        <v>4.6190476190476195</v>
      </c>
      <c r="F74" s="22">
        <v>4.6071428571428577</v>
      </c>
      <c r="G74" s="22">
        <v>4.5555555555555554</v>
      </c>
      <c r="H74" s="22">
        <v>4.7647058823529402</v>
      </c>
      <c r="I74" s="22">
        <v>4.7173913043478262</v>
      </c>
      <c r="J74" s="22">
        <v>4.6315789473684204</v>
      </c>
      <c r="K74" s="87" t="s">
        <v>67</v>
      </c>
      <c r="L74" s="22">
        <v>4.6065573770491799</v>
      </c>
      <c r="M74" s="22">
        <v>4.5714285714285703</v>
      </c>
      <c r="N74" s="87" t="s">
        <v>67</v>
      </c>
    </row>
    <row r="75" spans="1:16" ht="24" customHeight="1">
      <c r="A75" s="8" t="s">
        <v>77</v>
      </c>
      <c r="B75" s="22">
        <v>4.7142857142857144</v>
      </c>
      <c r="C75" s="22">
        <v>4.7777777777777777</v>
      </c>
      <c r="D75" s="22">
        <v>4.5555555555555562</v>
      </c>
      <c r="E75" s="22">
        <v>4.5476190476190483</v>
      </c>
      <c r="F75" s="22">
        <v>4.5357142857142883</v>
      </c>
      <c r="G75" s="22">
        <v>4.5185185185185182</v>
      </c>
      <c r="H75" s="22">
        <v>4.7058823529411757</v>
      </c>
      <c r="I75" s="22">
        <v>4.7391304347826093</v>
      </c>
      <c r="J75" s="22">
        <v>4.6184210526315796</v>
      </c>
      <c r="K75" s="87" t="s">
        <v>67</v>
      </c>
      <c r="L75" s="22">
        <v>4.5737704918032804</v>
      </c>
      <c r="M75" s="22">
        <v>4.5714285714285703</v>
      </c>
      <c r="N75" s="87" t="s">
        <v>67</v>
      </c>
    </row>
    <row r="76" spans="1:16" ht="24" customHeight="1">
      <c r="A76" s="8" t="s">
        <v>78</v>
      </c>
      <c r="B76" s="22">
        <v>4.7142857142857144</v>
      </c>
      <c r="C76" s="22">
        <v>4.6111111111111098</v>
      </c>
      <c r="D76" s="22">
        <v>4.4444444444444446</v>
      </c>
      <c r="E76" s="22">
        <v>4.5238095238095246</v>
      </c>
      <c r="F76" s="22">
        <v>4.4999999999999982</v>
      </c>
      <c r="G76" s="22">
        <v>4.5185185185185182</v>
      </c>
      <c r="H76" s="22">
        <v>4.7058823529411757</v>
      </c>
      <c r="I76" s="22">
        <v>4.7608695652173916</v>
      </c>
      <c r="J76" s="22">
        <v>4.6052631578947372</v>
      </c>
      <c r="K76" s="87" t="s">
        <v>67</v>
      </c>
      <c r="L76" s="22">
        <v>4.5901639344262293</v>
      </c>
      <c r="M76" s="22">
        <v>4.6071428571428559</v>
      </c>
      <c r="N76" s="87" t="s">
        <v>67</v>
      </c>
    </row>
    <row r="77" spans="1:16" ht="24" customHeight="1">
      <c r="A77" s="8" t="s">
        <v>79</v>
      </c>
      <c r="B77" s="22">
        <v>4.6428571428571423</v>
      </c>
      <c r="C77" s="22">
        <v>4.7222222222222214</v>
      </c>
      <c r="D77" s="22">
        <v>4.4444444444444446</v>
      </c>
      <c r="E77" s="22">
        <v>4.5238095238095237</v>
      </c>
      <c r="F77" s="22">
        <v>4.511904761904761</v>
      </c>
      <c r="G77" s="22">
        <v>4.5185185185185182</v>
      </c>
      <c r="H77" s="22">
        <v>4.6470588235294121</v>
      </c>
      <c r="I77" s="22">
        <v>4.7173913043478262</v>
      </c>
      <c r="J77" s="22">
        <v>4.5921052631578938</v>
      </c>
      <c r="K77" s="87" t="s">
        <v>67</v>
      </c>
      <c r="L77" s="22">
        <v>4.6557377049180335</v>
      </c>
      <c r="M77" s="22">
        <v>4.5357142857142847</v>
      </c>
      <c r="N77" s="87" t="s">
        <v>67</v>
      </c>
    </row>
    <row r="78" spans="1:16" ht="24" customHeight="1">
      <c r="A78" s="8" t="s">
        <v>80</v>
      </c>
      <c r="B78" s="22">
        <v>4.5714285714285712</v>
      </c>
      <c r="C78" s="22">
        <v>4.6111111111111098</v>
      </c>
      <c r="D78" s="22">
        <v>4.4222222222222216</v>
      </c>
      <c r="E78" s="22">
        <v>4.5714285714285712</v>
      </c>
      <c r="F78" s="22">
        <v>4.4404761904761898</v>
      </c>
      <c r="G78" s="22">
        <v>4.4814814814814801</v>
      </c>
      <c r="H78" s="22">
        <v>4.7058823529411766</v>
      </c>
      <c r="I78" s="22">
        <v>4.6521739130434767</v>
      </c>
      <c r="J78" s="22">
        <v>4.6578947368421062</v>
      </c>
      <c r="K78" s="87" t="s">
        <v>67</v>
      </c>
      <c r="L78" s="22">
        <v>4.6229508196721323</v>
      </c>
      <c r="M78" s="22">
        <v>4.6785714285714297</v>
      </c>
      <c r="N78" s="87" t="s">
        <v>67</v>
      </c>
    </row>
    <row r="79" spans="1:16" ht="24" customHeight="1">
      <c r="A79" s="8" t="s">
        <v>81</v>
      </c>
      <c r="B79" s="22">
        <v>4.5714285714285712</v>
      </c>
      <c r="C79" s="22">
        <v>4.4999999999999991</v>
      </c>
      <c r="D79" s="22">
        <v>4.4222222222222234</v>
      </c>
      <c r="E79" s="22">
        <v>4.5476190476190474</v>
      </c>
      <c r="F79" s="22">
        <v>4.4761904761904745</v>
      </c>
      <c r="G79" s="22">
        <v>4.5555555555555554</v>
      </c>
      <c r="H79" s="22">
        <v>4.5294117647058822</v>
      </c>
      <c r="I79" s="22">
        <v>4.6739130434782608</v>
      </c>
      <c r="J79" s="22">
        <v>4.5394736842105283</v>
      </c>
      <c r="K79" s="87" t="s">
        <v>67</v>
      </c>
      <c r="L79" s="22">
        <v>4.5901639344262293</v>
      </c>
      <c r="M79" s="22">
        <v>4.6785714285714297</v>
      </c>
      <c r="N79" s="87" t="s">
        <v>67</v>
      </c>
    </row>
    <row r="80" spans="1:16" ht="24" customHeight="1">
      <c r="A80" s="8" t="s">
        <v>82</v>
      </c>
      <c r="B80" s="22">
        <v>4.6428571428571423</v>
      </c>
      <c r="C80" s="22">
        <v>4.666666666666667</v>
      </c>
      <c r="D80" s="22">
        <v>4.7111111111111112</v>
      </c>
      <c r="E80" s="22">
        <v>4.6190476190476195</v>
      </c>
      <c r="F80" s="22">
        <v>4.5000000000000009</v>
      </c>
      <c r="G80" s="22">
        <v>4.6296296296296289</v>
      </c>
      <c r="H80" s="22">
        <v>4.6470588235294121</v>
      </c>
      <c r="I80" s="22">
        <v>4.7391304347826084</v>
      </c>
      <c r="J80" s="22">
        <v>4.7105263157894743</v>
      </c>
      <c r="K80" s="87" t="s">
        <v>67</v>
      </c>
      <c r="L80" s="22">
        <v>4.6885245901639339</v>
      </c>
      <c r="M80" s="22">
        <v>4.6785714285714297</v>
      </c>
      <c r="N80" s="87" t="s">
        <v>67</v>
      </c>
    </row>
    <row r="81" spans="1:16" ht="24" customHeight="1">
      <c r="A81" s="8" t="s">
        <v>83</v>
      </c>
      <c r="B81" s="22">
        <v>4.6428571428571432</v>
      </c>
      <c r="C81" s="22">
        <v>4.4999999999999991</v>
      </c>
      <c r="D81" s="22">
        <v>4.4000000000000004</v>
      </c>
      <c r="E81" s="22">
        <v>4.5714285714285712</v>
      </c>
      <c r="F81" s="22">
        <v>4.4761904761904745</v>
      </c>
      <c r="G81" s="22">
        <v>4.518518518518519</v>
      </c>
      <c r="H81" s="22">
        <v>4.7058823529411757</v>
      </c>
      <c r="I81" s="22">
        <v>4.6086956521739113</v>
      </c>
      <c r="J81" s="22">
        <v>4.6052631578947354</v>
      </c>
      <c r="K81" s="87" t="s">
        <v>67</v>
      </c>
      <c r="L81" s="22">
        <v>4.5901639344262302</v>
      </c>
      <c r="M81" s="22">
        <v>4.6785714285714297</v>
      </c>
      <c r="N81" s="87" t="s">
        <v>67</v>
      </c>
    </row>
    <row r="82" spans="1:16" ht="24" customHeight="1">
      <c r="A82" s="8" t="s">
        <v>84</v>
      </c>
      <c r="B82" s="22">
        <v>4.7142857142857135</v>
      </c>
      <c r="C82" s="22">
        <v>4.666666666666667</v>
      </c>
      <c r="D82" s="22">
        <v>4.6222222222222253</v>
      </c>
      <c r="E82" s="22">
        <v>4.6190476190476186</v>
      </c>
      <c r="F82" s="22">
        <v>4.5833333333333321</v>
      </c>
      <c r="G82" s="22">
        <v>4.5925925925925926</v>
      </c>
      <c r="H82" s="22">
        <v>4.7058823529411757</v>
      </c>
      <c r="I82" s="22">
        <v>4.7173913043478262</v>
      </c>
      <c r="J82" s="22">
        <v>4.684210526315792</v>
      </c>
      <c r="K82" s="87" t="s">
        <v>67</v>
      </c>
      <c r="L82" s="22">
        <v>4.721311475409836</v>
      </c>
      <c r="M82" s="22">
        <v>4.6071428571428559</v>
      </c>
      <c r="N82" s="87" t="s">
        <v>67</v>
      </c>
    </row>
    <row r="83" spans="1:16" ht="24" customHeight="1">
      <c r="A83" s="8" t="s">
        <v>85</v>
      </c>
      <c r="B83" s="22">
        <v>4.5714285714285712</v>
      </c>
      <c r="C83" s="22">
        <v>4.5555555555555545</v>
      </c>
      <c r="D83" s="22">
        <v>4.5777777777777775</v>
      </c>
      <c r="E83" s="22">
        <v>4.5714285714285712</v>
      </c>
      <c r="F83" s="22">
        <v>4.5476190476190483</v>
      </c>
      <c r="G83" s="22">
        <v>4.6296296296296298</v>
      </c>
      <c r="H83" s="22">
        <v>4.6470588235294121</v>
      </c>
      <c r="I83" s="22">
        <v>4.7391304347826093</v>
      </c>
      <c r="J83" s="22">
        <v>4.6184210526315788</v>
      </c>
      <c r="K83" s="87" t="s">
        <v>67</v>
      </c>
      <c r="L83" s="22">
        <v>4.6885245901639339</v>
      </c>
      <c r="M83" s="22">
        <v>4.6428571428571432</v>
      </c>
      <c r="N83" s="87" t="s">
        <v>67</v>
      </c>
    </row>
    <row r="84" spans="1:16" ht="24" customHeight="1">
      <c r="A84" s="8" t="s">
        <v>86</v>
      </c>
      <c r="B84" s="22">
        <v>4.6428571428571423</v>
      </c>
      <c r="C84" s="22">
        <v>4.6111111111111098</v>
      </c>
      <c r="D84" s="22">
        <v>4.5999999999999988</v>
      </c>
      <c r="E84" s="22">
        <v>4.5476190476190474</v>
      </c>
      <c r="F84" s="22">
        <v>4.5714285714285712</v>
      </c>
      <c r="G84" s="22">
        <v>4.5925925925925926</v>
      </c>
      <c r="H84" s="22">
        <v>4.7058823529411757</v>
      </c>
      <c r="I84" s="22">
        <v>4.7173913043478262</v>
      </c>
      <c r="J84" s="22">
        <v>4.6710526315789478</v>
      </c>
      <c r="K84" s="87" t="s">
        <v>67</v>
      </c>
      <c r="L84" s="22">
        <v>4.7377049180327884</v>
      </c>
      <c r="M84" s="22">
        <v>4.5714285714285703</v>
      </c>
      <c r="N84" s="87" t="s">
        <v>67</v>
      </c>
    </row>
    <row r="85" spans="1:16" ht="24" customHeight="1">
      <c r="A85" s="8" t="s">
        <v>87</v>
      </c>
      <c r="B85" s="22">
        <v>4.7142857142857135</v>
      </c>
      <c r="C85" s="22">
        <v>4.4999999999999982</v>
      </c>
      <c r="D85" s="22">
        <v>4.5777777777777775</v>
      </c>
      <c r="E85" s="22">
        <v>4.5476190476190474</v>
      </c>
      <c r="F85" s="22">
        <v>4.4523809523809517</v>
      </c>
      <c r="G85" s="22">
        <v>4.5925925925925926</v>
      </c>
      <c r="H85" s="22">
        <v>4.5882352941176467</v>
      </c>
      <c r="I85" s="22">
        <v>4.7173913043478262</v>
      </c>
      <c r="J85" s="22">
        <v>4.631578947368423</v>
      </c>
      <c r="K85" s="87" t="s">
        <v>67</v>
      </c>
      <c r="L85" s="22">
        <v>4.7049180327868871</v>
      </c>
      <c r="M85" s="22">
        <v>4.5357142857142847</v>
      </c>
      <c r="N85" s="87" t="s">
        <v>67</v>
      </c>
    </row>
    <row r="86" spans="1:16" ht="24" customHeight="1">
      <c r="A86" s="8" t="s">
        <v>88</v>
      </c>
      <c r="B86" s="22">
        <v>4.6428571428571423</v>
      </c>
      <c r="C86" s="22">
        <v>4.6111111111111098</v>
      </c>
      <c r="D86" s="22">
        <v>4.5999999999999988</v>
      </c>
      <c r="E86" s="22">
        <v>4.5952380952380949</v>
      </c>
      <c r="F86" s="22">
        <v>4.5119047619047628</v>
      </c>
      <c r="G86" s="22">
        <v>4.5925925925925926</v>
      </c>
      <c r="H86" s="22">
        <v>4.7058823529411766</v>
      </c>
      <c r="I86" s="22">
        <v>4.7391304347826093</v>
      </c>
      <c r="J86" s="22">
        <v>4.6184210526315788</v>
      </c>
      <c r="K86" s="87" t="s">
        <v>67</v>
      </c>
      <c r="L86" s="22">
        <v>4.7049180327868871</v>
      </c>
      <c r="M86" s="22">
        <v>4.6428571428571432</v>
      </c>
      <c r="N86" s="87" t="s">
        <v>67</v>
      </c>
    </row>
    <row r="87" spans="1:16" ht="24" customHeight="1">
      <c r="A87" s="8" t="s">
        <v>89</v>
      </c>
      <c r="B87" s="22">
        <v>4.7142857142857144</v>
      </c>
      <c r="C87" s="22">
        <v>4.5555555555555545</v>
      </c>
      <c r="D87" s="22">
        <v>4.5777777777777793</v>
      </c>
      <c r="E87" s="22">
        <v>4.6428571428571415</v>
      </c>
      <c r="F87" s="22">
        <v>4.5238095238095246</v>
      </c>
      <c r="G87" s="22">
        <v>4.6296296296296298</v>
      </c>
      <c r="H87" s="22">
        <v>4.7058823529411757</v>
      </c>
      <c r="I87" s="22">
        <v>4.7173913043478262</v>
      </c>
      <c r="J87" s="22">
        <v>4.5921052631578947</v>
      </c>
      <c r="K87" s="87" t="s">
        <v>67</v>
      </c>
      <c r="L87" s="22">
        <v>4.6721311475409832</v>
      </c>
      <c r="M87" s="22">
        <v>4.5714285714285703</v>
      </c>
      <c r="N87" s="87" t="s">
        <v>67</v>
      </c>
    </row>
    <row r="88" spans="1:16" ht="24" customHeight="1">
      <c r="A88" s="8" t="s">
        <v>90</v>
      </c>
      <c r="B88" s="22">
        <v>4.7142857142857144</v>
      </c>
      <c r="C88" s="22">
        <v>4.6111111111111098</v>
      </c>
      <c r="D88" s="22">
        <v>4.5555555555555571</v>
      </c>
      <c r="E88" s="22">
        <v>4.6666666666666661</v>
      </c>
      <c r="F88" s="22">
        <v>4.5357142857142865</v>
      </c>
      <c r="G88" s="22">
        <v>4.6296296296296298</v>
      </c>
      <c r="H88" s="22">
        <v>4.647058823529413</v>
      </c>
      <c r="I88" s="22">
        <v>4.7391304347826084</v>
      </c>
      <c r="J88" s="22">
        <v>4.5789473684210531</v>
      </c>
      <c r="K88" s="87" t="s">
        <v>67</v>
      </c>
      <c r="L88" s="22">
        <v>4.7377049180327875</v>
      </c>
      <c r="M88" s="22">
        <v>4.6071428571428559</v>
      </c>
      <c r="N88" s="87" t="s">
        <v>67</v>
      </c>
    </row>
    <row r="89" spans="1:16" ht="24" customHeight="1">
      <c r="A89" s="8" t="s">
        <v>91</v>
      </c>
      <c r="B89" s="22">
        <v>4.7142857142857135</v>
      </c>
      <c r="C89" s="22">
        <v>4.6111111111111107</v>
      </c>
      <c r="D89" s="22">
        <v>4.6888888888888909</v>
      </c>
      <c r="E89" s="22">
        <v>4.6428571428571423</v>
      </c>
      <c r="F89" s="22">
        <v>4.6071428571428585</v>
      </c>
      <c r="G89" s="22">
        <v>4.5925925925925926</v>
      </c>
      <c r="H89" s="22">
        <v>4.8235294117647056</v>
      </c>
      <c r="I89" s="22">
        <v>4.7608695652173916</v>
      </c>
      <c r="J89" s="22">
        <v>4.6973684210526319</v>
      </c>
      <c r="K89" s="87" t="s">
        <v>67</v>
      </c>
      <c r="L89" s="22">
        <v>4.7377049180327875</v>
      </c>
      <c r="M89" s="22">
        <v>4.6428571428571432</v>
      </c>
      <c r="N89" s="87" t="s">
        <v>67</v>
      </c>
    </row>
    <row r="90" spans="1:16" ht="24" customHeight="1">
      <c r="A90" s="9" t="s">
        <v>10</v>
      </c>
      <c r="B90" s="22">
        <v>4.6651785714285712</v>
      </c>
      <c r="C90" s="22">
        <v>4.6180555555555536</v>
      </c>
      <c r="D90" s="22">
        <v>4.5486111111111098</v>
      </c>
      <c r="E90" s="22">
        <v>4.5848214285714288</v>
      </c>
      <c r="F90" s="22">
        <v>4.5238095238095228</v>
      </c>
      <c r="G90" s="22">
        <v>4.5717592592592595</v>
      </c>
      <c r="H90" s="22">
        <v>4.6838235294117645</v>
      </c>
      <c r="I90" s="22">
        <v>4.7160326086956532</v>
      </c>
      <c r="J90" s="22">
        <v>4.6282894736842097</v>
      </c>
      <c r="K90" s="87" t="s">
        <v>67</v>
      </c>
      <c r="L90" s="22">
        <v>4.6639344262295062</v>
      </c>
      <c r="M90" s="22">
        <v>4.6138392857142865</v>
      </c>
      <c r="N90" s="87" t="s">
        <v>67</v>
      </c>
    </row>
    <row r="91" spans="1:16" s="68" customFormat="1">
      <c r="A91" s="67" t="s">
        <v>11</v>
      </c>
      <c r="B91" s="70">
        <f>B90*20</f>
        <v>93.303571428571416</v>
      </c>
      <c r="C91" s="65">
        <f>C90*20</f>
        <v>92.361111111111072</v>
      </c>
      <c r="D91" s="65">
        <f>D90*20</f>
        <v>90.9722222222222</v>
      </c>
      <c r="E91" s="65">
        <f t="shared" ref="E91:M91" si="4">E90*20</f>
        <v>91.696428571428584</v>
      </c>
      <c r="F91" s="65">
        <f t="shared" si="4"/>
        <v>90.476190476190453</v>
      </c>
      <c r="G91" s="65">
        <f t="shared" si="4"/>
        <v>91.43518518518519</v>
      </c>
      <c r="H91" s="65">
        <f t="shared" si="4"/>
        <v>93.67647058823529</v>
      </c>
      <c r="I91" s="65">
        <f t="shared" si="4"/>
        <v>94.320652173913061</v>
      </c>
      <c r="J91" s="65">
        <f t="shared" si="4"/>
        <v>92.565789473684191</v>
      </c>
      <c r="K91" s="87" t="s">
        <v>67</v>
      </c>
      <c r="L91" s="65">
        <f t="shared" ref="L91" si="5">L90*20</f>
        <v>93.278688524590123</v>
      </c>
      <c r="M91" s="65">
        <f t="shared" si="4"/>
        <v>92.276785714285722</v>
      </c>
      <c r="N91" s="87" t="s">
        <v>67</v>
      </c>
      <c r="P91" s="3"/>
    </row>
    <row r="92" spans="1:16">
      <c r="A92" s="17" t="s">
        <v>45</v>
      </c>
      <c r="B92" s="64">
        <v>100</v>
      </c>
      <c r="C92" s="64">
        <v>100</v>
      </c>
      <c r="D92" s="64">
        <v>95.56</v>
      </c>
      <c r="E92" s="64">
        <v>97.62</v>
      </c>
      <c r="F92" s="64">
        <v>97.62</v>
      </c>
      <c r="G92" s="64">
        <v>100</v>
      </c>
      <c r="H92" s="64">
        <v>94.12</v>
      </c>
      <c r="I92" s="64">
        <v>95.65</v>
      </c>
      <c r="J92" s="64">
        <v>89.47</v>
      </c>
      <c r="K92" s="88" t="s">
        <v>68</v>
      </c>
      <c r="L92" s="23">
        <v>91.8</v>
      </c>
      <c r="M92" s="64">
        <v>96.43</v>
      </c>
      <c r="N92" s="88" t="s">
        <v>68</v>
      </c>
    </row>
    <row r="93" spans="1:16" ht="24" customHeight="1"/>
    <row r="94" spans="1:16" ht="24" customHeight="1"/>
    <row r="95" spans="1:16">
      <c r="B95" s="3"/>
      <c r="E95" s="11"/>
      <c r="F95" s="11"/>
    </row>
    <row r="96" spans="1:16">
      <c r="B96" s="3"/>
      <c r="E96" s="12"/>
      <c r="F96" s="12"/>
    </row>
    <row r="97" spans="2:6">
      <c r="B97" s="3"/>
      <c r="E97" s="12"/>
      <c r="F97" s="12"/>
    </row>
    <row r="98" spans="2:6">
      <c r="B98" s="3"/>
      <c r="E98" s="12"/>
      <c r="F98" s="12"/>
    </row>
    <row r="99" spans="2:6">
      <c r="B99" s="3"/>
      <c r="E99" s="12"/>
      <c r="F99" s="12"/>
    </row>
    <row r="100" spans="2:6">
      <c r="B100" s="3"/>
      <c r="E100" s="12"/>
      <c r="F100" s="12"/>
    </row>
    <row r="101" spans="2:6">
      <c r="B101" s="3"/>
      <c r="E101" s="12"/>
      <c r="F101" s="12"/>
    </row>
    <row r="102" spans="2:6">
      <c r="B102" s="3"/>
      <c r="E102" s="12"/>
      <c r="F102" s="12"/>
    </row>
    <row r="103" spans="2:6" ht="24" customHeight="1">
      <c r="B103" s="3"/>
      <c r="E103" s="12"/>
      <c r="F103" s="12"/>
    </row>
    <row r="104" spans="2:6" ht="24" customHeight="1">
      <c r="B104" s="3"/>
      <c r="E104" s="12"/>
      <c r="F104" s="12"/>
    </row>
    <row r="105" spans="2:6">
      <c r="B105" s="3"/>
      <c r="E105" s="12"/>
      <c r="F105" s="12"/>
    </row>
    <row r="106" spans="2:6">
      <c r="B106" s="3"/>
      <c r="E106" s="12"/>
      <c r="F106" s="12"/>
    </row>
    <row r="107" spans="2:6">
      <c r="B107" s="3"/>
      <c r="E107" s="12"/>
      <c r="F107" s="12"/>
    </row>
    <row r="108" spans="2:6">
      <c r="B108" s="3"/>
      <c r="E108" s="12"/>
      <c r="F108" s="12"/>
    </row>
    <row r="109" spans="2:6">
      <c r="B109" s="3"/>
      <c r="E109" s="12"/>
      <c r="F109" s="12"/>
    </row>
    <row r="110" spans="2:6">
      <c r="B110" s="3"/>
      <c r="E110" s="12"/>
      <c r="F110" s="12"/>
    </row>
    <row r="111" spans="2:6" ht="24" customHeight="1">
      <c r="B111" s="3"/>
      <c r="E111" s="12"/>
      <c r="F111" s="12"/>
    </row>
    <row r="112" spans="2:6" ht="24" customHeight="1">
      <c r="B112" s="3"/>
      <c r="E112" s="12"/>
      <c r="F112" s="12"/>
    </row>
    <row r="113" spans="2:6">
      <c r="B113" s="3"/>
      <c r="E113" s="13"/>
      <c r="F113" s="13"/>
    </row>
    <row r="114" spans="2:6">
      <c r="B114" s="3"/>
      <c r="E114" s="13"/>
      <c r="F114" s="13"/>
    </row>
    <row r="115" spans="2:6">
      <c r="B115" s="3"/>
    </row>
  </sheetData>
  <mergeCells count="1">
    <mergeCell ref="A1:P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4" max="16383" man="1"/>
    <brk id="47" max="16383" man="1"/>
    <brk id="70" max="16383" man="1"/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5"/>
  <sheetViews>
    <sheetView tabSelected="1" view="pageBreakPreview" topLeftCell="A4" zoomScaleNormal="100" zoomScaleSheetLayoutView="100" workbookViewId="0">
      <selection activeCell="I12" sqref="I12"/>
    </sheetView>
  </sheetViews>
  <sheetFormatPr defaultColWidth="9" defaultRowHeight="21"/>
  <cols>
    <col min="1" max="1" width="4.75" style="35" customWidth="1"/>
    <col min="2" max="2" width="27.625" style="35" customWidth="1"/>
    <col min="3" max="7" width="12" style="35" customWidth="1"/>
    <col min="8" max="8" width="30.125" style="35" customWidth="1"/>
    <col min="9" max="9" width="14.75" style="35" customWidth="1"/>
    <col min="10" max="10" width="7.25" style="35" customWidth="1"/>
    <col min="11" max="16384" width="9" style="35"/>
  </cols>
  <sheetData>
    <row r="1" spans="1:9" s="50" customFormat="1" ht="43.5" customHeight="1">
      <c r="A1" s="92" t="s">
        <v>94</v>
      </c>
      <c r="B1" s="93"/>
      <c r="C1" s="93"/>
      <c r="D1" s="93"/>
      <c r="E1" s="93"/>
      <c r="F1" s="93"/>
      <c r="G1" s="93"/>
      <c r="H1" s="93"/>
      <c r="I1" s="93"/>
    </row>
    <row r="2" spans="1:9" s="50" customFormat="1">
      <c r="A2" s="91" t="s">
        <v>156</v>
      </c>
      <c r="B2" s="91"/>
      <c r="C2" s="91"/>
      <c r="D2" s="91"/>
      <c r="E2" s="91"/>
      <c r="F2" s="91"/>
      <c r="G2" s="91"/>
      <c r="H2" s="91"/>
    </row>
    <row r="3" spans="1:9" s="37" customFormat="1">
      <c r="A3" s="91" t="s">
        <v>98</v>
      </c>
      <c r="B3" s="91"/>
      <c r="C3" s="91"/>
      <c r="D3" s="91"/>
      <c r="E3" s="91"/>
      <c r="F3" s="91"/>
      <c r="G3" s="91"/>
      <c r="H3" s="91"/>
      <c r="I3" s="50"/>
    </row>
    <row r="4" spans="1:9" s="50" customFormat="1">
      <c r="A4" s="52" t="s">
        <v>54</v>
      </c>
      <c r="B4" s="52"/>
      <c r="C4" s="52"/>
      <c r="D4" s="52"/>
      <c r="E4" s="52"/>
      <c r="F4" s="53"/>
      <c r="G4" s="53"/>
      <c r="H4" s="53"/>
      <c r="I4" s="37"/>
    </row>
    <row r="5" spans="1:9" s="50" customFormat="1">
      <c r="B5" s="95" t="s">
        <v>152</v>
      </c>
      <c r="C5" s="95"/>
      <c r="D5" s="95"/>
      <c r="E5" s="95"/>
      <c r="F5" s="95"/>
      <c r="G5" s="95"/>
      <c r="H5" s="95"/>
    </row>
    <row r="6" spans="1:9" s="85" customFormat="1">
      <c r="A6" s="50"/>
      <c r="B6" s="95" t="s">
        <v>153</v>
      </c>
      <c r="C6" s="95"/>
      <c r="D6" s="95"/>
      <c r="E6" s="95"/>
      <c r="F6" s="95"/>
      <c r="G6" s="95"/>
      <c r="H6" s="95"/>
      <c r="I6" s="50"/>
    </row>
    <row r="7" spans="1:9" s="37" customFormat="1" ht="21.75" customHeight="1">
      <c r="A7" s="85"/>
      <c r="B7" s="96" t="s">
        <v>154</v>
      </c>
      <c r="C7" s="96"/>
      <c r="D7" s="96"/>
      <c r="E7" s="96"/>
      <c r="F7" s="96"/>
      <c r="G7" s="96"/>
      <c r="H7" s="96"/>
      <c r="I7" s="85"/>
    </row>
    <row r="8" spans="1:9" s="37" customFormat="1" ht="21.75" customHeight="1">
      <c r="B8" s="54" t="s">
        <v>0</v>
      </c>
      <c r="C8" s="55" t="s">
        <v>34</v>
      </c>
      <c r="D8" s="55" t="s">
        <v>35</v>
      </c>
      <c r="E8" s="55" t="s">
        <v>36</v>
      </c>
      <c r="F8" s="55" t="s">
        <v>37</v>
      </c>
      <c r="G8" s="55" t="s">
        <v>38</v>
      </c>
    </row>
    <row r="9" spans="1:9" s="37" customFormat="1" ht="21.75" customHeight="1">
      <c r="B9" s="56" t="s">
        <v>9</v>
      </c>
      <c r="C9" s="57" t="s">
        <v>95</v>
      </c>
      <c r="D9" s="57" t="s">
        <v>96</v>
      </c>
      <c r="E9" s="69">
        <v>11</v>
      </c>
      <c r="F9" s="58" t="s">
        <v>166</v>
      </c>
      <c r="G9" s="58" t="s">
        <v>97</v>
      </c>
    </row>
    <row r="10" spans="1:9" s="37" customFormat="1" ht="21.75" customHeight="1">
      <c r="B10" s="56" t="s">
        <v>10</v>
      </c>
      <c r="C10" s="30">
        <v>4.3460607394366217</v>
      </c>
      <c r="D10" s="30">
        <v>4.55591768916155</v>
      </c>
      <c r="E10" s="19">
        <v>3.6647727272727271</v>
      </c>
      <c r="F10" s="83">
        <v>4.82</v>
      </c>
      <c r="G10" s="83">
        <v>4.8012499999999996</v>
      </c>
    </row>
    <row r="11" spans="1:9" s="37" customFormat="1" ht="21.75" customHeight="1">
      <c r="B11" s="56" t="s">
        <v>11</v>
      </c>
      <c r="C11" s="30">
        <v>86.921214788732442</v>
      </c>
      <c r="D11" s="30">
        <v>91.118353783231001</v>
      </c>
      <c r="E11" s="30">
        <v>73.295454545454547</v>
      </c>
      <c r="F11" s="84">
        <v>96.4</v>
      </c>
      <c r="G11" s="84">
        <v>96.024999999999991</v>
      </c>
    </row>
    <row r="12" spans="1:9" s="37" customFormat="1" ht="24" customHeight="1">
      <c r="B12" s="60"/>
      <c r="C12" s="61"/>
      <c r="D12" s="61"/>
      <c r="E12" s="61"/>
      <c r="F12" s="74"/>
      <c r="G12" s="74"/>
    </row>
    <row r="13" spans="1:9" s="37" customFormat="1" ht="24" customHeight="1">
      <c r="A13" s="94" t="s">
        <v>39</v>
      </c>
      <c r="B13" s="94"/>
      <c r="H13" s="37" t="s">
        <v>52</v>
      </c>
    </row>
    <row r="14" spans="1:9" s="37" customFormat="1" ht="24" customHeight="1">
      <c r="B14" s="40" t="s">
        <v>40</v>
      </c>
    </row>
    <row r="15" spans="1:9" s="73" customFormat="1" ht="24" customHeight="1">
      <c r="A15" s="35"/>
      <c r="B15" s="34" t="s">
        <v>105</v>
      </c>
      <c r="C15" s="38"/>
      <c r="D15" s="38"/>
      <c r="E15" s="38"/>
      <c r="F15" s="38"/>
      <c r="G15" s="38"/>
      <c r="H15" s="38"/>
      <c r="I15" s="35"/>
    </row>
    <row r="16" spans="1:9" s="73" customFormat="1" ht="24" customHeight="1">
      <c r="A16" s="35"/>
      <c r="B16" s="73" t="s">
        <v>157</v>
      </c>
      <c r="C16" s="38"/>
      <c r="D16" s="38"/>
      <c r="E16" s="38"/>
      <c r="F16" s="38"/>
      <c r="G16" s="38"/>
      <c r="H16" s="38"/>
      <c r="I16" s="35"/>
    </row>
    <row r="17" spans="1:9" s="73" customFormat="1" ht="24" customHeight="1">
      <c r="A17" s="35"/>
      <c r="B17" s="73" t="s">
        <v>100</v>
      </c>
      <c r="C17" s="38"/>
      <c r="D17" s="38"/>
      <c r="E17" s="38"/>
      <c r="F17" s="38"/>
      <c r="G17" s="38"/>
      <c r="H17" s="38"/>
      <c r="I17" s="35"/>
    </row>
    <row r="18" spans="1:9" s="73" customFormat="1" ht="24" customHeight="1">
      <c r="A18" s="35"/>
      <c r="B18" s="73" t="s">
        <v>101</v>
      </c>
      <c r="C18" s="38"/>
      <c r="D18" s="38"/>
      <c r="E18" s="38"/>
      <c r="F18" s="38"/>
      <c r="G18" s="38"/>
      <c r="H18" s="38"/>
      <c r="I18" s="35"/>
    </row>
    <row r="19" spans="1:9" s="73" customFormat="1" ht="24" customHeight="1">
      <c r="A19" s="35"/>
      <c r="B19" s="73" t="s">
        <v>102</v>
      </c>
      <c r="C19" s="38"/>
      <c r="D19" s="38"/>
      <c r="E19" s="38"/>
      <c r="F19" s="38"/>
      <c r="G19" s="38"/>
      <c r="H19" s="38"/>
      <c r="I19" s="35"/>
    </row>
    <row r="20" spans="1:9" s="73" customFormat="1" ht="24" customHeight="1">
      <c r="A20" s="35"/>
      <c r="B20" s="73" t="s">
        <v>149</v>
      </c>
      <c r="C20" s="38"/>
      <c r="D20" s="38"/>
      <c r="E20" s="38"/>
      <c r="F20" s="38"/>
      <c r="G20" s="38"/>
      <c r="H20" s="38"/>
      <c r="I20" s="35"/>
    </row>
    <row r="21" spans="1:9" s="73" customFormat="1" ht="24" customHeight="1">
      <c r="A21" s="35"/>
      <c r="B21" s="73" t="s">
        <v>103</v>
      </c>
      <c r="C21" s="38"/>
      <c r="D21" s="38"/>
      <c r="E21" s="38"/>
      <c r="F21" s="38"/>
      <c r="G21" s="38"/>
      <c r="H21" s="38"/>
      <c r="I21" s="35"/>
    </row>
    <row r="22" spans="1:9" s="73" customFormat="1" ht="24" customHeight="1">
      <c r="A22" s="35"/>
      <c r="B22" s="73" t="s">
        <v>104</v>
      </c>
      <c r="C22" s="38"/>
      <c r="D22" s="38"/>
      <c r="E22" s="38"/>
      <c r="F22" s="38"/>
      <c r="G22" s="38"/>
      <c r="H22" s="38"/>
      <c r="I22" s="35"/>
    </row>
    <row r="23" spans="1:9" s="73" customFormat="1" ht="24" customHeight="1">
      <c r="A23" s="35"/>
      <c r="B23" s="34" t="s">
        <v>158</v>
      </c>
      <c r="C23" s="38"/>
      <c r="D23" s="38"/>
      <c r="E23" s="38"/>
      <c r="F23" s="38"/>
      <c r="G23" s="38"/>
      <c r="H23" s="38"/>
      <c r="I23" s="35"/>
    </row>
    <row r="24" spans="1:9" s="73" customFormat="1" ht="24" customHeight="1">
      <c r="A24" s="35"/>
      <c r="B24" s="34" t="s">
        <v>110</v>
      </c>
      <c r="C24" s="38"/>
      <c r="D24" s="38"/>
      <c r="E24" s="38"/>
      <c r="F24" s="38"/>
      <c r="G24" s="38"/>
      <c r="H24" s="38"/>
      <c r="I24" s="35"/>
    </row>
    <row r="25" spans="1:9" s="73" customFormat="1" ht="24" customHeight="1">
      <c r="A25" s="35"/>
      <c r="B25" s="34" t="s">
        <v>113</v>
      </c>
      <c r="C25" s="38"/>
      <c r="D25" s="38"/>
      <c r="E25" s="38"/>
      <c r="F25" s="38"/>
      <c r="G25" s="38"/>
      <c r="H25" s="38"/>
      <c r="I25" s="35"/>
    </row>
    <row r="26" spans="1:9" s="73" customFormat="1" ht="24" customHeight="1">
      <c r="A26" s="35"/>
      <c r="B26" s="34" t="s">
        <v>114</v>
      </c>
      <c r="C26" s="38"/>
      <c r="D26" s="38"/>
      <c r="E26" s="38"/>
      <c r="F26" s="38"/>
      <c r="G26" s="38"/>
      <c r="H26" s="38"/>
      <c r="I26" s="35"/>
    </row>
    <row r="27" spans="1:9" s="73" customFormat="1" ht="24" customHeight="1">
      <c r="A27" s="35"/>
      <c r="B27" s="34" t="s">
        <v>115</v>
      </c>
      <c r="C27" s="38"/>
      <c r="D27" s="38"/>
      <c r="E27" s="38"/>
      <c r="F27" s="38"/>
      <c r="G27" s="38"/>
      <c r="H27" s="38"/>
      <c r="I27" s="35"/>
    </row>
    <row r="28" spans="1:9" s="73" customFormat="1" ht="24" customHeight="1">
      <c r="A28" s="35"/>
      <c r="B28" s="34" t="s">
        <v>116</v>
      </c>
      <c r="C28" s="38"/>
      <c r="D28" s="38"/>
      <c r="E28" s="38"/>
      <c r="F28" s="38"/>
      <c r="G28" s="38"/>
      <c r="H28" s="38"/>
      <c r="I28" s="35"/>
    </row>
    <row r="29" spans="1:9" s="73" customFormat="1" ht="24" customHeight="1">
      <c r="A29" s="35"/>
      <c r="C29" s="38"/>
      <c r="D29" s="38"/>
      <c r="E29" s="38"/>
      <c r="F29" s="38"/>
      <c r="G29" s="38"/>
      <c r="H29" s="38"/>
      <c r="I29" s="35"/>
    </row>
    <row r="30" spans="1:9" s="73" customFormat="1" ht="24" customHeight="1">
      <c r="A30" s="75"/>
      <c r="B30" s="40" t="s">
        <v>41</v>
      </c>
      <c r="C30" s="39"/>
      <c r="D30" s="39"/>
      <c r="E30" s="39"/>
      <c r="F30" s="39"/>
      <c r="G30" s="39"/>
      <c r="H30" s="39"/>
    </row>
    <row r="31" spans="1:9" s="43" customFormat="1" ht="24" customHeight="1">
      <c r="A31" s="35"/>
      <c r="B31" s="35" t="s">
        <v>109</v>
      </c>
      <c r="C31" s="38"/>
      <c r="D31" s="38"/>
      <c r="E31" s="38"/>
      <c r="F31" s="38"/>
      <c r="G31" s="38"/>
      <c r="H31" s="38"/>
      <c r="I31" s="35"/>
    </row>
    <row r="32" spans="1:9" s="43" customFormat="1" ht="24" customHeight="1">
      <c r="A32" s="35"/>
      <c r="B32" s="35" t="s">
        <v>112</v>
      </c>
      <c r="C32" s="38"/>
      <c r="D32" s="38"/>
      <c r="E32" s="38"/>
      <c r="F32" s="38"/>
      <c r="G32" s="38"/>
      <c r="H32" s="38"/>
      <c r="I32" s="35"/>
    </row>
    <row r="33" spans="1:9" s="43" customFormat="1" ht="24" customHeight="1">
      <c r="A33" s="35"/>
      <c r="B33" s="35"/>
      <c r="C33" s="38"/>
      <c r="D33" s="38"/>
      <c r="E33" s="38"/>
      <c r="F33" s="38"/>
      <c r="G33" s="38"/>
      <c r="H33" s="38"/>
      <c r="I33" s="35"/>
    </row>
    <row r="34" spans="1:9" ht="24" customHeight="1">
      <c r="A34" s="59"/>
      <c r="B34" s="51" t="s">
        <v>42</v>
      </c>
      <c r="C34" s="51"/>
      <c r="D34" s="51"/>
      <c r="E34" s="51"/>
      <c r="F34" s="37"/>
      <c r="G34" s="37"/>
      <c r="H34" s="37"/>
      <c r="I34" s="43"/>
    </row>
    <row r="35" spans="1:9" ht="24" customHeight="1">
      <c r="A35" s="73"/>
      <c r="B35" s="34" t="s">
        <v>165</v>
      </c>
      <c r="C35" s="34"/>
      <c r="D35" s="39"/>
      <c r="E35" s="41"/>
      <c r="F35" s="41"/>
      <c r="G35" s="41"/>
      <c r="H35" s="41"/>
      <c r="I35" s="73"/>
    </row>
    <row r="36" spans="1:9" ht="24" customHeight="1">
      <c r="A36" s="73"/>
      <c r="B36" s="90" t="s">
        <v>108</v>
      </c>
      <c r="C36" s="90"/>
      <c r="D36" s="90"/>
      <c r="E36" s="90"/>
      <c r="F36" s="90"/>
      <c r="G36" s="41"/>
      <c r="H36" s="41"/>
      <c r="I36" s="73"/>
    </row>
    <row r="37" spans="1:9" ht="24" customHeight="1">
      <c r="A37" s="73"/>
      <c r="B37" s="34" t="s">
        <v>107</v>
      </c>
      <c r="C37" s="34"/>
      <c r="D37" s="39"/>
      <c r="E37" s="41"/>
      <c r="F37" s="41"/>
      <c r="G37" s="41"/>
      <c r="H37" s="41"/>
      <c r="I37" s="73"/>
    </row>
    <row r="38" spans="1:9" ht="24" customHeight="1">
      <c r="A38" s="73"/>
      <c r="B38" s="34" t="s">
        <v>111</v>
      </c>
      <c r="C38" s="34"/>
      <c r="D38" s="39"/>
      <c r="E38" s="41"/>
      <c r="F38" s="41"/>
      <c r="G38" s="41"/>
      <c r="H38" s="41"/>
      <c r="I38" s="73"/>
    </row>
    <row r="39" spans="1:9" ht="24" customHeight="1">
      <c r="A39" s="73"/>
      <c r="B39" s="34" t="s">
        <v>148</v>
      </c>
      <c r="C39" s="34"/>
      <c r="D39" s="39"/>
      <c r="E39" s="41"/>
      <c r="F39" s="41"/>
      <c r="G39" s="41"/>
      <c r="H39" s="41"/>
      <c r="I39" s="73"/>
    </row>
    <row r="40" spans="1:9" ht="24" customHeight="1">
      <c r="A40" s="73"/>
      <c r="B40" s="34" t="s">
        <v>136</v>
      </c>
      <c r="C40" s="34"/>
      <c r="D40" s="39"/>
      <c r="E40" s="41"/>
      <c r="F40" s="41"/>
      <c r="G40" s="41"/>
      <c r="H40" s="41"/>
      <c r="I40" s="73"/>
    </row>
    <row r="41" spans="1:9" ht="24" customHeight="1">
      <c r="A41" s="73"/>
      <c r="B41" s="34"/>
      <c r="C41" s="34"/>
      <c r="D41" s="39"/>
      <c r="E41" s="41"/>
      <c r="F41" s="41"/>
      <c r="G41" s="41"/>
      <c r="H41" s="41"/>
      <c r="I41" s="73"/>
    </row>
    <row r="42" spans="1:9" ht="24" customHeight="1">
      <c r="A42" s="71" t="s">
        <v>43</v>
      </c>
      <c r="C42" s="37"/>
      <c r="D42" s="37"/>
      <c r="E42" s="37"/>
      <c r="F42" s="37"/>
      <c r="G42" s="37"/>
      <c r="H42" s="37"/>
    </row>
    <row r="43" spans="1:9" ht="24" customHeight="1">
      <c r="B43" s="40" t="s">
        <v>40</v>
      </c>
      <c r="C43" s="42"/>
      <c r="D43" s="42"/>
      <c r="E43" s="42"/>
      <c r="F43" s="42"/>
      <c r="G43" s="42"/>
      <c r="H43" s="42"/>
    </row>
    <row r="44" spans="1:9" s="73" customFormat="1" ht="24" customHeight="1">
      <c r="B44" s="73" t="s">
        <v>160</v>
      </c>
    </row>
    <row r="45" spans="1:9" s="73" customFormat="1" ht="24" customHeight="1">
      <c r="B45" s="73" t="s">
        <v>122</v>
      </c>
    </row>
    <row r="46" spans="1:9" s="73" customFormat="1" ht="24" customHeight="1">
      <c r="B46" s="73" t="s">
        <v>123</v>
      </c>
    </row>
    <row r="47" spans="1:9" s="73" customFormat="1" ht="24" customHeight="1">
      <c r="B47" s="73" t="s">
        <v>161</v>
      </c>
    </row>
    <row r="48" spans="1:9" s="73" customFormat="1" ht="24" customHeight="1">
      <c r="B48" s="73" t="s">
        <v>124</v>
      </c>
    </row>
    <row r="49" spans="2:2" s="73" customFormat="1" ht="24" customHeight="1">
      <c r="B49" s="73" t="s">
        <v>125</v>
      </c>
    </row>
    <row r="50" spans="2:2" s="73" customFormat="1" ht="24" customHeight="1">
      <c r="B50" s="73" t="s">
        <v>127</v>
      </c>
    </row>
    <row r="51" spans="2:2" s="73" customFormat="1" ht="24" customHeight="1">
      <c r="B51" s="73" t="s">
        <v>128</v>
      </c>
    </row>
    <row r="52" spans="2:2" s="73" customFormat="1" ht="24" customHeight="1">
      <c r="B52" s="73" t="s">
        <v>129</v>
      </c>
    </row>
    <row r="53" spans="2:2" s="73" customFormat="1" ht="24" customHeight="1">
      <c r="B53" s="73" t="s">
        <v>162</v>
      </c>
    </row>
    <row r="54" spans="2:2" s="73" customFormat="1" ht="24" customHeight="1">
      <c r="B54" s="73" t="s">
        <v>131</v>
      </c>
    </row>
    <row r="55" spans="2:2" s="73" customFormat="1" ht="24" customHeight="1">
      <c r="B55" s="73" t="s">
        <v>164</v>
      </c>
    </row>
    <row r="56" spans="2:2" s="73" customFormat="1" ht="24" customHeight="1">
      <c r="B56" s="73" t="s">
        <v>134</v>
      </c>
    </row>
    <row r="57" spans="2:2" s="73" customFormat="1" ht="24" customHeight="1">
      <c r="B57" s="73" t="s">
        <v>137</v>
      </c>
    </row>
    <row r="58" spans="2:2" s="73" customFormat="1" ht="24" customHeight="1">
      <c r="B58" s="73" t="s">
        <v>155</v>
      </c>
    </row>
    <row r="59" spans="2:2" s="73" customFormat="1" ht="24" customHeight="1">
      <c r="B59" s="73" t="s">
        <v>150</v>
      </c>
    </row>
    <row r="60" spans="2:2" s="73" customFormat="1" ht="24" customHeight="1">
      <c r="B60" s="73" t="s">
        <v>138</v>
      </c>
    </row>
    <row r="61" spans="2:2" s="73" customFormat="1" ht="24" customHeight="1">
      <c r="B61" s="73" t="s">
        <v>139</v>
      </c>
    </row>
    <row r="62" spans="2:2" s="73" customFormat="1" ht="24" customHeight="1">
      <c r="B62" s="73" t="s">
        <v>140</v>
      </c>
    </row>
    <row r="63" spans="2:2" s="73" customFormat="1" ht="24" customHeight="1">
      <c r="B63" s="73" t="s">
        <v>144</v>
      </c>
    </row>
    <row r="64" spans="2:2" s="73" customFormat="1" ht="24" customHeight="1">
      <c r="B64" s="73" t="s">
        <v>145</v>
      </c>
    </row>
    <row r="65" spans="1:9" s="73" customFormat="1" ht="24" customHeight="1"/>
    <row r="66" spans="1:9" ht="24" customHeight="1">
      <c r="A66" s="73"/>
      <c r="B66" s="45" t="s">
        <v>41</v>
      </c>
      <c r="C66" s="41"/>
      <c r="D66" s="41"/>
      <c r="E66" s="41"/>
      <c r="F66" s="41"/>
      <c r="G66" s="41"/>
      <c r="H66" s="41"/>
      <c r="I66" s="73"/>
    </row>
    <row r="67" spans="1:9" s="75" customFormat="1" ht="24" customHeight="1">
      <c r="B67" s="34" t="s">
        <v>99</v>
      </c>
      <c r="C67" s="72"/>
      <c r="D67" s="72"/>
      <c r="E67" s="41"/>
      <c r="F67" s="41"/>
      <c r="G67" s="41"/>
      <c r="H67" s="41"/>
      <c r="I67" s="72"/>
    </row>
    <row r="68" spans="1:9" s="75" customFormat="1" ht="24" customHeight="1">
      <c r="B68" s="34" t="s">
        <v>118</v>
      </c>
      <c r="C68" s="72"/>
      <c r="D68" s="72"/>
      <c r="E68" s="41"/>
      <c r="F68" s="41"/>
      <c r="G68" s="41"/>
      <c r="H68" s="41"/>
      <c r="I68" s="72"/>
    </row>
    <row r="69" spans="1:9" s="75" customFormat="1" ht="24" customHeight="1">
      <c r="B69" s="34" t="s">
        <v>119</v>
      </c>
      <c r="C69" s="72"/>
      <c r="D69" s="72"/>
      <c r="E69" s="41"/>
      <c r="F69" s="41"/>
      <c r="G69" s="41"/>
      <c r="H69" s="41"/>
      <c r="I69" s="72"/>
    </row>
    <row r="70" spans="1:9" s="75" customFormat="1" ht="24" customHeight="1">
      <c r="B70" s="34" t="s">
        <v>163</v>
      </c>
      <c r="C70" s="72"/>
      <c r="D70" s="72"/>
      <c r="E70" s="41"/>
      <c r="F70" s="41"/>
      <c r="G70" s="41"/>
      <c r="H70" s="41"/>
      <c r="I70" s="72"/>
    </row>
    <row r="71" spans="1:9" s="75" customFormat="1" ht="24" customHeight="1">
      <c r="B71" s="34" t="s">
        <v>130</v>
      </c>
      <c r="C71" s="72"/>
      <c r="D71" s="72"/>
      <c r="E71" s="41"/>
      <c r="F71" s="41"/>
      <c r="G71" s="41"/>
      <c r="H71" s="41"/>
      <c r="I71" s="72"/>
    </row>
    <row r="72" spans="1:9" s="75" customFormat="1" ht="24" customHeight="1">
      <c r="B72" s="34" t="s">
        <v>132</v>
      </c>
      <c r="C72" s="72"/>
      <c r="D72" s="72"/>
      <c r="E72" s="41"/>
      <c r="F72" s="41"/>
      <c r="G72" s="41"/>
      <c r="H72" s="41"/>
      <c r="I72" s="72"/>
    </row>
    <row r="73" spans="1:9" s="75" customFormat="1" ht="24" customHeight="1">
      <c r="B73" s="75" t="s">
        <v>151</v>
      </c>
      <c r="C73" s="72"/>
      <c r="D73" s="72"/>
      <c r="E73" s="41"/>
      <c r="F73" s="41"/>
      <c r="G73" s="41"/>
      <c r="H73" s="41"/>
      <c r="I73" s="72"/>
    </row>
    <row r="74" spans="1:9" s="75" customFormat="1" ht="24" customHeight="1">
      <c r="B74" s="34"/>
      <c r="C74" s="72"/>
      <c r="D74" s="72"/>
      <c r="E74" s="41"/>
      <c r="F74" s="41"/>
      <c r="G74" s="41"/>
      <c r="H74" s="41"/>
      <c r="I74" s="72"/>
    </row>
    <row r="75" spans="1:9" s="75" customFormat="1" ht="24" customHeight="1">
      <c r="B75" s="48" t="s">
        <v>42</v>
      </c>
      <c r="C75" s="39"/>
      <c r="D75" s="39"/>
      <c r="E75" s="39"/>
      <c r="F75" s="39"/>
      <c r="G75" s="39"/>
      <c r="H75" s="39"/>
    </row>
    <row r="76" spans="1:9" s="75" customFormat="1" ht="24" customHeight="1">
      <c r="B76" s="73" t="s">
        <v>142</v>
      </c>
      <c r="C76" s="39"/>
      <c r="D76" s="39"/>
      <c r="E76" s="39"/>
      <c r="F76" s="39"/>
      <c r="G76" s="39"/>
      <c r="H76" s="39"/>
    </row>
    <row r="77" spans="1:9" s="75" customFormat="1" ht="24" customHeight="1">
      <c r="B77" s="73" t="s">
        <v>146</v>
      </c>
      <c r="C77" s="39"/>
      <c r="D77" s="39"/>
      <c r="E77" s="39"/>
      <c r="F77" s="39"/>
      <c r="G77" s="39"/>
      <c r="H77" s="39"/>
    </row>
    <row r="78" spans="1:9" s="75" customFormat="1" ht="24" customHeight="1">
      <c r="B78" s="73" t="s">
        <v>106</v>
      </c>
      <c r="C78" s="39"/>
      <c r="D78" s="39"/>
      <c r="E78" s="39"/>
      <c r="F78" s="39"/>
      <c r="G78" s="39"/>
      <c r="H78" s="39"/>
    </row>
    <row r="79" spans="1:9" s="75" customFormat="1" ht="24" customHeight="1">
      <c r="B79" s="34" t="s">
        <v>117</v>
      </c>
      <c r="C79" s="36"/>
      <c r="D79" s="36"/>
      <c r="E79" s="36"/>
      <c r="F79" s="36"/>
      <c r="G79" s="36"/>
      <c r="H79" s="36"/>
    </row>
    <row r="80" spans="1:9" s="75" customFormat="1" ht="24" customHeight="1">
      <c r="B80" s="37" t="s">
        <v>120</v>
      </c>
      <c r="C80" s="36"/>
      <c r="D80" s="36"/>
      <c r="E80" s="36"/>
      <c r="F80" s="36"/>
      <c r="G80" s="36"/>
      <c r="H80" s="36"/>
    </row>
    <row r="81" spans="1:9" s="75" customFormat="1" ht="24" customHeight="1">
      <c r="B81" s="34" t="s">
        <v>121</v>
      </c>
      <c r="C81" s="39"/>
      <c r="D81" s="39"/>
      <c r="E81" s="39"/>
      <c r="F81" s="39"/>
      <c r="G81" s="39"/>
      <c r="H81" s="39"/>
    </row>
    <row r="82" spans="1:9" s="75" customFormat="1" ht="24" customHeight="1">
      <c r="B82" s="34" t="s">
        <v>126</v>
      </c>
      <c r="C82" s="39"/>
      <c r="D82" s="39"/>
      <c r="E82" s="39"/>
      <c r="F82" s="39"/>
      <c r="G82" s="39"/>
      <c r="H82" s="39"/>
    </row>
    <row r="83" spans="1:9" s="75" customFormat="1" ht="24" customHeight="1">
      <c r="A83" s="73"/>
      <c r="B83" s="34" t="s">
        <v>159</v>
      </c>
      <c r="C83" s="39"/>
      <c r="D83" s="39"/>
      <c r="E83" s="39"/>
      <c r="F83" s="39"/>
      <c r="G83" s="39"/>
      <c r="H83" s="39"/>
    </row>
    <row r="84" spans="1:9" s="75" customFormat="1" ht="24" customHeight="1">
      <c r="A84" s="73"/>
      <c r="B84" s="34" t="s">
        <v>133</v>
      </c>
      <c r="C84" s="39"/>
      <c r="D84" s="39"/>
      <c r="E84" s="39"/>
      <c r="F84" s="39"/>
      <c r="G84" s="39"/>
      <c r="H84" s="39"/>
    </row>
    <row r="85" spans="1:9" ht="24" customHeight="1">
      <c r="A85" s="73"/>
      <c r="B85" s="34" t="s">
        <v>135</v>
      </c>
      <c r="C85" s="39"/>
      <c r="D85" s="39"/>
      <c r="E85" s="39"/>
      <c r="F85" s="39"/>
      <c r="G85" s="39"/>
      <c r="H85" s="39"/>
      <c r="I85" s="75"/>
    </row>
    <row r="86" spans="1:9" s="73" customFormat="1" ht="24" customHeight="1">
      <c r="B86" s="35" t="s">
        <v>141</v>
      </c>
      <c r="C86" s="46"/>
      <c r="D86" s="46"/>
      <c r="E86" s="49"/>
      <c r="F86" s="49"/>
      <c r="G86" s="49"/>
      <c r="H86" s="46"/>
      <c r="I86" s="35"/>
    </row>
    <row r="87" spans="1:9" s="75" customFormat="1" ht="24" customHeight="1">
      <c r="A87" s="73"/>
      <c r="B87" s="73" t="s">
        <v>143</v>
      </c>
      <c r="C87" s="41"/>
      <c r="D87" s="41"/>
      <c r="E87" s="41"/>
      <c r="F87" s="41"/>
      <c r="G87" s="41"/>
      <c r="H87" s="41"/>
      <c r="I87" s="73"/>
    </row>
    <row r="88" spans="1:9" s="75" customFormat="1" ht="24" customHeight="1">
      <c r="A88" s="73"/>
      <c r="B88" s="73" t="s">
        <v>147</v>
      </c>
      <c r="C88" s="39"/>
      <c r="D88" s="39"/>
      <c r="E88" s="39"/>
      <c r="F88" s="39"/>
      <c r="G88" s="39"/>
      <c r="H88" s="39"/>
    </row>
    <row r="89" spans="1:9" s="73" customFormat="1" ht="24" customHeight="1">
      <c r="B89" s="47"/>
      <c r="C89" s="39"/>
      <c r="D89" s="39"/>
      <c r="E89" s="39"/>
      <c r="F89" s="39"/>
      <c r="G89" s="39"/>
      <c r="H89" s="39"/>
      <c r="I89" s="75"/>
    </row>
    <row r="90" spans="1:9" s="73" customFormat="1" ht="24" customHeight="1">
      <c r="B90" s="47"/>
      <c r="C90" s="41"/>
      <c r="D90" s="41"/>
      <c r="E90" s="41"/>
      <c r="F90" s="41"/>
      <c r="G90" s="41"/>
      <c r="H90" s="41"/>
    </row>
    <row r="91" spans="1:9" s="73" customFormat="1" ht="24" customHeight="1">
      <c r="A91" s="75"/>
      <c r="B91" s="47"/>
      <c r="C91" s="41"/>
      <c r="D91" s="41"/>
      <c r="E91" s="41"/>
      <c r="F91" s="41"/>
      <c r="G91" s="41"/>
      <c r="H91" s="41"/>
    </row>
    <row r="92" spans="1:9" s="73" customFormat="1" ht="24" customHeight="1">
      <c r="B92" s="47"/>
      <c r="C92" s="41"/>
      <c r="D92" s="41"/>
      <c r="E92" s="41"/>
      <c r="F92" s="41"/>
      <c r="G92" s="41"/>
      <c r="H92" s="41"/>
    </row>
    <row r="93" spans="1:9" s="75" customFormat="1" ht="24" customHeight="1">
      <c r="A93" s="73"/>
      <c r="B93" s="47"/>
      <c r="C93" s="41"/>
      <c r="D93" s="41"/>
      <c r="E93" s="41"/>
      <c r="F93" s="41"/>
      <c r="G93" s="41"/>
      <c r="H93" s="41"/>
      <c r="I93" s="73"/>
    </row>
    <row r="94" spans="1:9" s="73" customFormat="1" ht="24" customHeight="1">
      <c r="B94" s="44"/>
      <c r="C94" s="39"/>
      <c r="D94" s="39"/>
      <c r="E94" s="39"/>
      <c r="F94" s="39"/>
      <c r="G94" s="39"/>
      <c r="H94" s="39"/>
      <c r="I94" s="75"/>
    </row>
    <row r="95" spans="1:9" s="73" customFormat="1" ht="24" customHeight="1">
      <c r="B95" s="44"/>
      <c r="C95" s="41"/>
      <c r="D95" s="41"/>
      <c r="E95" s="41"/>
      <c r="F95" s="41"/>
      <c r="G95" s="41"/>
      <c r="H95" s="41"/>
    </row>
    <row r="96" spans="1:9" s="73" customFormat="1" ht="24" customHeight="1">
      <c r="B96" s="44"/>
      <c r="C96" s="41"/>
      <c r="D96" s="41"/>
      <c r="E96" s="41"/>
      <c r="F96" s="41"/>
      <c r="G96" s="41"/>
      <c r="H96" s="41"/>
    </row>
    <row r="97" spans="2:8" s="73" customFormat="1" ht="24" customHeight="1">
      <c r="B97" s="44"/>
      <c r="C97" s="41"/>
      <c r="D97" s="41"/>
      <c r="E97" s="41"/>
      <c r="F97" s="41"/>
      <c r="G97" s="41"/>
      <c r="H97" s="41"/>
    </row>
    <row r="98" spans="2:8" s="73" customFormat="1" ht="24" customHeight="1">
      <c r="B98" s="47"/>
      <c r="C98" s="41"/>
      <c r="D98" s="41"/>
      <c r="E98" s="41"/>
      <c r="F98" s="41"/>
      <c r="G98" s="41"/>
      <c r="H98" s="41"/>
    </row>
    <row r="99" spans="2:8" s="73" customFormat="1" ht="24" customHeight="1">
      <c r="B99" s="47"/>
      <c r="C99" s="41"/>
      <c r="D99" s="41"/>
      <c r="E99" s="41"/>
      <c r="F99" s="41"/>
      <c r="G99" s="41"/>
      <c r="H99" s="41"/>
    </row>
    <row r="100" spans="2:8" s="73" customFormat="1" ht="24" customHeight="1">
      <c r="B100" s="47"/>
      <c r="C100" s="41"/>
      <c r="D100" s="41"/>
      <c r="E100" s="41"/>
      <c r="F100" s="41"/>
      <c r="G100" s="41"/>
      <c r="H100" s="41"/>
    </row>
    <row r="101" spans="2:8" s="73" customFormat="1" ht="24" customHeight="1">
      <c r="B101" s="47"/>
      <c r="C101" s="41"/>
      <c r="D101" s="41"/>
      <c r="E101" s="41"/>
      <c r="F101" s="41"/>
      <c r="G101" s="41"/>
      <c r="H101" s="41"/>
    </row>
    <row r="102" spans="2:8" s="73" customFormat="1" ht="24" customHeight="1">
      <c r="B102" s="47"/>
      <c r="C102" s="41"/>
      <c r="D102" s="41"/>
      <c r="E102" s="41"/>
      <c r="F102" s="41"/>
      <c r="G102" s="41"/>
      <c r="H102" s="41"/>
    </row>
    <row r="103" spans="2:8" s="73" customFormat="1" ht="24" customHeight="1">
      <c r="B103" s="47"/>
      <c r="C103" s="41"/>
      <c r="D103" s="41"/>
      <c r="E103" s="41"/>
      <c r="F103" s="41"/>
      <c r="G103" s="41"/>
      <c r="H103" s="41"/>
    </row>
    <row r="104" spans="2:8" s="73" customFormat="1" ht="24" customHeight="1">
      <c r="B104" s="47"/>
      <c r="C104" s="41"/>
      <c r="D104" s="41"/>
      <c r="E104" s="41"/>
      <c r="F104" s="41"/>
      <c r="G104" s="41"/>
      <c r="H104" s="41"/>
    </row>
    <row r="105" spans="2:8" s="73" customFormat="1" ht="24" customHeight="1">
      <c r="B105" s="47"/>
      <c r="C105" s="41"/>
      <c r="D105" s="41"/>
      <c r="E105" s="41"/>
      <c r="F105" s="41"/>
      <c r="G105" s="41"/>
      <c r="H105" s="41"/>
    </row>
    <row r="106" spans="2:8" s="73" customFormat="1" ht="24" customHeight="1">
      <c r="B106" s="47"/>
      <c r="C106" s="41"/>
      <c r="D106" s="41"/>
      <c r="E106" s="41"/>
      <c r="F106" s="41"/>
      <c r="G106" s="41"/>
      <c r="H106" s="41"/>
    </row>
    <row r="107" spans="2:8" s="73" customFormat="1" ht="24" customHeight="1">
      <c r="B107" s="47"/>
      <c r="C107" s="41"/>
      <c r="D107" s="41"/>
      <c r="E107" s="41"/>
      <c r="F107" s="41"/>
      <c r="G107" s="41"/>
      <c r="H107" s="41"/>
    </row>
    <row r="108" spans="2:8" s="73" customFormat="1" ht="24" customHeight="1">
      <c r="B108" s="47"/>
      <c r="C108" s="41"/>
      <c r="D108" s="41"/>
      <c r="E108" s="41"/>
      <c r="F108" s="41"/>
      <c r="G108" s="41"/>
      <c r="H108" s="41"/>
    </row>
    <row r="109" spans="2:8" s="73" customFormat="1" ht="24" customHeight="1">
      <c r="B109" s="35"/>
      <c r="C109" s="41"/>
      <c r="D109" s="41"/>
      <c r="E109" s="41"/>
      <c r="F109" s="41"/>
      <c r="G109" s="41"/>
      <c r="H109" s="41"/>
    </row>
    <row r="110" spans="2:8" s="73" customFormat="1" ht="24" customHeight="1">
      <c r="B110" s="35"/>
      <c r="C110" s="41"/>
      <c r="D110" s="41"/>
      <c r="E110" s="41"/>
      <c r="F110" s="41"/>
      <c r="G110" s="41"/>
      <c r="H110" s="41"/>
    </row>
    <row r="111" spans="2:8" s="73" customFormat="1" ht="24" customHeight="1">
      <c r="B111" s="35"/>
      <c r="C111" s="41"/>
      <c r="D111" s="41"/>
      <c r="E111" s="41"/>
      <c r="F111" s="41"/>
      <c r="G111" s="41"/>
      <c r="H111" s="41"/>
    </row>
    <row r="112" spans="2:8" s="73" customFormat="1" ht="24" customHeight="1">
      <c r="B112" s="35"/>
      <c r="C112" s="41"/>
      <c r="D112" s="41"/>
      <c r="E112" s="41"/>
      <c r="F112" s="41"/>
      <c r="G112" s="41"/>
      <c r="H112" s="41"/>
    </row>
    <row r="113" spans="1:9" s="73" customFormat="1" ht="24" customHeight="1">
      <c r="A113" s="35"/>
      <c r="B113" s="35"/>
      <c r="C113" s="41"/>
      <c r="D113" s="41"/>
      <c r="E113" s="41"/>
      <c r="F113" s="41"/>
      <c r="G113" s="41"/>
      <c r="H113" s="41"/>
    </row>
    <row r="114" spans="1:9" s="73" customFormat="1" ht="24" customHeight="1">
      <c r="A114" s="35"/>
      <c r="B114" s="35"/>
      <c r="C114" s="41"/>
      <c r="D114" s="41"/>
      <c r="E114" s="41"/>
      <c r="F114" s="41"/>
      <c r="G114" s="41"/>
      <c r="H114" s="41"/>
    </row>
    <row r="115" spans="1:9">
      <c r="C115" s="41"/>
      <c r="D115" s="41"/>
      <c r="E115" s="41"/>
      <c r="F115" s="41"/>
      <c r="G115" s="41"/>
      <c r="H115" s="41"/>
      <c r="I115" s="73"/>
    </row>
  </sheetData>
  <mergeCells count="8">
    <mergeCell ref="B36:F36"/>
    <mergeCell ref="A3:H3"/>
    <mergeCell ref="A1:I1"/>
    <mergeCell ref="A13:B13"/>
    <mergeCell ref="A2:H2"/>
    <mergeCell ref="B5:H5"/>
    <mergeCell ref="B7:H7"/>
    <mergeCell ref="B6:H6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Total Table</vt:lpstr>
      <vt:lpstr>Summary</vt:lpstr>
      <vt:lpstr>Summary!Print_Area</vt:lpstr>
      <vt:lpstr>'Total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maneerat nerwong</cp:lastModifiedBy>
  <cp:lastPrinted>2024-05-20T07:51:08Z</cp:lastPrinted>
  <dcterms:created xsi:type="dcterms:W3CDTF">2023-02-02T03:43:01Z</dcterms:created>
  <dcterms:modified xsi:type="dcterms:W3CDTF">2024-11-28T06:04:36Z</dcterms:modified>
</cp:coreProperties>
</file>