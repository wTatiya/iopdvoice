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7\8.Aug\"/>
    </mc:Choice>
  </mc:AlternateContent>
  <xr:revisionPtr revIDLastSave="0" documentId="13_ncr:1_{4965D0C8-7570-414E-A717-C2AE2757BA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Summary!$A$1:$K$105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5" i="1" l="1"/>
  <c r="C22" i="1"/>
  <c r="E11" i="2"/>
  <c r="H68" i="1"/>
  <c r="G45" i="1"/>
  <c r="H22" i="1"/>
  <c r="D22" i="1"/>
  <c r="E22" i="1"/>
  <c r="B22" i="1"/>
  <c r="F22" i="1"/>
  <c r="G22" i="1"/>
  <c r="I22" i="1"/>
  <c r="K22" i="1"/>
  <c r="L22" i="1"/>
  <c r="M22" i="1"/>
  <c r="N22" i="1"/>
  <c r="O22" i="1"/>
  <c r="P22" i="1"/>
  <c r="P45" i="1" l="1"/>
  <c r="L91" i="1" l="1"/>
  <c r="F45" i="1"/>
  <c r="E45" i="1" l="1"/>
  <c r="H45" i="1"/>
  <c r="J45" i="1"/>
  <c r="M45" i="1"/>
  <c r="N45" i="1"/>
  <c r="O45" i="1"/>
  <c r="J68" i="1"/>
  <c r="K68" i="1"/>
  <c r="L68" i="1"/>
  <c r="M68" i="1"/>
  <c r="N68" i="1"/>
  <c r="M91" i="1"/>
  <c r="B91" i="1"/>
  <c r="C91" i="1"/>
  <c r="D91" i="1"/>
  <c r="E91" i="1"/>
  <c r="F91" i="1"/>
  <c r="G91" i="1"/>
  <c r="H91" i="1"/>
  <c r="I91" i="1"/>
  <c r="J91" i="1"/>
  <c r="B68" i="1"/>
  <c r="C68" i="1"/>
  <c r="D68" i="1"/>
  <c r="E68" i="1"/>
  <c r="G68" i="1"/>
</calcChain>
</file>

<file path=xl/sharedStrings.xml><?xml version="1.0" encoding="utf-8"?>
<sst xmlns="http://schemas.openxmlformats.org/spreadsheetml/2006/main" count="490" uniqueCount="180">
  <si>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</si>
  <si>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</si>
  <si>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</si>
  <si>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</si>
  <si>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</si>
  <si>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</si>
  <si>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</si>
  <si>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</si>
  <si>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</si>
  <si>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</si>
  <si>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</si>
  <si>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</si>
  <si>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</si>
  <si>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</si>
  <si>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</si>
  <si>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</si>
  <si>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</si>
  <si>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</si>
  <si>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</si>
  <si>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</si>
  <si>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</si>
  <si>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</si>
  <si>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</si>
  <si>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</si>
  <si>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</si>
  <si>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</si>
  <si>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</si>
  <si>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</si>
  <si>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</si>
  <si>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</si>
  <si>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</si>
  <si>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</si>
  <si>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</si>
  <si>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</si>
  <si>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</si>
  <si>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</si>
  <si>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</si>
  <si>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</si>
  <si>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</si>
  <si>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</si>
  <si>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</si>
  <si>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</si>
  <si>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</si>
  <si>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</si>
  <si>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</si>
  <si>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</si>
  <si>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</si>
  <si>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</si>
  <si>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</si>
  <si>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</si>
  <si>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</si>
  <si>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</si>
  <si>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</si>
  <si>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</si>
  <si>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</si>
  <si>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</si>
  <si>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</si>
  <si>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</si>
  <si>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</si>
  <si>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</si>
  <si>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</si>
  <si>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</si>
  <si>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</si>
  <si>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</si>
  <si>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</si>
  <si>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</si>
  <si>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</si>
  <si>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</si>
  <si>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</si>
  <si>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</si>
  <si>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</si>
  <si>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</si>
  <si>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</si>
  <si>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</si>
  <si>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</si>
  <si>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</si>
  <si>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</si>
  <si>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</si>
  <si>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</si>
  <si>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</si>
  <si>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</si>
  <si>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</si>
  <si>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</si>
  <si>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</si>
  <si>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</si>
  <si>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</si>
  <si>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</si>
  <si>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</si>
  <si>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</si>
  <si>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</si>
  <si>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</si>
  <si>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</si>
  <si>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1141</t>
  </si>
  <si>
    <t>533</t>
  </si>
  <si>
    <t>4.32</t>
  </si>
  <si>
    <t>4.56</t>
  </si>
  <si>
    <t xml:space="preserve">ค่าเฉลี่ยการแนะนำญาติหรือคนรู้จักให้มาใช้บริการที่โรงพยาบาล  OPD = 93.81% IPD = 99.74%  </t>
  </si>
  <si>
    <t xml:space="preserve">ค่าเฉลี่ยความพึงพอใจการใช้บริการของโรงพยาบาล OPD =  86.32% IPD =91.27%  </t>
  </si>
  <si>
    <t>31</t>
  </si>
  <si>
    <t>สรุปการประเมินผล OP-IP VOICE เดือนสิงหาคม 2567</t>
  </si>
  <si>
    <t xml:space="preserve"> - ที่จอดรถ ให้เวลาจอดฟรี น้อยไปมาก ๆ มาแต่เช้า แต่กว่าจะเสร็จ 16.00 น. เจ็บป่วยขับรถมาเองก็ลำบากแล้ว ยังจะมาเสียเงินอีก</t>
  </si>
  <si>
    <t xml:space="preserve"> - ควรให้ข้อมูลการบริการคนไข้มากกว่านี้ สอบถามอะไรเพราะเราไม่รู้ระบบไม่รู้ต้องไปด้านไหนยังไง ควรใส่ใจในคำถามของผู้ใช้บริการมาก ๆ</t>
  </si>
  <si>
    <t xml:space="preserve"> - บุคลากรตรวจคนไข้น้อย</t>
  </si>
  <si>
    <t xml:space="preserve"> - ควรสั่งงานและคีย์ข้อมูลผู้ป่วยให้ชัดเจน ไม่ใช่ให้ผู้ป่วยเดินขึ้น-ลงแต่ละชั้นเพื่อติดต่อ โยนกันไปโยนกันมา</t>
  </si>
  <si>
    <t xml:space="preserve">   กว่าจะได้เข้าตรวจคนไข้เยอะให้คนไข้รอแบบช้ามากควรปรับปรุงมาก ๆ หวังว่าโรงพยาบาลจะนำไปปรับปรุงและจัดสรรหมอตรวจให้เพียงพอต่อความต้องการ ห้องตรวจมีหมออยู่แค่ 2 คน </t>
  </si>
  <si>
    <t xml:space="preserve">   คนไข้รอ 30-40 คน คนนึงก็ใช่เวลาตรวจค่อนข้างนาน หวังว่าจะปรับปรุงให้ดีขึ้น</t>
  </si>
  <si>
    <t xml:space="preserve"> - โดยรวมไม่พึงพอใจในการบริการอย่างยิ่ง</t>
  </si>
  <si>
    <t xml:space="preserve"> - การบริการที่ล่าช้า ควรบริการเร็วกว่านี้ (2)</t>
  </si>
  <si>
    <t xml:space="preserve"> - อยากให้มีป้ายบอกทางที่ชัดเจนในทุกที่  บางครั้งผู้ป่วยไม่เห็น ไม่รู้ว่าต้องทำอะไรทำให้เค้าถึงบริการได้ล่าช้า หรือต้องคอยสอบถามเจ้าหน้าที่ตลอด</t>
  </si>
  <si>
    <t xml:space="preserve"> - อยากให้มีระบบแอพพลิเคชั่น  เก็บข้อมูลผู้ป่วย ประวัติการรักษา เหมือนกับที่โรงพยาบาลชลบุรีมี</t>
  </si>
  <si>
    <t xml:space="preserve"> - จำนวนบุคคลลากรน้อยไม่พอต่อผู้ใช้บริการ ทำให้ใช้เวลานานกว่าจะได้พบแพทย์</t>
  </si>
  <si>
    <t xml:space="preserve"> - รอพบแพทย์นานมาก (2)</t>
  </si>
  <si>
    <t xml:space="preserve"> - รอคิวนาน (4)</t>
  </si>
  <si>
    <t xml:space="preserve"> - อยากให้การพูดจาดีให้เหมือนกับที่เรียนมาและมีน้ำใจ ในความที่เรียนเป็นหมอพยาบาลอยากช่วยคนจริง ๆ ไม่ใช่คนไหนบอกเงินน้อยก็พูดกับเขาไม่ดี</t>
  </si>
  <si>
    <t xml:space="preserve"> - ที่จอดรถ</t>
  </si>
  <si>
    <t xml:space="preserve"> - ไม่ควรเก็บค่าที่จอดรถ (2)</t>
  </si>
  <si>
    <t xml:space="preserve"> - คนไข้เยอะ รอนาน มีขั้นตอนเยอะ</t>
  </si>
  <si>
    <t xml:space="preserve"> - อุปกรณ์ที่ใช้ตรวจบางอย่างน้อย จนทำให้ล่าช้า</t>
  </si>
  <si>
    <t xml:space="preserve"> - อยากให้มีการเขียนขั้นตอนในการเข้ารับบริการ สำหรับการใช้บริการครั้งแรก ณ จุดบริการชั้น 1 ค่ะ</t>
  </si>
  <si>
    <t xml:space="preserve"> - หาที่จอดรถยาก (2)</t>
  </si>
  <si>
    <t xml:space="preserve"> - เดินขึ้นลงหลายชั้น ในการตรวจ</t>
  </si>
  <si>
    <t xml:space="preserve"> - ควรมีการใช้ไมค์ร่วมด้วยในการเรียกคิว เสียงเบามาก  บางทีเรียกแล้วไม่ได้ยิน (2)</t>
  </si>
  <si>
    <t xml:space="preserve"> - อาคารจอดรถชั้น B2 มีรถขับสวนเลน</t>
  </si>
  <si>
    <t xml:space="preserve"> - แผ่นป้ายหนีไฟ ควรทำให้คนแก่เข้าใจได้ง่าย ไม่ใช่ใส่รายละเอียดแผงผัง คนทั่วไปยากที่จะเข้าใจ จัดทำแผนการเดินหนีไฟให้ง่าย จัดทำป้ายลูกศรสีแดง หรือมาตราการตามเห็นควร แต่ไม่ใช่แบบปัจจุบัน</t>
  </si>
  <si>
    <t xml:space="preserve"> - เพิ่มแพทย์จะได้ไม่ต้องรอนาน อดข้าวตั้งแต่เมื่อคืนจนถึง 11:00 (ห้องส่องกล้องทางเดินอาหารและปอด)</t>
  </si>
  <si>
    <t xml:space="preserve"> - ควรมีพัดลม  ร้อนมาก (One Day Service (21A))</t>
  </si>
  <si>
    <t xml:space="preserve"> - ระบบการลงทะเบียนการส่งต่อผู้ป่วยไปแผนกต่าง ๆ มีความล่าช้า  ควรปรับปรุงให้ความรวดเร็วในการลงทะเบียนของแต่ละจุด</t>
  </si>
  <si>
    <t xml:space="preserve"> - รอนาน (4)</t>
  </si>
  <si>
    <t xml:space="preserve"> - ควรยิ้มแย้มมากกว่านี้ค่ะ ไม่ดึงหน้าใส่คนไข้หรือคนที่มารับบริการ</t>
  </si>
  <si>
    <t xml:space="preserve"> - การคำพูดและให้คำแนะนำที่ดีให้กับผู้ปกครองเด็ก</t>
  </si>
  <si>
    <t xml:space="preserve"> - ห้องน้ำบางวันไม่สะอาด (SICU) </t>
  </si>
  <si>
    <t xml:space="preserve"> - เวลาของการเข้าเยี่ยมญาติไม่ตรงกับเวลาที่แพทย์เจ้าของไข้เข้าตรวจจึงไม่สามารถประเมินได้ในบางข้อของแบบสอบถาม</t>
  </si>
  <si>
    <t xml:space="preserve"> - จุดคัดกรองควรมีการแยกโซนประกันสังคม / 30 บาท / เงินสด เพื่อความรวดเร็ว</t>
  </si>
  <si>
    <t xml:space="preserve"> - ไม่ควรมีการเก็บค่าที่จอดรถ</t>
  </si>
  <si>
    <t xml:space="preserve"> - Service smile แม้จะเป็นเวรดึก แม้ผู้ป่วยจะเป็นผู้สูงอายุมากก็ควรได้รับการปฏิบัติอย่างเท่าเทียมเหมือนมนุษย์คนนึง</t>
  </si>
  <si>
    <t xml:space="preserve"> - อยากให้ติดกล้องวงจรเพิ่มในห้องพักผู้ป่วย เพื่อการดูแลอย่างทั่วถึง เมื่อเกิดเหตุฉุกเฉิน (18C)</t>
  </si>
  <si>
    <t xml:space="preserve"> - มีการคิดค่าบริการอย่างอื่นนอกเหนือจากสิทธิ์ 30 บาท</t>
  </si>
  <si>
    <t xml:space="preserve"> - กับข้าวน้อย </t>
  </si>
  <si>
    <t xml:space="preserve"> - มีการลัดคิว</t>
  </si>
  <si>
    <t xml:space="preserve"> - แอร์ตอนดึก ๆ ไม่ค่อยเย็น (19C)</t>
  </si>
  <si>
    <t xml:space="preserve"> - เอกสารหรือการตรวจอยากให้มีความรวดเร็วมากกว่านี้</t>
  </si>
  <si>
    <t xml:space="preserve"> - มีเสียงประตูรบกวน (19D)</t>
  </si>
  <si>
    <t xml:space="preserve"> - รอเข้าห้องฉุกเฉินนานมาก</t>
  </si>
  <si>
    <t xml:space="preserve"> - อยากให้มีชุดที่เป็นกางเกง</t>
  </si>
  <si>
    <t xml:space="preserve"> - อุปกรณ์ในห้องน้ำไม่ครบครัน</t>
  </si>
  <si>
    <t xml:space="preserve"> - ควรเพิ่มหมอ</t>
  </si>
  <si>
    <t xml:space="preserve"> - อยากให้มีการตักเตือนเจ้าหน้าที่หรือเพื่อนร่วมงานในพื้นที่ส่วนตัว  ไม่ควรให้คนไข้ได้ยิน คิดว่าเป็นการตักเตือนที่ไม่สมควร</t>
  </si>
  <si>
    <t xml:space="preserve"> - ควรเพิ่มพื้นที่ลานจอดรถฟรี  คนที่มาเฝ้าไข้เสียค่าจอดรถเยอะมาก ควรมีลานจอดรถสำหรับผู้ป่วยใน</t>
  </si>
  <si>
    <t xml:space="preserve"> - จ่ายเงินค่าห้อง  แต่ไม่ได้อยู่ครบ 48 ชั่วโมง เจ้าหน้าที่ให้ไปอยู่ห้องจำหน่ายรอให้ลูกฉีดวัคซีน อีก 2 ชั่วโมง</t>
  </si>
  <si>
    <t xml:space="preserve"> - อยากให้เพิ่มการทำความสะอาดห้อง (24A)</t>
  </si>
  <si>
    <t xml:space="preserve"> - ควรมีการแจ้งเรื่องเคลมประกันให้แก่คนไข้รับรู้ เนื่องจากการเคลมประกันใช้เวลานานหลายชั่วโมง ต้องรอนานโดยไม่รู้ว่าจะได้กลับบ้านเมื่อไหร่</t>
  </si>
  <si>
    <t xml:space="preserve"> - อยากให้มีล้างจมูกสำหรับเด็กตั้งแต่ 1 เดือน  และที่ครอบจมูกสำหรับเด็กเล็ก (24A)</t>
  </si>
  <si>
    <t xml:space="preserve"> - ช่วงเวลาที่มานอนรักษาตัวห้องข้างข้างมีการปรับปรุงทำให้เกิดเสียงดังและมีกลิ่นกาวหรือเทนเนอร์รบกวน (24A)</t>
  </si>
  <si>
    <t xml:space="preserve"> - ระบบเครื่องทำน้ำอุ่น (25A)</t>
  </si>
  <si>
    <t xml:space="preserve"> - เนื่องจากมีการเข้ารับการรักษาเรื่องเกี่ยวกับเลือด  มีการเจาะเลือดเยอะไปหน่อย เจ้าหน้าที่เจาะเลือดแล้วไม่ได้เลือดทำให้ต้องเจาะใหม่</t>
  </si>
  <si>
    <t xml:space="preserve"> - ควรมีการเติมอุปกรณ์ในห้องน้ำ (25B)</t>
  </si>
  <si>
    <t xml:space="preserve"> - ขอให้มีการชี้แจงเพิ่มเติมในกรณีของใช้ส่วนกลาง  เช่น กาน้ำร้อน ว่ามีบริการอยู่ที่จุดใด ทุกผู้ป่วยพึ่งมาครั้งแรกยังไม่ทราบว่าอยู่จุดไหน มารู้ก็ตอนจะกลับบ้านแล้ว</t>
  </si>
  <si>
    <t xml:space="preserve"> - ที่จอดรถทางขึ้นลงแคบ </t>
  </si>
  <si>
    <t xml:space="preserve"> - ลิฟต์ช้ามาก (3)</t>
  </si>
  <si>
    <t xml:space="preserve"> - ระมัดระวังเรื่องการใช้เสียงเวลาเข้ามาพบคนไข้  เสียงดัง ขอให้เบาลงหน่อย</t>
  </si>
  <si>
    <t xml:space="preserve"> - วันแรกของกันมาลงทะเบียน เข้ารับบริการ มาลงทะเบียนเวลา 8.30 น. ขึ้นไปชั้น 4 ถ้าไม่แจ้งเจ้าหน้าที่ว่าผู้ป่วยอาการแย่ คงไม่ได้ตรวจ กว่าจะได้ตรวจ 14.30 น. คนไข้ยังต้องนั่งรอหลายคน </t>
  </si>
  <si>
    <t xml:space="preserve">   แล้วเรื่องการเข้าแอดมิดใช้เวลาตรวจช้ามาก </t>
  </si>
  <si>
    <t xml:space="preserve"> - รับการรักษาตั้งแต่เวลา  11.30 น. เจ้าหน้าที่ให้คำแนะนำ ผู้ป่วยรอนานมากจนกระทั่งเลยเวลาราชการไปแล้วยังไม่สามารถหาสาเหตุได้จนต้องส่งคนไข้มาคลินิกนอกเวลาก็ต้องมาเริ่ม หาสาเหตุใหม่ซึ่งใช้เวลานานมาก </t>
  </si>
  <si>
    <t xml:space="preserve">   กว่าจะทราบสาเหตุการป่วย ใช้เวลาจนถึง 22.00 </t>
  </si>
  <si>
    <t xml:space="preserve"> - ได้รับข้อมูลการเข้ารักษาผ่าตัดไม่ชัดเจนในเรื่องของกำหนดเวลา  การเข้าใช้ห้อง อยากให้แจ้งกำหนดการที่แน่ชัดกว่านี้</t>
  </si>
  <si>
    <t xml:space="preserve"> - ที่จอดรถน้อย (2)</t>
  </si>
  <si>
    <t xml:space="preserve"> - รอรถเปลนานมาก บางครั้งไปไม่ทันเช็ดตัวลูก</t>
  </si>
  <si>
    <t xml:space="preserve"> - ละเลยจุดที่ควรใส่ใจ</t>
  </si>
  <si>
    <t xml:space="preserve"> - ค่าตรวจแพงมาก ตรวจอย่างเดียวไม่ได้ทำอะไรเพิ่มเติม ไม่ได้ใช้เวลามาก ไม่ใช่เคสยาก (2)</t>
  </si>
  <si>
    <t xml:space="preserve"> - ต้องเดินไปมาหลายรอบ ลงทะเบียนไปที่ชั้น 4 เพื่อรับบัตรคิวและเจาะเลือด แต่รับคิวแล้วให้ลงไปชั้น 2 ไปหาการเงินก่อน แล้วค่อยขึ้นมาเจาะเลือดที่ชั้น 4 เพื่อทำการเจาะเลือด และพบแพทย์</t>
  </si>
  <si>
    <t xml:space="preserve"> - เรื่องขั้นตอนการเข้า ADMIT ใช้เวลาค่อนข้างนาน น่าจะมีระบบการจองและเรียกผู้ป่วยเข้า ADMIT ให้เป็นระบบ (3)</t>
  </si>
  <si>
    <t xml:space="preserve"> - หาผู้ป่วยไม่เจอ จนต้องให้เจ้าหน้าที่ชั้นหนึ่งเช็คว่าคนไข้ที่ชั้นไหนในขณะที่การผ่าตัด</t>
  </si>
  <si>
    <t>อันดับ 1 การให้บริการโดยรวม (OPD : 18 IPD : 18  )</t>
  </si>
  <si>
    <t>อันดับ 2 อุปกรณ์ เครื่องมือ และสถานที่ไม่สมบูรณ์ (OPD :  14 IPD : 16 )</t>
  </si>
  <si>
    <t>อันดับ 3 การทำงานและพฤติกรรมของบุคลากร (OPD : 4 IPD : 2 )</t>
  </si>
  <si>
    <t xml:space="preserve"> - รอตรวจนาน (2)</t>
  </si>
  <si>
    <t xml:space="preserve"> - มารับคิวตั้งแต่ 18.00 น. จน 23.00 น. แล้วยังไม่ได้ตรวจ หมอตรวจน้อย คิวรันช้า ควรจัดสรรหมอให้เพียงพอต่อการรักษาหรือไม่ โรงพยาบาลใหญ่โตแต่การบริการของเจ้าหน้าที่ไม่ดีเท่าที่ควร </t>
  </si>
  <si>
    <t xml:space="preserve"> - ที่จอดรถ / ทางขึ้นที่จอดรถแคบมาก (2)</t>
  </si>
  <si>
    <t xml:space="preserve"> - ถ้ามีงบประมาณเพิ่มเจ้าหน้าที่ เพิ่มคุณหมอ จะดีมากครับ แต่คงยากเพราะงบประมาณจำกัดครับ ควรให้งบประมาณกับโรงพยาบาลที่ดีแบบนี้มาก ๆ ครับ </t>
  </si>
  <si>
    <t>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</si>
</sst>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2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187" fontId="16" fillId="7" borderId="1" xfId="10" applyNumberFormat="1" applyFill="1" applyBorder="1" applyAlignment="1">
      <alignment horizontal="center" vertical="center"/>
    </xf>
    <xf numFmtId="187" fontId="14" fillId="7" borderId="1" xfId="1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wrapText="1"/>
    </xf>
    <xf numFmtId="49" fontId="14" fillId="0" borderId="0" xfId="0" applyNumberFormat="1" applyFont="1" applyAlignment="1">
      <alignment horizontal="left"/>
    </xf>
    <xf numFmtId="2" fontId="19" fillId="7" borderId="1" xfId="14" applyNumberFormat="1" applyFont="1" applyFill="1" applyBorder="1" applyAlignment="1">
      <alignment horizontal="center" vertical="center"/>
    </xf>
    <xf numFmtId="2" fontId="19" fillId="0" borderId="1" xfId="11" applyNumberFormat="1" applyFont="1" applyBorder="1" applyAlignment="1">
      <alignment horizontal="center" vertical="center"/>
    </xf>
    <xf numFmtId="2" fontId="16" fillId="7" borderId="4" xfId="1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wrapText="1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</cellXfs>
  <cellStyles count="18"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" xfId="0" builtinId="0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"/>
  <sheetViews>
    <sheetView zoomScaleNormal="100" zoomScaleSheetLayoutView="80" workbookViewId="0">
      <selection activeCell="T74" sqref="T74"/>
    </sheetView>
  </sheetViews>
  <sheetFormatPr defaultColWidth="9" defaultRowHeight="21"/>
  <cols>
    <col min="1" max="1" width="62.625" style="4" customWidth="1"/>
    <col min="2" max="2" width="9" style="4" customWidth="1"/>
    <col min="3" max="4" width="9" style="3"/>
    <col min="5" max="5" width="9.375" style="3" bestFit="1" customWidth="1"/>
    <col min="6" max="6" width="9.625" style="3" customWidth="1"/>
    <col min="7" max="7" width="9.25" style="3" bestFit="1" customWidth="1"/>
    <col min="8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7" s="13" customFormat="1" ht="49.7" customHeight="1">
      <c r="A1" s="97" t="s">
        <v>99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7" s="13" customFormat="1" ht="49.7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7" s="2" customFormat="1" ht="54.75" customHeight="1">
      <c r="A3" s="6" t="s">
        <v>0</v>
      </c>
      <c r="B3" s="85" t="s">
        <v>71</v>
      </c>
      <c r="C3" s="85" t="s">
        <v>74</v>
      </c>
      <c r="D3" s="85" t="s">
        <v>69</v>
      </c>
      <c r="E3" s="1" t="s">
        <v>2</v>
      </c>
      <c r="F3" s="1" t="s">
        <v>58</v>
      </c>
      <c r="G3" s="1" t="s">
        <v>64</v>
      </c>
      <c r="H3" s="1" t="s">
        <v>59</v>
      </c>
      <c r="I3" s="1" t="s">
        <v>3</v>
      </c>
      <c r="J3" s="1" t="s">
        <v>4</v>
      </c>
      <c r="K3" s="1" t="s">
        <v>61</v>
      </c>
      <c r="L3" s="1" t="s">
        <v>50</v>
      </c>
      <c r="M3" s="1" t="s">
        <v>44</v>
      </c>
      <c r="N3" s="1" t="s">
        <v>5</v>
      </c>
      <c r="O3" s="1" t="s">
        <v>66</v>
      </c>
      <c r="P3" s="1" t="s">
        <v>62</v>
      </c>
      <c r="Q3" s="1" t="s">
        <v>70</v>
      </c>
    </row>
    <row r="4" spans="1:17" s="81" customFormat="1" ht="24.75" customHeight="1" thickBot="1">
      <c r="A4" s="78" t="s">
        <v>9</v>
      </c>
      <c r="B4" s="24">
        <v>6</v>
      </c>
      <c r="C4" s="79">
        <v>3</v>
      </c>
      <c r="D4" s="79">
        <v>1</v>
      </c>
      <c r="E4" s="80">
        <v>5</v>
      </c>
      <c r="F4" s="79">
        <v>4</v>
      </c>
      <c r="G4" s="79">
        <v>44</v>
      </c>
      <c r="H4" s="79">
        <v>1</v>
      </c>
      <c r="I4" s="79">
        <v>5</v>
      </c>
      <c r="J4" s="79" t="s">
        <v>67</v>
      </c>
      <c r="K4" s="79">
        <v>37</v>
      </c>
      <c r="L4" s="79">
        <v>15</v>
      </c>
      <c r="M4" s="79">
        <v>50</v>
      </c>
      <c r="N4" s="79">
        <v>251</v>
      </c>
      <c r="O4" s="79">
        <v>9</v>
      </c>
      <c r="P4" s="79">
        <v>2</v>
      </c>
      <c r="Q4" s="79" t="s">
        <v>67</v>
      </c>
    </row>
    <row r="5" spans="1:17" s="2" customFormat="1" ht="24" customHeight="1" thickBot="1">
      <c r="A5" s="86" t="s">
        <v>76</v>
      </c>
      <c r="B5" s="23">
        <v>4</v>
      </c>
      <c r="C5" s="73">
        <v>3.3333333333333335</v>
      </c>
      <c r="D5" s="73">
        <v>5</v>
      </c>
      <c r="E5" s="94">
        <v>4.5999999999999996</v>
      </c>
      <c r="F5" s="73">
        <v>4.75</v>
      </c>
      <c r="G5" s="23">
        <v>3.7272727272727302</v>
      </c>
      <c r="H5" s="73">
        <v>4</v>
      </c>
      <c r="I5" s="95">
        <v>5</v>
      </c>
      <c r="J5" s="73" t="s">
        <v>67</v>
      </c>
      <c r="K5" s="95">
        <v>4.2162162162162176</v>
      </c>
      <c r="L5" s="95">
        <v>4.2666666666666666</v>
      </c>
      <c r="M5" s="95">
        <v>4.5600000000000014</v>
      </c>
      <c r="N5" s="95">
        <v>4.2509960159362601</v>
      </c>
      <c r="O5" s="23">
        <v>4.8888888888888893</v>
      </c>
      <c r="P5" s="73">
        <v>5</v>
      </c>
      <c r="Q5" s="73" t="s">
        <v>67</v>
      </c>
    </row>
    <row r="6" spans="1:17" s="2" customFormat="1" ht="24" customHeight="1" thickBot="1">
      <c r="A6" s="87" t="s">
        <v>77</v>
      </c>
      <c r="B6" s="23">
        <v>4</v>
      </c>
      <c r="C6" s="73">
        <v>3.6666666666666665</v>
      </c>
      <c r="D6" s="73">
        <v>5</v>
      </c>
      <c r="E6" s="94">
        <v>4.8</v>
      </c>
      <c r="F6" s="73">
        <v>4.75</v>
      </c>
      <c r="G6" s="23">
        <v>3.7272727272727275</v>
      </c>
      <c r="H6" s="73">
        <v>4</v>
      </c>
      <c r="I6" s="95">
        <v>5</v>
      </c>
      <c r="J6" s="73" t="s">
        <v>67</v>
      </c>
      <c r="K6" s="95">
        <v>4.0810810810810798</v>
      </c>
      <c r="L6" s="95">
        <v>4.333333333333333</v>
      </c>
      <c r="M6" s="95">
        <v>4.6000000000000005</v>
      </c>
      <c r="N6" s="95">
        <v>4.3386454183266903</v>
      </c>
      <c r="O6" s="23">
        <v>4.7777777777777777</v>
      </c>
      <c r="P6" s="73">
        <v>5</v>
      </c>
      <c r="Q6" s="73" t="s">
        <v>67</v>
      </c>
    </row>
    <row r="7" spans="1:17" s="2" customFormat="1" ht="24" customHeight="1" thickBot="1">
      <c r="A7" s="87" t="s">
        <v>78</v>
      </c>
      <c r="B7" s="23">
        <v>4</v>
      </c>
      <c r="C7" s="73">
        <v>4.333333333333333</v>
      </c>
      <c r="D7" s="73">
        <v>3</v>
      </c>
      <c r="E7" s="94">
        <v>4.8</v>
      </c>
      <c r="F7" s="73">
        <v>4.75</v>
      </c>
      <c r="G7" s="23">
        <v>3.6590909090909092</v>
      </c>
      <c r="H7" s="73">
        <v>4</v>
      </c>
      <c r="I7" s="95">
        <v>5</v>
      </c>
      <c r="J7" s="73" t="s">
        <v>67</v>
      </c>
      <c r="K7" s="95">
        <v>4.0810810810810816</v>
      </c>
      <c r="L7" s="95">
        <v>4.2666666666666666</v>
      </c>
      <c r="M7" s="95">
        <v>4.5399999999999991</v>
      </c>
      <c r="N7" s="95">
        <v>4.2868525896414376</v>
      </c>
      <c r="O7" s="23">
        <v>4.6666666666666661</v>
      </c>
      <c r="P7" s="73">
        <v>5</v>
      </c>
      <c r="Q7" s="73" t="s">
        <v>67</v>
      </c>
    </row>
    <row r="8" spans="1:17" s="2" customFormat="1" ht="24" customHeight="1" thickBot="1">
      <c r="A8" s="87" t="s">
        <v>79</v>
      </c>
      <c r="B8" s="23">
        <v>4</v>
      </c>
      <c r="C8" s="73">
        <v>5</v>
      </c>
      <c r="D8" s="73">
        <v>4</v>
      </c>
      <c r="E8" s="94">
        <v>4.4000000000000004</v>
      </c>
      <c r="F8" s="73">
        <v>4.5</v>
      </c>
      <c r="G8" s="23">
        <v>3.6818181818181817</v>
      </c>
      <c r="H8" s="73">
        <v>5</v>
      </c>
      <c r="I8" s="95">
        <v>5</v>
      </c>
      <c r="J8" s="73" t="s">
        <v>67</v>
      </c>
      <c r="K8" s="95">
        <v>4.1081081081081079</v>
      </c>
      <c r="L8" s="95">
        <v>4.2</v>
      </c>
      <c r="M8" s="95">
        <v>4.5599999999999996</v>
      </c>
      <c r="N8" s="95">
        <v>4.2669322709163362</v>
      </c>
      <c r="O8" s="23">
        <v>4.6666666666666661</v>
      </c>
      <c r="P8" s="73">
        <v>5</v>
      </c>
      <c r="Q8" s="73" t="s">
        <v>67</v>
      </c>
    </row>
    <row r="9" spans="1:17" s="2" customFormat="1" ht="24" customHeight="1" thickBot="1">
      <c r="A9" s="87" t="s">
        <v>80</v>
      </c>
      <c r="B9" s="23">
        <v>3</v>
      </c>
      <c r="C9" s="73">
        <v>4.333333333333333</v>
      </c>
      <c r="D9" s="73">
        <v>1</v>
      </c>
      <c r="E9" s="94">
        <v>4.4000000000000004</v>
      </c>
      <c r="F9" s="73">
        <v>4.25</v>
      </c>
      <c r="G9" s="23">
        <v>3.5909090909090908</v>
      </c>
      <c r="H9" s="73">
        <v>5</v>
      </c>
      <c r="I9" s="95">
        <v>4.5999999999999996</v>
      </c>
      <c r="J9" s="73" t="s">
        <v>67</v>
      </c>
      <c r="K9" s="95">
        <v>3.7837837837837838</v>
      </c>
      <c r="L9" s="95">
        <v>4</v>
      </c>
      <c r="M9" s="95">
        <v>4.3999999999999986</v>
      </c>
      <c r="N9" s="95">
        <v>4.2589641434262946</v>
      </c>
      <c r="O9" s="23">
        <v>4.666666666666667</v>
      </c>
      <c r="P9" s="73">
        <v>5</v>
      </c>
      <c r="Q9" s="73" t="s">
        <v>67</v>
      </c>
    </row>
    <row r="10" spans="1:17" s="2" customFormat="1" ht="24" customHeight="1" thickBot="1">
      <c r="A10" s="87" t="s">
        <v>81</v>
      </c>
      <c r="B10" s="23">
        <v>3</v>
      </c>
      <c r="C10" s="73">
        <v>4</v>
      </c>
      <c r="D10" s="73">
        <v>1</v>
      </c>
      <c r="E10" s="94">
        <v>4.5999999999999996</v>
      </c>
      <c r="F10" s="73">
        <v>4.25</v>
      </c>
      <c r="G10" s="23">
        <v>3.6363636363636362</v>
      </c>
      <c r="H10" s="73">
        <v>5</v>
      </c>
      <c r="I10" s="95">
        <v>4.5999999999999996</v>
      </c>
      <c r="J10" s="73" t="s">
        <v>67</v>
      </c>
      <c r="K10" s="95">
        <v>3.7297297297297294</v>
      </c>
      <c r="L10" s="95">
        <v>4.1333333333333329</v>
      </c>
      <c r="M10" s="95">
        <v>4.4799999999999986</v>
      </c>
      <c r="N10" s="95">
        <v>4.3944223107569691</v>
      </c>
      <c r="O10" s="23">
        <v>4.7777777777777777</v>
      </c>
      <c r="P10" s="73">
        <v>5</v>
      </c>
      <c r="Q10" s="73" t="s">
        <v>67</v>
      </c>
    </row>
    <row r="11" spans="1:17" s="2" customFormat="1" ht="24" customHeight="1" thickBot="1">
      <c r="A11" s="87" t="s">
        <v>82</v>
      </c>
      <c r="B11" s="23">
        <v>3.1666666666666665</v>
      </c>
      <c r="C11" s="73">
        <v>3.3333333333333335</v>
      </c>
      <c r="D11" s="73">
        <v>1</v>
      </c>
      <c r="E11" s="94">
        <v>4.5999999999999996</v>
      </c>
      <c r="F11" s="73">
        <v>3.5</v>
      </c>
      <c r="G11" s="23">
        <v>3.5681818181818179</v>
      </c>
      <c r="H11" s="73">
        <v>5</v>
      </c>
      <c r="I11" s="95">
        <v>4.2</v>
      </c>
      <c r="J11" s="73" t="s">
        <v>67</v>
      </c>
      <c r="K11" s="95">
        <v>3.7027027027027031</v>
      </c>
      <c r="L11" s="95">
        <v>4.2</v>
      </c>
      <c r="M11" s="95">
        <v>4.54</v>
      </c>
      <c r="N11" s="95">
        <v>4.3067729083665327</v>
      </c>
      <c r="O11" s="23">
        <v>4.7777777777777777</v>
      </c>
      <c r="P11" s="73">
        <v>5</v>
      </c>
      <c r="Q11" s="73" t="s">
        <v>67</v>
      </c>
    </row>
    <row r="12" spans="1:17" s="2" customFormat="1" ht="24" customHeight="1" thickBot="1">
      <c r="A12" s="87" t="s">
        <v>83</v>
      </c>
      <c r="B12" s="23">
        <v>3.1666666666666665</v>
      </c>
      <c r="C12" s="73">
        <v>4</v>
      </c>
      <c r="D12" s="73">
        <v>4</v>
      </c>
      <c r="E12" s="94">
        <v>4.5999999999999996</v>
      </c>
      <c r="F12" s="73">
        <v>4.5</v>
      </c>
      <c r="G12" s="23">
        <v>3.7272727272727266</v>
      </c>
      <c r="H12" s="73">
        <v>4</v>
      </c>
      <c r="I12" s="95">
        <v>4.2</v>
      </c>
      <c r="J12" s="73" t="s">
        <v>67</v>
      </c>
      <c r="K12" s="95">
        <v>3.918918918918918</v>
      </c>
      <c r="L12" s="95">
        <v>4.1333333333333337</v>
      </c>
      <c r="M12" s="95">
        <v>4.4599999999999991</v>
      </c>
      <c r="N12" s="95">
        <v>4.3027888446215137</v>
      </c>
      <c r="O12" s="23">
        <v>4.7777777777777777</v>
      </c>
      <c r="P12" s="73">
        <v>5</v>
      </c>
      <c r="Q12" s="73" t="s">
        <v>67</v>
      </c>
    </row>
    <row r="13" spans="1:17" s="2" customFormat="1" ht="24" customHeight="1" thickBot="1">
      <c r="A13" s="87" t="s">
        <v>84</v>
      </c>
      <c r="B13" s="23">
        <v>3</v>
      </c>
      <c r="C13" s="73">
        <v>4</v>
      </c>
      <c r="D13" s="73">
        <v>1</v>
      </c>
      <c r="E13" s="94">
        <v>4.5999999999999996</v>
      </c>
      <c r="F13" s="73">
        <v>3.5</v>
      </c>
      <c r="G13" s="23">
        <v>3.7045454545454546</v>
      </c>
      <c r="H13" s="73">
        <v>4</v>
      </c>
      <c r="I13" s="95">
        <v>4.5999999999999996</v>
      </c>
      <c r="J13" s="73" t="s">
        <v>67</v>
      </c>
      <c r="K13" s="95">
        <v>3.918918918918918</v>
      </c>
      <c r="L13" s="95">
        <v>4.333333333333333</v>
      </c>
      <c r="M13" s="95">
        <v>4.6199999999999992</v>
      </c>
      <c r="N13" s="95">
        <v>4.3864541832669346</v>
      </c>
      <c r="O13" s="23">
        <v>4.7777777777777777</v>
      </c>
      <c r="P13" s="73">
        <v>5</v>
      </c>
      <c r="Q13" s="73" t="s">
        <v>67</v>
      </c>
    </row>
    <row r="14" spans="1:17" s="2" customFormat="1" ht="24" customHeight="1" thickBot="1">
      <c r="A14" s="87" t="s">
        <v>85</v>
      </c>
      <c r="B14" s="23">
        <v>3</v>
      </c>
      <c r="C14" s="73">
        <v>3</v>
      </c>
      <c r="D14" s="73">
        <v>4</v>
      </c>
      <c r="E14" s="94">
        <v>4.5999999999999996</v>
      </c>
      <c r="F14" s="73">
        <v>3.75</v>
      </c>
      <c r="G14" s="23">
        <v>3.6363636363636367</v>
      </c>
      <c r="H14" s="73">
        <v>5</v>
      </c>
      <c r="I14" s="95">
        <v>4.4000000000000004</v>
      </c>
      <c r="J14" s="73" t="s">
        <v>67</v>
      </c>
      <c r="K14" s="95">
        <v>3.810810810810811</v>
      </c>
      <c r="L14" s="95">
        <v>4.1999999999999993</v>
      </c>
      <c r="M14" s="95">
        <v>4.58</v>
      </c>
      <c r="N14" s="95">
        <v>4.3984063745019935</v>
      </c>
      <c r="O14" s="23">
        <v>4.6666666666666661</v>
      </c>
      <c r="P14" s="73">
        <v>5</v>
      </c>
      <c r="Q14" s="73" t="s">
        <v>67</v>
      </c>
    </row>
    <row r="15" spans="1:17" s="2" customFormat="1" ht="24" customHeight="1" thickBot="1">
      <c r="A15" s="87" t="s">
        <v>86</v>
      </c>
      <c r="B15" s="23">
        <v>3.3333333333333335</v>
      </c>
      <c r="C15" s="73">
        <v>3.6666666666666665</v>
      </c>
      <c r="D15" s="73">
        <v>1</v>
      </c>
      <c r="E15" s="94">
        <v>4.5999999999999996</v>
      </c>
      <c r="F15" s="73">
        <v>4</v>
      </c>
      <c r="G15" s="23">
        <v>3.7500000000000009</v>
      </c>
      <c r="H15" s="73">
        <v>5</v>
      </c>
      <c r="I15" s="95">
        <v>4.4000000000000004</v>
      </c>
      <c r="J15" s="73" t="s">
        <v>67</v>
      </c>
      <c r="K15" s="95">
        <v>3.9729729729729732</v>
      </c>
      <c r="L15" s="95">
        <v>4.333333333333333</v>
      </c>
      <c r="M15" s="95">
        <v>4.58</v>
      </c>
      <c r="N15" s="95">
        <v>4.3227091633466133</v>
      </c>
      <c r="O15" s="23">
        <v>4.6666666666666661</v>
      </c>
      <c r="P15" s="73">
        <v>5</v>
      </c>
      <c r="Q15" s="73" t="s">
        <v>67</v>
      </c>
    </row>
    <row r="16" spans="1:17" s="2" customFormat="1" ht="24" customHeight="1" thickBot="1">
      <c r="A16" s="87" t="s">
        <v>87</v>
      </c>
      <c r="B16" s="23">
        <v>3.3333333333333335</v>
      </c>
      <c r="C16" s="73">
        <v>4.333333333333333</v>
      </c>
      <c r="D16" s="73">
        <v>3</v>
      </c>
      <c r="E16" s="94">
        <v>4.8</v>
      </c>
      <c r="F16" s="73">
        <v>4.75</v>
      </c>
      <c r="G16" s="23">
        <v>3.75</v>
      </c>
      <c r="H16" s="73">
        <v>5</v>
      </c>
      <c r="I16" s="95">
        <v>5</v>
      </c>
      <c r="J16" s="73" t="s">
        <v>67</v>
      </c>
      <c r="K16" s="95">
        <v>4.108108108108107</v>
      </c>
      <c r="L16" s="95">
        <v>4.2</v>
      </c>
      <c r="M16" s="95">
        <v>4.5</v>
      </c>
      <c r="N16" s="95">
        <v>4.3665338645418315</v>
      </c>
      <c r="O16" s="23">
        <v>4.6666666666666661</v>
      </c>
      <c r="P16" s="73">
        <v>5</v>
      </c>
      <c r="Q16" s="73" t="s">
        <v>67</v>
      </c>
    </row>
    <row r="17" spans="1:17" s="2" customFormat="1" ht="24" customHeight="1" thickBot="1">
      <c r="A17" s="87" t="s">
        <v>88</v>
      </c>
      <c r="B17" s="23">
        <v>3</v>
      </c>
      <c r="C17" s="73">
        <v>4</v>
      </c>
      <c r="D17" s="73">
        <v>3</v>
      </c>
      <c r="E17" s="94">
        <v>4.5999999999999996</v>
      </c>
      <c r="F17" s="73">
        <v>4.5</v>
      </c>
      <c r="G17" s="23">
        <v>3.6818181818181817</v>
      </c>
      <c r="H17" s="73">
        <v>5</v>
      </c>
      <c r="I17" s="95">
        <v>5</v>
      </c>
      <c r="J17" s="73" t="s">
        <v>67</v>
      </c>
      <c r="K17" s="95">
        <v>3.9999999999999996</v>
      </c>
      <c r="L17" s="95">
        <v>4.2666666666666666</v>
      </c>
      <c r="M17" s="95">
        <v>4.5000000000000009</v>
      </c>
      <c r="N17" s="95">
        <v>4.3864541832669355</v>
      </c>
      <c r="O17" s="23">
        <v>4.666666666666667</v>
      </c>
      <c r="P17" s="73">
        <v>5</v>
      </c>
      <c r="Q17" s="73" t="s">
        <v>67</v>
      </c>
    </row>
    <row r="18" spans="1:17" s="2" customFormat="1" ht="24" customHeight="1" thickBot="1">
      <c r="A18" s="87" t="s">
        <v>89</v>
      </c>
      <c r="B18" s="23">
        <v>3.3333333333333335</v>
      </c>
      <c r="C18" s="73">
        <v>4.333333333333333</v>
      </c>
      <c r="D18" s="73">
        <v>4</v>
      </c>
      <c r="E18" s="94">
        <v>4.5999999999999996</v>
      </c>
      <c r="F18" s="73">
        <v>4.75</v>
      </c>
      <c r="G18" s="23">
        <v>3.8863636363636371</v>
      </c>
      <c r="H18" s="73">
        <v>4</v>
      </c>
      <c r="I18" s="95">
        <v>4.8</v>
      </c>
      <c r="J18" s="73" t="s">
        <v>67</v>
      </c>
      <c r="K18" s="95">
        <v>4.1621621621621614</v>
      </c>
      <c r="L18" s="95">
        <v>4.3333333333333339</v>
      </c>
      <c r="M18" s="95">
        <v>4.5200000000000005</v>
      </c>
      <c r="N18" s="95">
        <v>4.430278884462151</v>
      </c>
      <c r="O18" s="23">
        <v>4.7777777777777777</v>
      </c>
      <c r="P18" s="73">
        <v>5</v>
      </c>
      <c r="Q18" s="73" t="s">
        <v>67</v>
      </c>
    </row>
    <row r="19" spans="1:17" s="2" customFormat="1" ht="24" customHeight="1" thickBot="1">
      <c r="A19" s="87" t="s">
        <v>90</v>
      </c>
      <c r="B19" s="23">
        <v>3.3333333333333335</v>
      </c>
      <c r="C19" s="73">
        <v>4.333333333333333</v>
      </c>
      <c r="D19" s="73">
        <v>4</v>
      </c>
      <c r="E19" s="94">
        <v>4.8</v>
      </c>
      <c r="F19" s="73">
        <v>4.5</v>
      </c>
      <c r="G19" s="23">
        <v>3.8409090909090904</v>
      </c>
      <c r="H19" s="73">
        <v>5</v>
      </c>
      <c r="I19" s="95">
        <v>4.8</v>
      </c>
      <c r="J19" s="73" t="s">
        <v>67</v>
      </c>
      <c r="K19" s="95">
        <v>4.1621621621621614</v>
      </c>
      <c r="L19" s="95">
        <v>4.333333333333333</v>
      </c>
      <c r="M19" s="95">
        <v>4.54</v>
      </c>
      <c r="N19" s="95">
        <v>4.4501992031872524</v>
      </c>
      <c r="O19" s="23">
        <v>4.7777777777777777</v>
      </c>
      <c r="P19" s="73">
        <v>5</v>
      </c>
      <c r="Q19" s="73" t="s">
        <v>67</v>
      </c>
    </row>
    <row r="20" spans="1:17" s="2" customFormat="1" ht="24" customHeight="1" thickBot="1">
      <c r="A20" s="87" t="s">
        <v>91</v>
      </c>
      <c r="B20" s="23">
        <v>2.833333333333333</v>
      </c>
      <c r="C20" s="73">
        <v>3.3333333333333335</v>
      </c>
      <c r="D20" s="73">
        <v>4</v>
      </c>
      <c r="E20" s="94">
        <v>4.8</v>
      </c>
      <c r="F20" s="73">
        <v>3.5</v>
      </c>
      <c r="G20" s="23">
        <v>3.772727272727272</v>
      </c>
      <c r="H20" s="73">
        <v>5</v>
      </c>
      <c r="I20" s="95">
        <v>4.5999999999999996</v>
      </c>
      <c r="J20" s="73" t="s">
        <v>67</v>
      </c>
      <c r="K20" s="95">
        <v>4.027027027027029</v>
      </c>
      <c r="L20" s="95">
        <v>4.3999999999999995</v>
      </c>
      <c r="M20" s="95">
        <v>4.5800000000000018</v>
      </c>
      <c r="N20" s="95">
        <v>4.4342629482071709</v>
      </c>
      <c r="O20" s="23">
        <v>4.8888888888888893</v>
      </c>
      <c r="P20" s="73">
        <v>5</v>
      </c>
      <c r="Q20" s="73" t="s">
        <v>67</v>
      </c>
    </row>
    <row r="21" spans="1:17" s="2" customFormat="1" ht="24" customHeight="1">
      <c r="A21" s="15" t="s">
        <v>10</v>
      </c>
      <c r="B21" s="23">
        <v>3.34375</v>
      </c>
      <c r="C21" s="73">
        <v>3.9375</v>
      </c>
      <c r="D21" s="73">
        <v>3</v>
      </c>
      <c r="E21" s="94">
        <v>4.6375000000000002</v>
      </c>
      <c r="F21" s="73">
        <v>4.28125</v>
      </c>
      <c r="G21" s="23">
        <v>3.708806818181817</v>
      </c>
      <c r="H21" s="73">
        <v>4.62</v>
      </c>
      <c r="I21" s="95">
        <v>4.7</v>
      </c>
      <c r="J21" s="73" t="s">
        <v>67</v>
      </c>
      <c r="K21" s="95">
        <v>3.9864864864864864</v>
      </c>
      <c r="L21" s="95">
        <v>4.2458333333333327</v>
      </c>
      <c r="M21" s="95">
        <v>4.5349999999999993</v>
      </c>
      <c r="N21" s="95">
        <v>4.3488545816733062</v>
      </c>
      <c r="O21" s="23">
        <v>4.7430555555555562</v>
      </c>
      <c r="P21" s="73">
        <v>5</v>
      </c>
      <c r="Q21" s="73" t="s">
        <v>67</v>
      </c>
    </row>
    <row r="22" spans="1:17" s="2" customFormat="1" ht="24.75" customHeight="1">
      <c r="A22" s="8" t="s">
        <v>11</v>
      </c>
      <c r="B22" s="96">
        <f>B21*20</f>
        <v>66.875</v>
      </c>
      <c r="C22" s="96">
        <f>C21*20</f>
        <v>78.75</v>
      </c>
      <c r="D22" s="96">
        <f t="shared" ref="D22:E22" si="0">D21*20</f>
        <v>60</v>
      </c>
      <c r="E22" s="96">
        <f t="shared" si="0"/>
        <v>92.75</v>
      </c>
      <c r="F22" s="96">
        <f>F21*20</f>
        <v>85.625</v>
      </c>
      <c r="G22" s="96">
        <f>G21*20</f>
        <v>74.176136363636346</v>
      </c>
      <c r="H22" s="96">
        <f>H21*20</f>
        <v>92.4</v>
      </c>
      <c r="I22" s="96">
        <f t="shared" ref="I22:N22" si="1">I21*20</f>
        <v>94</v>
      </c>
      <c r="J22" s="73" t="s">
        <v>67</v>
      </c>
      <c r="K22" s="96">
        <f t="shared" si="1"/>
        <v>79.729729729729726</v>
      </c>
      <c r="L22" s="96">
        <f t="shared" si="1"/>
        <v>84.916666666666657</v>
      </c>
      <c r="M22" s="96">
        <f t="shared" si="1"/>
        <v>90.699999999999989</v>
      </c>
      <c r="N22" s="96">
        <f t="shared" si="1"/>
        <v>86.977091633466131</v>
      </c>
      <c r="O22" s="96">
        <f>O21*20</f>
        <v>94.861111111111128</v>
      </c>
      <c r="P22" s="96">
        <f>P21*20</f>
        <v>100</v>
      </c>
      <c r="Q22" s="73" t="s">
        <v>67</v>
      </c>
    </row>
    <row r="23" spans="1:17">
      <c r="A23" s="16" t="s">
        <v>45</v>
      </c>
      <c r="B23" s="61">
        <v>66.67</v>
      </c>
      <c r="C23" s="21">
        <v>66.67</v>
      </c>
      <c r="D23" s="21">
        <v>100</v>
      </c>
      <c r="E23" s="61">
        <v>100</v>
      </c>
      <c r="F23" s="21">
        <v>75</v>
      </c>
      <c r="G23" s="61">
        <v>88.64</v>
      </c>
      <c r="H23" s="21">
        <v>100</v>
      </c>
      <c r="I23" s="61">
        <v>80</v>
      </c>
      <c r="J23" s="21" t="s">
        <v>68</v>
      </c>
      <c r="K23" s="61">
        <v>86.49</v>
      </c>
      <c r="L23" s="61">
        <v>100</v>
      </c>
      <c r="M23" s="61">
        <v>98</v>
      </c>
      <c r="N23" s="61">
        <v>94.82</v>
      </c>
      <c r="O23" s="61">
        <v>100</v>
      </c>
      <c r="P23" s="61">
        <v>100</v>
      </c>
      <c r="Q23" s="21" t="s">
        <v>68</v>
      </c>
    </row>
    <row r="25" spans="1:17" ht="24" customHeight="1"/>
    <row r="26" spans="1:17" ht="59.25" customHeight="1">
      <c r="A26" s="6" t="s">
        <v>0</v>
      </c>
      <c r="B26" s="1" t="s">
        <v>55</v>
      </c>
      <c r="C26" s="1" t="s">
        <v>7</v>
      </c>
      <c r="D26" s="1" t="s">
        <v>6</v>
      </c>
      <c r="E26" s="1" t="s">
        <v>8</v>
      </c>
      <c r="F26" s="1" t="s">
        <v>57</v>
      </c>
      <c r="G26" s="1" t="s">
        <v>63</v>
      </c>
      <c r="H26" s="1" t="s">
        <v>60</v>
      </c>
      <c r="I26" s="1" t="s">
        <v>12</v>
      </c>
      <c r="J26" s="1" t="s">
        <v>46</v>
      </c>
      <c r="K26" s="1" t="s">
        <v>72</v>
      </c>
      <c r="L26" s="1" t="s">
        <v>73</v>
      </c>
      <c r="M26" s="1" t="s">
        <v>51</v>
      </c>
      <c r="N26" s="1" t="s">
        <v>56</v>
      </c>
      <c r="O26" s="1" t="s">
        <v>1</v>
      </c>
      <c r="P26" s="1" t="s">
        <v>36</v>
      </c>
      <c r="Q26" s="1" t="s">
        <v>75</v>
      </c>
    </row>
    <row r="27" spans="1:17" s="25" customFormat="1" ht="24" customHeight="1" thickBot="1">
      <c r="A27" s="8" t="s">
        <v>9</v>
      </c>
      <c r="B27" s="60" t="s">
        <v>67</v>
      </c>
      <c r="C27" s="60" t="s">
        <v>67</v>
      </c>
      <c r="D27" s="60" t="s">
        <v>67</v>
      </c>
      <c r="E27" s="24">
        <v>3</v>
      </c>
      <c r="F27" s="24">
        <v>2</v>
      </c>
      <c r="G27" s="60">
        <v>9</v>
      </c>
      <c r="H27" s="24">
        <v>31</v>
      </c>
      <c r="I27" s="60" t="s">
        <v>67</v>
      </c>
      <c r="J27" s="24">
        <v>18</v>
      </c>
      <c r="K27" s="60" t="s">
        <v>67</v>
      </c>
      <c r="L27" s="60" t="s">
        <v>67</v>
      </c>
      <c r="M27" s="24">
        <v>11</v>
      </c>
      <c r="N27" s="24">
        <v>2</v>
      </c>
      <c r="O27" s="24">
        <v>1</v>
      </c>
      <c r="P27" s="24">
        <v>13</v>
      </c>
      <c r="Q27" s="60">
        <v>1</v>
      </c>
    </row>
    <row r="28" spans="1:17" ht="24" customHeight="1" thickBot="1">
      <c r="A28" s="86" t="s">
        <v>76</v>
      </c>
      <c r="B28" s="60" t="s">
        <v>67</v>
      </c>
      <c r="C28" s="60" t="s">
        <v>67</v>
      </c>
      <c r="D28" s="60" t="s">
        <v>67</v>
      </c>
      <c r="E28" s="19">
        <v>4.666666666666667</v>
      </c>
      <c r="F28" s="23">
        <v>5</v>
      </c>
      <c r="G28" s="73">
        <v>4.7777777777777777</v>
      </c>
      <c r="H28" s="19">
        <v>4.7741935483870979</v>
      </c>
      <c r="I28" s="60" t="s">
        <v>67</v>
      </c>
      <c r="J28" s="19">
        <v>4.0555555555555554</v>
      </c>
      <c r="K28" s="60" t="s">
        <v>67</v>
      </c>
      <c r="L28" s="60" t="s">
        <v>67</v>
      </c>
      <c r="M28" s="23">
        <v>4.8181818181818183</v>
      </c>
      <c r="N28" s="19">
        <v>4</v>
      </c>
      <c r="O28" s="23">
        <v>3</v>
      </c>
      <c r="P28" s="23">
        <v>4.3846153846153841</v>
      </c>
      <c r="Q28" s="73">
        <v>5</v>
      </c>
    </row>
    <row r="29" spans="1:17" ht="24" customHeight="1" thickBot="1">
      <c r="A29" s="87" t="s">
        <v>77</v>
      </c>
      <c r="B29" s="60" t="s">
        <v>67</v>
      </c>
      <c r="C29" s="60" t="s">
        <v>67</v>
      </c>
      <c r="D29" s="60" t="s">
        <v>67</v>
      </c>
      <c r="E29" s="19">
        <v>4.666666666666667</v>
      </c>
      <c r="F29" s="23">
        <v>5</v>
      </c>
      <c r="G29" s="73">
        <v>4.666666666666667</v>
      </c>
      <c r="H29" s="19">
        <v>4.7741935483870979</v>
      </c>
      <c r="I29" s="60" t="s">
        <v>67</v>
      </c>
      <c r="J29" s="19">
        <v>4.2222222222222223</v>
      </c>
      <c r="K29" s="60" t="s">
        <v>67</v>
      </c>
      <c r="L29" s="60" t="s">
        <v>67</v>
      </c>
      <c r="M29" s="23">
        <v>4.8181818181818183</v>
      </c>
      <c r="N29" s="19">
        <v>3.5</v>
      </c>
      <c r="O29" s="23">
        <v>3</v>
      </c>
      <c r="P29" s="23">
        <v>4.5384615384615383</v>
      </c>
      <c r="Q29" s="73">
        <v>5</v>
      </c>
    </row>
    <row r="30" spans="1:17" ht="24" customHeight="1" thickBot="1">
      <c r="A30" s="87" t="s">
        <v>78</v>
      </c>
      <c r="B30" s="60" t="s">
        <v>67</v>
      </c>
      <c r="C30" s="60" t="s">
        <v>67</v>
      </c>
      <c r="D30" s="60" t="s">
        <v>67</v>
      </c>
      <c r="E30" s="19">
        <v>4.666666666666667</v>
      </c>
      <c r="F30" s="23">
        <v>5</v>
      </c>
      <c r="G30" s="73">
        <v>4.5555555555555554</v>
      </c>
      <c r="H30" s="19">
        <v>4.7419354838709671</v>
      </c>
      <c r="I30" s="60" t="s">
        <v>67</v>
      </c>
      <c r="J30" s="19">
        <v>4.1111111111111107</v>
      </c>
      <c r="K30" s="60" t="s">
        <v>67</v>
      </c>
      <c r="L30" s="60" t="s">
        <v>67</v>
      </c>
      <c r="M30" s="23">
        <v>4.6363636363636358</v>
      </c>
      <c r="N30" s="19">
        <v>3.5</v>
      </c>
      <c r="O30" s="23">
        <v>4</v>
      </c>
      <c r="P30" s="23">
        <v>4.3846153846153841</v>
      </c>
      <c r="Q30" s="73">
        <v>5</v>
      </c>
    </row>
    <row r="31" spans="1:17" ht="24" customHeight="1" thickBot="1">
      <c r="A31" s="87" t="s">
        <v>79</v>
      </c>
      <c r="B31" s="60" t="s">
        <v>67</v>
      </c>
      <c r="C31" s="60" t="s">
        <v>67</v>
      </c>
      <c r="D31" s="60" t="s">
        <v>67</v>
      </c>
      <c r="E31" s="19">
        <v>4.666666666666667</v>
      </c>
      <c r="F31" s="23">
        <v>5</v>
      </c>
      <c r="G31" s="73">
        <v>4.7777777777777777</v>
      </c>
      <c r="H31" s="19">
        <v>4.7741935483870979</v>
      </c>
      <c r="I31" s="60" t="s">
        <v>67</v>
      </c>
      <c r="J31" s="19">
        <v>4.1666666666666661</v>
      </c>
      <c r="K31" s="60" t="s">
        <v>67</v>
      </c>
      <c r="L31" s="60" t="s">
        <v>67</v>
      </c>
      <c r="M31" s="23">
        <v>4.7272727272727266</v>
      </c>
      <c r="N31" s="19">
        <v>3.5</v>
      </c>
      <c r="O31" s="23">
        <v>3</v>
      </c>
      <c r="P31" s="23">
        <v>4.5384615384615383</v>
      </c>
      <c r="Q31" s="73">
        <v>5</v>
      </c>
    </row>
    <row r="32" spans="1:17" ht="24" customHeight="1" thickBot="1">
      <c r="A32" s="87" t="s">
        <v>80</v>
      </c>
      <c r="B32" s="60" t="s">
        <v>67</v>
      </c>
      <c r="C32" s="60" t="s">
        <v>67</v>
      </c>
      <c r="D32" s="60" t="s">
        <v>67</v>
      </c>
      <c r="E32" s="19">
        <v>4.666666666666667</v>
      </c>
      <c r="F32" s="23">
        <v>5</v>
      </c>
      <c r="G32" s="73">
        <v>4.5555555555555554</v>
      </c>
      <c r="H32" s="19">
        <v>4.6129032258064502</v>
      </c>
      <c r="I32" s="60" t="s">
        <v>67</v>
      </c>
      <c r="J32" s="19">
        <v>4.4444444444444446</v>
      </c>
      <c r="K32" s="60" t="s">
        <v>67</v>
      </c>
      <c r="L32" s="60" t="s">
        <v>67</v>
      </c>
      <c r="M32" s="23">
        <v>4.6363636363636358</v>
      </c>
      <c r="N32" s="19">
        <v>4</v>
      </c>
      <c r="O32" s="23">
        <v>3</v>
      </c>
      <c r="P32" s="23">
        <v>4.3076923076923075</v>
      </c>
      <c r="Q32" s="73">
        <v>5</v>
      </c>
    </row>
    <row r="33" spans="1:17" ht="24" customHeight="1" thickBot="1">
      <c r="A33" s="87" t="s">
        <v>81</v>
      </c>
      <c r="B33" s="60" t="s">
        <v>67</v>
      </c>
      <c r="C33" s="60" t="s">
        <v>67</v>
      </c>
      <c r="D33" s="60" t="s">
        <v>67</v>
      </c>
      <c r="E33" s="19">
        <v>4.666666666666667</v>
      </c>
      <c r="F33" s="23">
        <v>5</v>
      </c>
      <c r="G33" s="73">
        <v>4.5555555555555554</v>
      </c>
      <c r="H33" s="19">
        <v>4.774193548387097</v>
      </c>
      <c r="I33" s="60" t="s">
        <v>67</v>
      </c>
      <c r="J33" s="19">
        <v>4.5555555555555554</v>
      </c>
      <c r="K33" s="60" t="s">
        <v>67</v>
      </c>
      <c r="L33" s="60" t="s">
        <v>67</v>
      </c>
      <c r="M33" s="23">
        <v>4.6363636363636358</v>
      </c>
      <c r="N33" s="19">
        <v>4</v>
      </c>
      <c r="O33" s="23">
        <v>3</v>
      </c>
      <c r="P33" s="23">
        <v>4.4615384615384608</v>
      </c>
      <c r="Q33" s="73">
        <v>5</v>
      </c>
    </row>
    <row r="34" spans="1:17" ht="24" customHeight="1" thickBot="1">
      <c r="A34" s="87" t="s">
        <v>82</v>
      </c>
      <c r="B34" s="60" t="s">
        <v>67</v>
      </c>
      <c r="C34" s="60" t="s">
        <v>67</v>
      </c>
      <c r="D34" s="60" t="s">
        <v>67</v>
      </c>
      <c r="E34" s="19">
        <v>4.666666666666667</v>
      </c>
      <c r="F34" s="23">
        <v>5</v>
      </c>
      <c r="G34" s="73">
        <v>4.7777777777777777</v>
      </c>
      <c r="H34" s="19">
        <v>4.7741935483870979</v>
      </c>
      <c r="I34" s="60" t="s">
        <v>67</v>
      </c>
      <c r="J34" s="19">
        <v>4.4999999999999991</v>
      </c>
      <c r="K34" s="60" t="s">
        <v>67</v>
      </c>
      <c r="L34" s="60" t="s">
        <v>67</v>
      </c>
      <c r="M34" s="23">
        <v>4.6363636363636358</v>
      </c>
      <c r="N34" s="19">
        <v>3.5</v>
      </c>
      <c r="O34" s="23">
        <v>3</v>
      </c>
      <c r="P34" s="23">
        <v>4.1538461538461533</v>
      </c>
      <c r="Q34" s="73">
        <v>5</v>
      </c>
    </row>
    <row r="35" spans="1:17" ht="24" customHeight="1" thickBot="1">
      <c r="A35" s="87" t="s">
        <v>83</v>
      </c>
      <c r="B35" s="60" t="s">
        <v>67</v>
      </c>
      <c r="C35" s="60" t="s">
        <v>67</v>
      </c>
      <c r="D35" s="60" t="s">
        <v>67</v>
      </c>
      <c r="E35" s="19">
        <v>4.666666666666667</v>
      </c>
      <c r="F35" s="23">
        <v>5</v>
      </c>
      <c r="G35" s="73">
        <v>4.5555555555555554</v>
      </c>
      <c r="H35" s="19">
        <v>4.709677419354839</v>
      </c>
      <c r="I35" s="60" t="s">
        <v>67</v>
      </c>
      <c r="J35" s="19">
        <v>4.333333333333333</v>
      </c>
      <c r="K35" s="60" t="s">
        <v>67</v>
      </c>
      <c r="L35" s="60" t="s">
        <v>67</v>
      </c>
      <c r="M35" s="23">
        <v>4.8181818181818183</v>
      </c>
      <c r="N35" s="19">
        <v>3.5</v>
      </c>
      <c r="O35" s="23">
        <v>3</v>
      </c>
      <c r="P35" s="23">
        <v>4.3076923076923075</v>
      </c>
      <c r="Q35" s="73">
        <v>5</v>
      </c>
    </row>
    <row r="36" spans="1:17" ht="24" customHeight="1" thickBot="1">
      <c r="A36" s="87" t="s">
        <v>84</v>
      </c>
      <c r="B36" s="60" t="s">
        <v>67</v>
      </c>
      <c r="C36" s="60" t="s">
        <v>67</v>
      </c>
      <c r="D36" s="60" t="s">
        <v>67</v>
      </c>
      <c r="E36" s="19">
        <v>4.666666666666667</v>
      </c>
      <c r="F36" s="23">
        <v>5</v>
      </c>
      <c r="G36" s="73">
        <v>4.5555555555555554</v>
      </c>
      <c r="H36" s="19">
        <v>4.774193548387097</v>
      </c>
      <c r="I36" s="60" t="s">
        <v>67</v>
      </c>
      <c r="J36" s="19">
        <v>4.4444444444444446</v>
      </c>
      <c r="K36" s="60" t="s">
        <v>67</v>
      </c>
      <c r="L36" s="60" t="s">
        <v>67</v>
      </c>
      <c r="M36" s="23">
        <v>4.7272727272727275</v>
      </c>
      <c r="N36" s="19">
        <v>4</v>
      </c>
      <c r="O36" s="23">
        <v>3</v>
      </c>
      <c r="P36" s="23">
        <v>4.2307692307692308</v>
      </c>
      <c r="Q36" s="73">
        <v>5</v>
      </c>
    </row>
    <row r="37" spans="1:17" ht="24" customHeight="1" thickBot="1">
      <c r="A37" s="87" t="s">
        <v>85</v>
      </c>
      <c r="B37" s="60" t="s">
        <v>67</v>
      </c>
      <c r="C37" s="60" t="s">
        <v>67</v>
      </c>
      <c r="D37" s="60" t="s">
        <v>67</v>
      </c>
      <c r="E37" s="19">
        <v>4.666666666666667</v>
      </c>
      <c r="F37" s="23">
        <v>5</v>
      </c>
      <c r="G37" s="73">
        <v>4.666666666666667</v>
      </c>
      <c r="H37" s="19">
        <v>4.7741935483870979</v>
      </c>
      <c r="I37" s="60" t="s">
        <v>67</v>
      </c>
      <c r="J37" s="19">
        <v>4.5555555555555554</v>
      </c>
      <c r="K37" s="60" t="s">
        <v>67</v>
      </c>
      <c r="L37" s="60" t="s">
        <v>67</v>
      </c>
      <c r="M37" s="23">
        <v>4.6363636363636358</v>
      </c>
      <c r="N37" s="19">
        <v>4</v>
      </c>
      <c r="O37" s="23">
        <v>4</v>
      </c>
      <c r="P37" s="23">
        <v>4.5384615384615383</v>
      </c>
      <c r="Q37" s="73">
        <v>5</v>
      </c>
    </row>
    <row r="38" spans="1:17" ht="24" customHeight="1" thickBot="1">
      <c r="A38" s="87" t="s">
        <v>86</v>
      </c>
      <c r="B38" s="60" t="s">
        <v>67</v>
      </c>
      <c r="C38" s="60" t="s">
        <v>67</v>
      </c>
      <c r="D38" s="60" t="s">
        <v>67</v>
      </c>
      <c r="E38" s="19">
        <v>4.666666666666667</v>
      </c>
      <c r="F38" s="23">
        <v>5</v>
      </c>
      <c r="G38" s="73">
        <v>4.666666666666667</v>
      </c>
      <c r="H38" s="19">
        <v>4.7741935483870979</v>
      </c>
      <c r="I38" s="60" t="s">
        <v>67</v>
      </c>
      <c r="J38" s="19">
        <v>4.3888888888888884</v>
      </c>
      <c r="K38" s="60" t="s">
        <v>67</v>
      </c>
      <c r="L38" s="60" t="s">
        <v>67</v>
      </c>
      <c r="M38" s="23">
        <v>4.8181818181818175</v>
      </c>
      <c r="N38" s="19">
        <v>3.5</v>
      </c>
      <c r="O38" s="23">
        <v>3</v>
      </c>
      <c r="P38" s="23">
        <v>4.6153846153846159</v>
      </c>
      <c r="Q38" s="73">
        <v>5</v>
      </c>
    </row>
    <row r="39" spans="1:17" ht="24" customHeight="1" thickBot="1">
      <c r="A39" s="87" t="s">
        <v>87</v>
      </c>
      <c r="B39" s="60" t="s">
        <v>67</v>
      </c>
      <c r="C39" s="60" t="s">
        <v>67</v>
      </c>
      <c r="D39" s="60" t="s">
        <v>67</v>
      </c>
      <c r="E39" s="19">
        <v>4.666666666666667</v>
      </c>
      <c r="F39" s="23">
        <v>5</v>
      </c>
      <c r="G39" s="73">
        <v>4.4444444444444455</v>
      </c>
      <c r="H39" s="19">
        <v>4.806451612903226</v>
      </c>
      <c r="I39" s="60" t="s">
        <v>67</v>
      </c>
      <c r="J39" s="19">
        <v>4.2777777777777768</v>
      </c>
      <c r="K39" s="60" t="s">
        <v>67</v>
      </c>
      <c r="L39" s="60" t="s">
        <v>67</v>
      </c>
      <c r="M39" s="23">
        <v>4.8181818181818183</v>
      </c>
      <c r="N39" s="19">
        <v>3.5</v>
      </c>
      <c r="O39" s="23">
        <v>3</v>
      </c>
      <c r="P39" s="23">
        <v>4.5384615384615383</v>
      </c>
      <c r="Q39" s="73">
        <v>5</v>
      </c>
    </row>
    <row r="40" spans="1:17" ht="24" customHeight="1" thickBot="1">
      <c r="A40" s="87" t="s">
        <v>88</v>
      </c>
      <c r="B40" s="60" t="s">
        <v>67</v>
      </c>
      <c r="C40" s="60" t="s">
        <v>67</v>
      </c>
      <c r="D40" s="60" t="s">
        <v>67</v>
      </c>
      <c r="E40" s="19">
        <v>4.666666666666667</v>
      </c>
      <c r="F40" s="23">
        <v>5</v>
      </c>
      <c r="G40" s="73">
        <v>4.5555555555555554</v>
      </c>
      <c r="H40" s="19">
        <v>4.806451612903226</v>
      </c>
      <c r="I40" s="60" t="s">
        <v>67</v>
      </c>
      <c r="J40" s="19">
        <v>4.3888888888888884</v>
      </c>
      <c r="K40" s="60" t="s">
        <v>67</v>
      </c>
      <c r="L40" s="60" t="s">
        <v>67</v>
      </c>
      <c r="M40" s="23">
        <v>4.7272727272727266</v>
      </c>
      <c r="N40" s="19">
        <v>4</v>
      </c>
      <c r="O40" s="23">
        <v>3</v>
      </c>
      <c r="P40" s="23">
        <v>4.4615384615384608</v>
      </c>
      <c r="Q40" s="73">
        <v>5</v>
      </c>
    </row>
    <row r="41" spans="1:17" ht="24" customHeight="1" thickBot="1">
      <c r="A41" s="87" t="s">
        <v>89</v>
      </c>
      <c r="B41" s="60" t="s">
        <v>67</v>
      </c>
      <c r="C41" s="60" t="s">
        <v>67</v>
      </c>
      <c r="D41" s="60" t="s">
        <v>67</v>
      </c>
      <c r="E41" s="19">
        <v>4.666666666666667</v>
      </c>
      <c r="F41" s="23">
        <v>5</v>
      </c>
      <c r="G41" s="73">
        <v>4.4444444444444455</v>
      </c>
      <c r="H41" s="19">
        <v>4.774193548387097</v>
      </c>
      <c r="I41" s="60" t="s">
        <v>67</v>
      </c>
      <c r="J41" s="19">
        <v>4.3888888888888884</v>
      </c>
      <c r="K41" s="60" t="s">
        <v>67</v>
      </c>
      <c r="L41" s="60" t="s">
        <v>67</v>
      </c>
      <c r="M41" s="23">
        <v>4.5454545454545459</v>
      </c>
      <c r="N41" s="19">
        <v>3</v>
      </c>
      <c r="O41" s="23">
        <v>2</v>
      </c>
      <c r="P41" s="23">
        <v>4.6153846153846159</v>
      </c>
      <c r="Q41" s="73">
        <v>5</v>
      </c>
    </row>
    <row r="42" spans="1:17" ht="24" customHeight="1" thickBot="1">
      <c r="A42" s="87" t="s">
        <v>90</v>
      </c>
      <c r="B42" s="60" t="s">
        <v>67</v>
      </c>
      <c r="C42" s="60" t="s">
        <v>67</v>
      </c>
      <c r="D42" s="60" t="s">
        <v>67</v>
      </c>
      <c r="E42" s="19">
        <v>4.666666666666667</v>
      </c>
      <c r="F42" s="23">
        <v>5</v>
      </c>
      <c r="G42" s="73">
        <v>4.7777777777777777</v>
      </c>
      <c r="H42" s="19">
        <v>4.7419354838709671</v>
      </c>
      <c r="I42" s="60" t="s">
        <v>67</v>
      </c>
      <c r="J42" s="19">
        <v>4.4444444444444446</v>
      </c>
      <c r="K42" s="60" t="s">
        <v>67</v>
      </c>
      <c r="L42" s="60" t="s">
        <v>67</v>
      </c>
      <c r="M42" s="23">
        <v>4.7272727272727266</v>
      </c>
      <c r="N42" s="19">
        <v>3.5</v>
      </c>
      <c r="O42" s="23">
        <v>3</v>
      </c>
      <c r="P42" s="23">
        <v>4.3076923076923075</v>
      </c>
      <c r="Q42" s="73">
        <v>5</v>
      </c>
    </row>
    <row r="43" spans="1:17" ht="24" customHeight="1" thickBot="1">
      <c r="A43" s="87" t="s">
        <v>91</v>
      </c>
      <c r="B43" s="60" t="s">
        <v>67</v>
      </c>
      <c r="C43" s="60" t="s">
        <v>67</v>
      </c>
      <c r="D43" s="60" t="s">
        <v>67</v>
      </c>
      <c r="E43" s="19">
        <v>4.666666666666667</v>
      </c>
      <c r="F43" s="23">
        <v>5</v>
      </c>
      <c r="G43" s="73">
        <v>4.666666666666667</v>
      </c>
      <c r="H43" s="19">
        <v>4.806451612903226</v>
      </c>
      <c r="I43" s="60" t="s">
        <v>67</v>
      </c>
      <c r="J43" s="19">
        <v>4.4444444444444438</v>
      </c>
      <c r="K43" s="60" t="s">
        <v>67</v>
      </c>
      <c r="L43" s="60" t="s">
        <v>67</v>
      </c>
      <c r="M43" s="23">
        <v>4.6363636363636358</v>
      </c>
      <c r="N43" s="19">
        <v>3.5</v>
      </c>
      <c r="O43" s="23">
        <v>3</v>
      </c>
      <c r="P43" s="23">
        <v>4.3846153846153841</v>
      </c>
      <c r="Q43" s="73">
        <v>5</v>
      </c>
    </row>
    <row r="44" spans="1:17" ht="24" customHeight="1">
      <c r="A44" s="8" t="s">
        <v>10</v>
      </c>
      <c r="B44" s="60" t="s">
        <v>67</v>
      </c>
      <c r="C44" s="60" t="s">
        <v>67</v>
      </c>
      <c r="D44" s="60" t="s">
        <v>67</v>
      </c>
      <c r="E44" s="19">
        <v>4.666666666666667</v>
      </c>
      <c r="F44" s="23">
        <v>5</v>
      </c>
      <c r="G44" s="73">
        <v>4.625</v>
      </c>
      <c r="H44" s="19">
        <v>4.7620967741935489</v>
      </c>
      <c r="I44" s="60" t="s">
        <v>67</v>
      </c>
      <c r="J44" s="19">
        <v>4.3576388888888893</v>
      </c>
      <c r="K44" s="60" t="s">
        <v>67</v>
      </c>
      <c r="L44" s="60" t="s">
        <v>67</v>
      </c>
      <c r="M44" s="23">
        <v>4.7102272727272716</v>
      </c>
      <c r="N44" s="19">
        <v>3.65625</v>
      </c>
      <c r="O44" s="23">
        <v>3.0625</v>
      </c>
      <c r="P44" s="23">
        <v>4.4230769230769234</v>
      </c>
      <c r="Q44" s="73">
        <v>5</v>
      </c>
    </row>
    <row r="45" spans="1:17">
      <c r="A45" s="8" t="s">
        <v>11</v>
      </c>
      <c r="B45" s="60" t="s">
        <v>67</v>
      </c>
      <c r="C45" s="60" t="s">
        <v>67</v>
      </c>
      <c r="D45" s="60" t="s">
        <v>67</v>
      </c>
      <c r="E45" s="62">
        <f t="shared" ref="E45:O45" si="2">E44*20</f>
        <v>93.333333333333343</v>
      </c>
      <c r="F45" s="62">
        <f t="shared" si="2"/>
        <v>100</v>
      </c>
      <c r="G45" s="62">
        <f t="shared" si="2"/>
        <v>92.5</v>
      </c>
      <c r="H45" s="62">
        <f t="shared" si="2"/>
        <v>95.241935483870975</v>
      </c>
      <c r="I45" s="60" t="s">
        <v>67</v>
      </c>
      <c r="J45" s="62">
        <f t="shared" si="2"/>
        <v>87.152777777777786</v>
      </c>
      <c r="K45" s="60" t="s">
        <v>67</v>
      </c>
      <c r="L45" s="60" t="s">
        <v>67</v>
      </c>
      <c r="M45" s="62">
        <f t="shared" si="2"/>
        <v>94.204545454545439</v>
      </c>
      <c r="N45" s="62">
        <f t="shared" si="2"/>
        <v>73.125</v>
      </c>
      <c r="O45" s="62">
        <f t="shared" si="2"/>
        <v>61.25</v>
      </c>
      <c r="P45" s="62">
        <f>P44*20</f>
        <v>88.461538461538467</v>
      </c>
      <c r="Q45" s="62">
        <f>Q44*20</f>
        <v>100</v>
      </c>
    </row>
    <row r="46" spans="1:17">
      <c r="A46" s="74" t="s">
        <v>45</v>
      </c>
      <c r="B46" s="77" t="s">
        <v>68</v>
      </c>
      <c r="C46" s="77" t="s">
        <v>68</v>
      </c>
      <c r="D46" s="77" t="s">
        <v>68</v>
      </c>
      <c r="E46" s="75">
        <v>100</v>
      </c>
      <c r="F46" s="75">
        <v>100</v>
      </c>
      <c r="G46" s="77">
        <v>100</v>
      </c>
      <c r="H46" s="75">
        <v>96.77</v>
      </c>
      <c r="I46" s="77" t="s">
        <v>68</v>
      </c>
      <c r="J46" s="75">
        <v>100</v>
      </c>
      <c r="K46" s="77" t="s">
        <v>68</v>
      </c>
      <c r="L46" s="77" t="s">
        <v>68</v>
      </c>
      <c r="M46" s="75">
        <v>100</v>
      </c>
      <c r="N46" s="75">
        <v>100</v>
      </c>
      <c r="O46" s="76">
        <v>100</v>
      </c>
      <c r="P46" s="76">
        <v>100</v>
      </c>
      <c r="Q46" s="76">
        <v>100</v>
      </c>
    </row>
    <row r="48" spans="1:17" ht="24" customHeight="1"/>
    <row r="49" spans="1:14" s="14" customFormat="1" ht="24" customHeight="1">
      <c r="A49" s="6" t="s">
        <v>0</v>
      </c>
      <c r="B49" s="5" t="s">
        <v>47</v>
      </c>
      <c r="C49" s="5" t="s">
        <v>13</v>
      </c>
      <c r="D49" s="5" t="s">
        <v>49</v>
      </c>
      <c r="E49" s="5" t="s">
        <v>15</v>
      </c>
      <c r="F49" s="17" t="s">
        <v>53</v>
      </c>
      <c r="G49" s="5" t="s">
        <v>16</v>
      </c>
      <c r="H49" s="5" t="s">
        <v>17</v>
      </c>
      <c r="I49" s="5" t="s">
        <v>18</v>
      </c>
      <c r="J49" s="5" t="s">
        <v>19</v>
      </c>
      <c r="K49" s="5" t="s">
        <v>20</v>
      </c>
      <c r="L49" s="5" t="s">
        <v>48</v>
      </c>
      <c r="M49" s="5" t="s">
        <v>21</v>
      </c>
      <c r="N49" s="5" t="s">
        <v>22</v>
      </c>
    </row>
    <row r="50" spans="1:14" s="25" customFormat="1" ht="24" customHeight="1" thickBot="1">
      <c r="A50" s="8" t="s">
        <v>9</v>
      </c>
      <c r="B50" s="24">
        <v>33</v>
      </c>
      <c r="C50" s="29">
        <v>55</v>
      </c>
      <c r="D50" s="24">
        <v>55</v>
      </c>
      <c r="E50" s="24">
        <v>23</v>
      </c>
      <c r="F50" s="60" t="s">
        <v>67</v>
      </c>
      <c r="G50" s="24">
        <v>56</v>
      </c>
      <c r="H50" s="24">
        <v>3</v>
      </c>
      <c r="I50" s="60" t="s">
        <v>67</v>
      </c>
      <c r="J50" s="26">
        <v>50</v>
      </c>
      <c r="K50" s="27">
        <v>69</v>
      </c>
      <c r="L50" s="24">
        <v>70</v>
      </c>
      <c r="M50" s="24">
        <v>87</v>
      </c>
      <c r="N50" s="24">
        <v>63</v>
      </c>
    </row>
    <row r="51" spans="1:14" ht="24" customHeight="1" thickBot="1">
      <c r="A51" s="86" t="s">
        <v>76</v>
      </c>
      <c r="B51" s="20">
        <v>4.6060606060606055</v>
      </c>
      <c r="C51" s="30">
        <v>4.3636363636363633</v>
      </c>
      <c r="D51" s="20">
        <v>4.6363636363636367</v>
      </c>
      <c r="E51" s="20">
        <v>4.4782608695652169</v>
      </c>
      <c r="F51" s="60" t="s">
        <v>67</v>
      </c>
      <c r="G51" s="20">
        <v>4.375</v>
      </c>
      <c r="H51" s="20">
        <v>3.6666666666666665</v>
      </c>
      <c r="I51" s="60" t="s">
        <v>67</v>
      </c>
      <c r="J51" s="20">
        <v>4.62</v>
      </c>
      <c r="K51" s="20">
        <v>4.5797101449275397</v>
      </c>
      <c r="L51" s="20">
        <v>4.4999999999999991</v>
      </c>
      <c r="M51" s="20">
        <v>4.5862068965517251</v>
      </c>
      <c r="N51" s="22">
        <v>4.650793650793652</v>
      </c>
    </row>
    <row r="52" spans="1:14" ht="24" customHeight="1" thickBot="1">
      <c r="A52" s="87" t="s">
        <v>77</v>
      </c>
      <c r="B52" s="20">
        <v>4.575757575757577</v>
      </c>
      <c r="C52" s="30">
        <v>4.4545454545454559</v>
      </c>
      <c r="D52" s="20">
        <v>4.5818181818181811</v>
      </c>
      <c r="E52" s="20">
        <v>4.4347826086956514</v>
      </c>
      <c r="F52" s="60" t="s">
        <v>67</v>
      </c>
      <c r="G52" s="20">
        <v>4.3928571428571423</v>
      </c>
      <c r="H52" s="20">
        <v>3.6666666666666665</v>
      </c>
      <c r="I52" s="60" t="s">
        <v>67</v>
      </c>
      <c r="J52" s="20">
        <v>4.6000000000000005</v>
      </c>
      <c r="K52" s="20">
        <v>4.5652173913043494</v>
      </c>
      <c r="L52" s="20">
        <v>4.4428571428571431</v>
      </c>
      <c r="M52" s="20">
        <v>4.5632183908045993</v>
      </c>
      <c r="N52" s="22">
        <v>4.6825396825396837</v>
      </c>
    </row>
    <row r="53" spans="1:14" ht="24" customHeight="1" thickBot="1">
      <c r="A53" s="87" t="s">
        <v>78</v>
      </c>
      <c r="B53" s="20">
        <v>4.6666666666666661</v>
      </c>
      <c r="C53" s="30">
        <v>4.4000000000000004</v>
      </c>
      <c r="D53" s="20">
        <v>4.5272727272727273</v>
      </c>
      <c r="E53" s="20">
        <v>4.3913043478260878</v>
      </c>
      <c r="F53" s="60" t="s">
        <v>67</v>
      </c>
      <c r="G53" s="20">
        <v>4.321428571428573</v>
      </c>
      <c r="H53" s="20">
        <v>3.6666666666666665</v>
      </c>
      <c r="I53" s="60" t="s">
        <v>67</v>
      </c>
      <c r="J53" s="20">
        <v>4.5199999999999996</v>
      </c>
      <c r="K53" s="20">
        <v>4.5072463768115929</v>
      </c>
      <c r="L53" s="20">
        <v>4.4285714285714297</v>
      </c>
      <c r="M53" s="20">
        <v>4.5402298850574709</v>
      </c>
      <c r="N53" s="22">
        <v>4.6507936507936529</v>
      </c>
    </row>
    <row r="54" spans="1:14" ht="24" customHeight="1" thickBot="1">
      <c r="A54" s="87" t="s">
        <v>79</v>
      </c>
      <c r="B54" s="20">
        <v>4.6363636363636358</v>
      </c>
      <c r="C54" s="30">
        <v>4.3818181818181809</v>
      </c>
      <c r="D54" s="20">
        <v>4.5272727272727273</v>
      </c>
      <c r="E54" s="20">
        <v>4.3478260869565224</v>
      </c>
      <c r="F54" s="60" t="s">
        <v>67</v>
      </c>
      <c r="G54" s="20">
        <v>4.3571428571428577</v>
      </c>
      <c r="H54" s="20">
        <v>4</v>
      </c>
      <c r="I54" s="60" t="s">
        <v>67</v>
      </c>
      <c r="J54" s="20">
        <v>4.58</v>
      </c>
      <c r="K54" s="20">
        <v>4.4637681159420275</v>
      </c>
      <c r="L54" s="20">
        <v>4.3428571428571434</v>
      </c>
      <c r="M54" s="20">
        <v>4.4712643678160902</v>
      </c>
      <c r="N54" s="22">
        <v>4.6984126984126995</v>
      </c>
    </row>
    <row r="55" spans="1:14" ht="24" customHeight="1" thickBot="1">
      <c r="A55" s="87" t="s">
        <v>80</v>
      </c>
      <c r="B55" s="20">
        <v>4.666666666666667</v>
      </c>
      <c r="C55" s="30">
        <v>4.3818181818181809</v>
      </c>
      <c r="D55" s="20">
        <v>4.4909090909090912</v>
      </c>
      <c r="E55" s="20">
        <v>4.5217391304347831</v>
      </c>
      <c r="F55" s="60" t="s">
        <v>67</v>
      </c>
      <c r="G55" s="20">
        <v>4.3214285714285712</v>
      </c>
      <c r="H55" s="20">
        <v>4</v>
      </c>
      <c r="I55" s="60" t="s">
        <v>67</v>
      </c>
      <c r="J55" s="20">
        <v>4.5200000000000005</v>
      </c>
      <c r="K55" s="20">
        <v>4.4347826086956506</v>
      </c>
      <c r="L55" s="20">
        <v>4.3</v>
      </c>
      <c r="M55" s="20">
        <v>4.4252873563218387</v>
      </c>
      <c r="N55" s="22">
        <v>4.666666666666667</v>
      </c>
    </row>
    <row r="56" spans="1:14" ht="24" customHeight="1" thickBot="1">
      <c r="A56" s="87" t="s">
        <v>81</v>
      </c>
      <c r="B56" s="20">
        <v>4.787878787878789</v>
      </c>
      <c r="C56" s="30">
        <v>4.5090909090909088</v>
      </c>
      <c r="D56" s="20">
        <v>4.5090909090909079</v>
      </c>
      <c r="E56" s="20">
        <v>4.3478260869565215</v>
      </c>
      <c r="F56" s="60" t="s">
        <v>67</v>
      </c>
      <c r="G56" s="20">
        <v>4.3750000000000009</v>
      </c>
      <c r="H56" s="20">
        <v>4</v>
      </c>
      <c r="I56" s="60" t="s">
        <v>67</v>
      </c>
      <c r="J56" s="20">
        <v>4.4999999999999991</v>
      </c>
      <c r="K56" s="20">
        <v>4.4637681159420284</v>
      </c>
      <c r="L56" s="20">
        <v>4.3428571428571434</v>
      </c>
      <c r="M56" s="20">
        <v>4.5517241379310382</v>
      </c>
      <c r="N56" s="22">
        <v>4.666666666666667</v>
      </c>
    </row>
    <row r="57" spans="1:14" ht="24" customHeight="1" thickBot="1">
      <c r="A57" s="87" t="s">
        <v>82</v>
      </c>
      <c r="B57" s="20">
        <v>4.7272727272727275</v>
      </c>
      <c r="C57" s="30">
        <v>4.5818181818181811</v>
      </c>
      <c r="D57" s="20">
        <v>4.5272727272727273</v>
      </c>
      <c r="E57" s="20">
        <v>4.5217391304347814</v>
      </c>
      <c r="F57" s="60" t="s">
        <v>67</v>
      </c>
      <c r="G57" s="20">
        <v>4.321428571428573</v>
      </c>
      <c r="H57" s="20">
        <v>4</v>
      </c>
      <c r="I57" s="60" t="s">
        <v>67</v>
      </c>
      <c r="J57" s="20">
        <v>4.54</v>
      </c>
      <c r="K57" s="20">
        <v>4.4782608695652186</v>
      </c>
      <c r="L57" s="20">
        <v>4.5142857142857142</v>
      </c>
      <c r="M57" s="20">
        <v>4.5977011494252871</v>
      </c>
      <c r="N57" s="22">
        <v>4.7142857142857144</v>
      </c>
    </row>
    <row r="58" spans="1:14" ht="24" customHeight="1" thickBot="1">
      <c r="A58" s="87" t="s">
        <v>83</v>
      </c>
      <c r="B58" s="20">
        <v>4.5757575757575761</v>
      </c>
      <c r="C58" s="30">
        <v>4.4181818181818162</v>
      </c>
      <c r="D58" s="20">
        <v>4.5636363636363626</v>
      </c>
      <c r="E58" s="20">
        <v>4.5652173913043477</v>
      </c>
      <c r="F58" s="60" t="s">
        <v>67</v>
      </c>
      <c r="G58" s="20">
        <v>4.3571428571428585</v>
      </c>
      <c r="H58" s="20">
        <v>4.333333333333333</v>
      </c>
      <c r="I58" s="60" t="s">
        <v>67</v>
      </c>
      <c r="J58" s="20">
        <v>4.5</v>
      </c>
      <c r="K58" s="20">
        <v>4.4782608695652151</v>
      </c>
      <c r="L58" s="20">
        <v>4.3285714285714292</v>
      </c>
      <c r="M58" s="20">
        <v>4.4712643678160919</v>
      </c>
      <c r="N58" s="22">
        <v>4.6031746031746037</v>
      </c>
    </row>
    <row r="59" spans="1:14" ht="24" customHeight="1" thickBot="1">
      <c r="A59" s="87" t="s">
        <v>84</v>
      </c>
      <c r="B59" s="20">
        <v>4.6060606060606064</v>
      </c>
      <c r="C59" s="30">
        <v>4.5090909090909079</v>
      </c>
      <c r="D59" s="20">
        <v>4.6181818181818191</v>
      </c>
      <c r="E59" s="20">
        <v>4.5217391304347823</v>
      </c>
      <c r="F59" s="60" t="s">
        <v>67</v>
      </c>
      <c r="G59" s="20">
        <v>4.5357142857142865</v>
      </c>
      <c r="H59" s="20">
        <v>4</v>
      </c>
      <c r="I59" s="60" t="s">
        <v>67</v>
      </c>
      <c r="J59" s="20">
        <v>4.5600000000000014</v>
      </c>
      <c r="K59" s="20">
        <v>4.536231884057969</v>
      </c>
      <c r="L59" s="20">
        <v>4.485714285714284</v>
      </c>
      <c r="M59" s="20">
        <v>4.5632183908045993</v>
      </c>
      <c r="N59" s="22">
        <v>4.6984126984126995</v>
      </c>
    </row>
    <row r="60" spans="1:14" ht="24" customHeight="1" thickBot="1">
      <c r="A60" s="87" t="s">
        <v>85</v>
      </c>
      <c r="B60" s="20">
        <v>4.6363636363636358</v>
      </c>
      <c r="C60" s="30">
        <v>4.4727272727272709</v>
      </c>
      <c r="D60" s="20">
        <v>4.5090909090909079</v>
      </c>
      <c r="E60" s="20">
        <v>4.5652173913043477</v>
      </c>
      <c r="F60" s="60" t="s">
        <v>67</v>
      </c>
      <c r="G60" s="20">
        <v>4.4107142857142856</v>
      </c>
      <c r="H60" s="20">
        <v>4</v>
      </c>
      <c r="I60" s="60" t="s">
        <v>67</v>
      </c>
      <c r="J60" s="20">
        <v>4.54</v>
      </c>
      <c r="K60" s="20">
        <v>4.5072463768115938</v>
      </c>
      <c r="L60" s="20">
        <v>4.4857142857142849</v>
      </c>
      <c r="M60" s="20">
        <v>4.4597701149425291</v>
      </c>
      <c r="N60" s="22">
        <v>4.6984126984126995</v>
      </c>
    </row>
    <row r="61" spans="1:14" ht="24" customHeight="1" thickBot="1">
      <c r="A61" s="87" t="s">
        <v>86</v>
      </c>
      <c r="B61" s="20">
        <v>4.6969696969696972</v>
      </c>
      <c r="C61" s="30">
        <v>4.4909090909090903</v>
      </c>
      <c r="D61" s="20">
        <v>4.5090909090909079</v>
      </c>
      <c r="E61" s="20">
        <v>4.5217391304347814</v>
      </c>
      <c r="F61" s="60" t="s">
        <v>67</v>
      </c>
      <c r="G61" s="20">
        <v>4.321428571428573</v>
      </c>
      <c r="H61" s="20">
        <v>4</v>
      </c>
      <c r="I61" s="60" t="s">
        <v>67</v>
      </c>
      <c r="J61" s="20">
        <v>4.5400000000000009</v>
      </c>
      <c r="K61" s="20">
        <v>4.5362318840579698</v>
      </c>
      <c r="L61" s="20">
        <v>4.4857142857142849</v>
      </c>
      <c r="M61" s="20">
        <v>4.5517241379310391</v>
      </c>
      <c r="N61" s="22">
        <v>4.666666666666667</v>
      </c>
    </row>
    <row r="62" spans="1:14" ht="24" customHeight="1" thickBot="1">
      <c r="A62" s="87" t="s">
        <v>87</v>
      </c>
      <c r="B62" s="20">
        <v>4.7272727272727275</v>
      </c>
      <c r="C62" s="30">
        <v>4.4727272727272718</v>
      </c>
      <c r="D62" s="20">
        <v>4.4909090909090912</v>
      </c>
      <c r="E62" s="20">
        <v>4.5217391304347823</v>
      </c>
      <c r="F62" s="60" t="s">
        <v>67</v>
      </c>
      <c r="G62" s="20">
        <v>4.4107142857142865</v>
      </c>
      <c r="H62" s="20">
        <v>4</v>
      </c>
      <c r="I62" s="60" t="s">
        <v>67</v>
      </c>
      <c r="J62" s="20">
        <v>4.5400000000000009</v>
      </c>
      <c r="K62" s="20">
        <v>4.5217391304347823</v>
      </c>
      <c r="L62" s="20">
        <v>4.3999999999999977</v>
      </c>
      <c r="M62" s="20">
        <v>4.5287356321839063</v>
      </c>
      <c r="N62" s="22">
        <v>4.6190476190476195</v>
      </c>
    </row>
    <row r="63" spans="1:14" ht="24" customHeight="1" thickBot="1">
      <c r="A63" s="87" t="s">
        <v>88</v>
      </c>
      <c r="B63" s="20">
        <v>4.4242424242424256</v>
      </c>
      <c r="C63" s="30">
        <v>4.4000000000000012</v>
      </c>
      <c r="D63" s="20">
        <v>4.4909090909090903</v>
      </c>
      <c r="E63" s="20">
        <v>4.4347826086956514</v>
      </c>
      <c r="F63" s="60" t="s">
        <v>67</v>
      </c>
      <c r="G63" s="20">
        <v>4.3035714285714288</v>
      </c>
      <c r="H63" s="20">
        <v>3.6666666666666665</v>
      </c>
      <c r="I63" s="60" t="s">
        <v>67</v>
      </c>
      <c r="J63" s="20">
        <v>4.5799999999999992</v>
      </c>
      <c r="K63" s="20">
        <v>4.4782608695652186</v>
      </c>
      <c r="L63" s="20">
        <v>4.3714285714285701</v>
      </c>
      <c r="M63" s="20">
        <v>4.4827586206896557</v>
      </c>
      <c r="N63" s="22">
        <v>4.666666666666667</v>
      </c>
    </row>
    <row r="64" spans="1:14" ht="24" customHeight="1" thickBot="1">
      <c r="A64" s="87" t="s">
        <v>89</v>
      </c>
      <c r="B64" s="20">
        <v>4.6060606060606064</v>
      </c>
      <c r="C64" s="30">
        <v>4.3999999999999986</v>
      </c>
      <c r="D64" s="20">
        <v>4.4909090909090912</v>
      </c>
      <c r="E64" s="20">
        <v>4.478260869565216</v>
      </c>
      <c r="F64" s="60" t="s">
        <v>67</v>
      </c>
      <c r="G64" s="20">
        <v>4.4464285714285703</v>
      </c>
      <c r="H64" s="20">
        <v>4.333333333333333</v>
      </c>
      <c r="I64" s="60" t="s">
        <v>67</v>
      </c>
      <c r="J64" s="20">
        <v>4.6000000000000014</v>
      </c>
      <c r="K64" s="20">
        <v>4.4927536231884062</v>
      </c>
      <c r="L64" s="20">
        <v>4.3999999999999995</v>
      </c>
      <c r="M64" s="20">
        <v>4.5287356321839063</v>
      </c>
      <c r="N64" s="22">
        <v>4.6984126984126995</v>
      </c>
    </row>
    <row r="65" spans="1:16" ht="24" customHeight="1" thickBot="1">
      <c r="A65" s="87" t="s">
        <v>90</v>
      </c>
      <c r="B65" s="20">
        <v>4.6666666666666661</v>
      </c>
      <c r="C65" s="30">
        <v>4.4545454545454559</v>
      </c>
      <c r="D65" s="20">
        <v>4.6363636363636358</v>
      </c>
      <c r="E65" s="20">
        <v>4.478260869565216</v>
      </c>
      <c r="F65" s="60" t="s">
        <v>67</v>
      </c>
      <c r="G65" s="20">
        <v>4.3928571428571432</v>
      </c>
      <c r="H65" s="20">
        <v>4.333333333333333</v>
      </c>
      <c r="I65" s="60" t="s">
        <v>67</v>
      </c>
      <c r="J65" s="20">
        <v>4.5600000000000005</v>
      </c>
      <c r="K65" s="20">
        <v>4.550724637681161</v>
      </c>
      <c r="L65" s="20">
        <v>4.3714285714285701</v>
      </c>
      <c r="M65" s="20">
        <v>4.5862068965517242</v>
      </c>
      <c r="N65" s="22">
        <v>4.7142857142857153</v>
      </c>
    </row>
    <row r="66" spans="1:16" ht="24" customHeight="1" thickBot="1">
      <c r="A66" s="87" t="s">
        <v>91</v>
      </c>
      <c r="B66" s="20">
        <v>4.7272727272727275</v>
      </c>
      <c r="C66" s="30">
        <v>4.5090909090909079</v>
      </c>
      <c r="D66" s="20">
        <v>4.6545454545454552</v>
      </c>
      <c r="E66" s="20">
        <v>4.6086956521739131</v>
      </c>
      <c r="F66" s="60" t="s">
        <v>67</v>
      </c>
      <c r="G66" s="20">
        <v>4.4285714285714288</v>
      </c>
      <c r="H66" s="20">
        <v>4</v>
      </c>
      <c r="I66" s="60" t="s">
        <v>67</v>
      </c>
      <c r="J66" s="20">
        <v>4.6200000000000019</v>
      </c>
      <c r="K66" s="20">
        <v>4.5507246376811583</v>
      </c>
      <c r="L66" s="20">
        <v>4.5571428571428578</v>
      </c>
      <c r="M66" s="20">
        <v>4.6436781609195403</v>
      </c>
      <c r="N66" s="22">
        <v>4.7142857142857153</v>
      </c>
    </row>
    <row r="67" spans="1:16" ht="24" customHeight="1">
      <c r="A67" s="8" t="s">
        <v>10</v>
      </c>
      <c r="B67" s="20">
        <v>4.6458333333333339</v>
      </c>
      <c r="C67" s="72">
        <v>4.45</v>
      </c>
      <c r="D67" s="20">
        <v>4.5477272727272746</v>
      </c>
      <c r="E67" s="20">
        <v>4.4836956521739131</v>
      </c>
      <c r="F67" s="60" t="s">
        <v>67</v>
      </c>
      <c r="G67" s="20">
        <v>4.3794642857142856</v>
      </c>
      <c r="H67" s="20">
        <v>3.9791666666666665</v>
      </c>
      <c r="I67" s="60" t="s">
        <v>67</v>
      </c>
      <c r="J67" s="20">
        <v>4.5574999999999992</v>
      </c>
      <c r="K67" s="20">
        <v>4.5090579710144922</v>
      </c>
      <c r="L67" s="20">
        <v>4.4223214285714256</v>
      </c>
      <c r="M67" s="20">
        <v>4.5344827586206895</v>
      </c>
      <c r="N67" s="22">
        <v>4.675595238095239</v>
      </c>
    </row>
    <row r="68" spans="1:16">
      <c r="A68" s="8" t="s">
        <v>11</v>
      </c>
      <c r="B68" s="62">
        <f t="shared" ref="B68:N68" si="3">B67*20</f>
        <v>92.916666666666686</v>
      </c>
      <c r="C68" s="62">
        <f t="shared" si="3"/>
        <v>89</v>
      </c>
      <c r="D68" s="62">
        <f t="shared" si="3"/>
        <v>90.954545454545496</v>
      </c>
      <c r="E68" s="62">
        <f t="shared" si="3"/>
        <v>89.673913043478265</v>
      </c>
      <c r="F68" s="60" t="s">
        <v>67</v>
      </c>
      <c r="G68" s="62">
        <f t="shared" si="3"/>
        <v>87.589285714285708</v>
      </c>
      <c r="H68" s="62">
        <f t="shared" si="3"/>
        <v>79.583333333333329</v>
      </c>
      <c r="I68" s="60" t="s">
        <v>67</v>
      </c>
      <c r="J68" s="62">
        <f t="shared" si="3"/>
        <v>91.149999999999977</v>
      </c>
      <c r="K68" s="62">
        <f t="shared" si="3"/>
        <v>90.181159420289845</v>
      </c>
      <c r="L68" s="62">
        <f t="shared" si="3"/>
        <v>88.446428571428513</v>
      </c>
      <c r="M68" s="62">
        <f t="shared" si="3"/>
        <v>90.689655172413794</v>
      </c>
      <c r="N68" s="62">
        <f t="shared" si="3"/>
        <v>93.511904761904788</v>
      </c>
    </row>
    <row r="69" spans="1:16">
      <c r="A69" s="16" t="s">
        <v>45</v>
      </c>
      <c r="B69" s="61">
        <v>100</v>
      </c>
      <c r="C69" s="61">
        <v>98.18</v>
      </c>
      <c r="D69" s="61">
        <v>100</v>
      </c>
      <c r="E69" s="61">
        <v>100</v>
      </c>
      <c r="F69" s="77" t="s">
        <v>68</v>
      </c>
      <c r="G69" s="61">
        <v>100</v>
      </c>
      <c r="H69" s="63">
        <v>100</v>
      </c>
      <c r="I69" s="77" t="s">
        <v>68</v>
      </c>
      <c r="J69" s="61">
        <v>100</v>
      </c>
      <c r="K69" s="61">
        <v>100</v>
      </c>
      <c r="L69" s="61">
        <v>98.57</v>
      </c>
      <c r="M69" s="61">
        <v>100</v>
      </c>
      <c r="N69" s="61">
        <v>100</v>
      </c>
    </row>
    <row r="71" spans="1:16" ht="24" customHeight="1"/>
    <row r="72" spans="1:16" s="14" customFormat="1" ht="24" customHeight="1">
      <c r="A72" s="7" t="s">
        <v>0</v>
      </c>
      <c r="B72" s="5" t="s">
        <v>23</v>
      </c>
      <c r="C72" s="5" t="s">
        <v>24</v>
      </c>
      <c r="D72" s="5" t="s">
        <v>25</v>
      </c>
      <c r="E72" s="9" t="s">
        <v>26</v>
      </c>
      <c r="F72" s="5" t="s">
        <v>27</v>
      </c>
      <c r="G72" s="5" t="s">
        <v>28</v>
      </c>
      <c r="H72" s="5" t="s">
        <v>29</v>
      </c>
      <c r="I72" s="5" t="s">
        <v>30</v>
      </c>
      <c r="J72" s="5" t="s">
        <v>31</v>
      </c>
      <c r="K72" s="5" t="s">
        <v>32</v>
      </c>
      <c r="L72" s="5" t="s">
        <v>33</v>
      </c>
      <c r="M72" s="5" t="s">
        <v>14</v>
      </c>
      <c r="N72" s="5" t="s">
        <v>65</v>
      </c>
      <c r="O72" s="25"/>
      <c r="P72" s="3"/>
    </row>
    <row r="73" spans="1:16" s="25" customFormat="1" ht="24" customHeight="1" thickBot="1">
      <c r="A73" s="8" t="s">
        <v>9</v>
      </c>
      <c r="B73" s="24">
        <v>14</v>
      </c>
      <c r="C73" s="24">
        <v>18</v>
      </c>
      <c r="D73" s="24">
        <v>50</v>
      </c>
      <c r="E73" s="24">
        <v>37</v>
      </c>
      <c r="F73" s="24">
        <v>92</v>
      </c>
      <c r="G73" s="24">
        <v>54</v>
      </c>
      <c r="H73" s="24">
        <v>38</v>
      </c>
      <c r="I73" s="24">
        <v>80</v>
      </c>
      <c r="J73" s="24">
        <v>87</v>
      </c>
      <c r="K73" s="60" t="s">
        <v>67</v>
      </c>
      <c r="L73" s="60">
        <v>73</v>
      </c>
      <c r="M73" s="18">
        <v>34</v>
      </c>
      <c r="N73" s="60" t="s">
        <v>67</v>
      </c>
      <c r="O73" s="3"/>
      <c r="P73" s="65"/>
    </row>
    <row r="74" spans="1:16" ht="24" customHeight="1" thickBot="1">
      <c r="A74" s="86" t="s">
        <v>76</v>
      </c>
      <c r="B74" s="20">
        <v>4.5714285714285712</v>
      </c>
      <c r="C74" s="20">
        <v>4.6111111111111098</v>
      </c>
      <c r="D74" s="20">
        <v>4.660000000000001</v>
      </c>
      <c r="E74" s="20">
        <v>4.3783783783783781</v>
      </c>
      <c r="F74" s="20">
        <v>4.576086956521741</v>
      </c>
      <c r="G74" s="20">
        <v>4.5185185185185164</v>
      </c>
      <c r="H74" s="20">
        <v>4.8421052631578947</v>
      </c>
      <c r="I74" s="20">
        <v>4.7250000000000032</v>
      </c>
      <c r="J74" s="20">
        <v>4.5977011494252871</v>
      </c>
      <c r="K74" s="60" t="s">
        <v>67</v>
      </c>
      <c r="L74" s="20">
        <v>4.6301369863013688</v>
      </c>
      <c r="M74" s="20">
        <v>4.7941176470588225</v>
      </c>
      <c r="N74" s="60" t="s">
        <v>67</v>
      </c>
    </row>
    <row r="75" spans="1:16" ht="24" customHeight="1" thickBot="1">
      <c r="A75" s="87" t="s">
        <v>77</v>
      </c>
      <c r="B75" s="20">
        <v>4.4285714285714279</v>
      </c>
      <c r="C75" s="20">
        <v>4.6111111111111098</v>
      </c>
      <c r="D75" s="20">
        <v>4.6199999999999992</v>
      </c>
      <c r="E75" s="20">
        <v>4.3513513513513509</v>
      </c>
      <c r="F75" s="20">
        <v>4.4999999999999982</v>
      </c>
      <c r="G75" s="20">
        <v>4.5370370370370381</v>
      </c>
      <c r="H75" s="20">
        <v>4.8421052631578938</v>
      </c>
      <c r="I75" s="20">
        <v>4.6624999999999988</v>
      </c>
      <c r="J75" s="20">
        <v>4.6091954022988508</v>
      </c>
      <c r="K75" s="60" t="s">
        <v>67</v>
      </c>
      <c r="L75" s="20">
        <v>4.5616438356164375</v>
      </c>
      <c r="M75" s="20">
        <v>4.7941176470588234</v>
      </c>
      <c r="N75" s="60" t="s">
        <v>67</v>
      </c>
    </row>
    <row r="76" spans="1:16" ht="24" customHeight="1" thickBot="1">
      <c r="A76" s="87" t="s">
        <v>78</v>
      </c>
      <c r="B76" s="20">
        <v>4.4999999999999982</v>
      </c>
      <c r="C76" s="20">
        <v>4.5</v>
      </c>
      <c r="D76" s="20">
        <v>4.6399999999999997</v>
      </c>
      <c r="E76" s="20">
        <v>4.3513513513513509</v>
      </c>
      <c r="F76" s="20">
        <v>4.4673913043478244</v>
      </c>
      <c r="G76" s="20">
        <v>4.5370370370370363</v>
      </c>
      <c r="H76" s="20">
        <v>4.8157894736842106</v>
      </c>
      <c r="I76" s="20">
        <v>4.6875</v>
      </c>
      <c r="J76" s="20">
        <v>4.5862068965517233</v>
      </c>
      <c r="K76" s="60" t="s">
        <v>67</v>
      </c>
      <c r="L76" s="20">
        <v>4.5890410958904093</v>
      </c>
      <c r="M76" s="20">
        <v>4.7941176470588234</v>
      </c>
      <c r="N76" s="60" t="s">
        <v>67</v>
      </c>
    </row>
    <row r="77" spans="1:16" ht="24" customHeight="1" thickBot="1">
      <c r="A77" s="87" t="s">
        <v>79</v>
      </c>
      <c r="B77" s="20">
        <v>4.8571428571428577</v>
      </c>
      <c r="C77" s="20">
        <v>4.6111111111111107</v>
      </c>
      <c r="D77" s="20">
        <v>4.5399999999999991</v>
      </c>
      <c r="E77" s="20">
        <v>4.4054054054054061</v>
      </c>
      <c r="F77" s="20">
        <v>4.478260869565216</v>
      </c>
      <c r="G77" s="20">
        <v>4.6111111111111116</v>
      </c>
      <c r="H77" s="20">
        <v>4.8157894736842097</v>
      </c>
      <c r="I77" s="20">
        <v>4.6625000000000005</v>
      </c>
      <c r="J77" s="20">
        <v>4.5747126436781622</v>
      </c>
      <c r="K77" s="60" t="s">
        <v>67</v>
      </c>
      <c r="L77" s="20">
        <v>4.6438356164383574</v>
      </c>
      <c r="M77" s="20">
        <v>4.7941176470588234</v>
      </c>
      <c r="N77" s="60" t="s">
        <v>67</v>
      </c>
    </row>
    <row r="78" spans="1:16" ht="24" customHeight="1" thickBot="1">
      <c r="A78" s="87" t="s">
        <v>80</v>
      </c>
      <c r="B78" s="20">
        <v>4.3571428571428568</v>
      </c>
      <c r="C78" s="20">
        <v>4.3888888888888875</v>
      </c>
      <c r="D78" s="20">
        <v>4.6399999999999988</v>
      </c>
      <c r="E78" s="20">
        <v>4.2972972972972974</v>
      </c>
      <c r="F78" s="20">
        <v>4.4891304347826102</v>
      </c>
      <c r="G78" s="20">
        <v>4.5555555555555562</v>
      </c>
      <c r="H78" s="20">
        <v>4.7105263157894743</v>
      </c>
      <c r="I78" s="20">
        <v>4.6250000000000009</v>
      </c>
      <c r="J78" s="20">
        <v>4.6436781609195412</v>
      </c>
      <c r="K78" s="60" t="s">
        <v>67</v>
      </c>
      <c r="L78" s="20">
        <v>4.5616438356164375</v>
      </c>
      <c r="M78" s="20">
        <v>4.7647058823529411</v>
      </c>
      <c r="N78" s="60" t="s">
        <v>67</v>
      </c>
    </row>
    <row r="79" spans="1:16" ht="24" customHeight="1" thickBot="1">
      <c r="A79" s="87" t="s">
        <v>81</v>
      </c>
      <c r="B79" s="20">
        <v>4.5714285714285721</v>
      </c>
      <c r="C79" s="20">
        <v>4.3888888888888875</v>
      </c>
      <c r="D79" s="20">
        <v>4.6199999999999992</v>
      </c>
      <c r="E79" s="20">
        <v>4.4054054054054044</v>
      </c>
      <c r="F79" s="20">
        <v>4.4456521739130439</v>
      </c>
      <c r="G79" s="20">
        <v>4.5555555555555554</v>
      </c>
      <c r="H79" s="20">
        <v>4.7105263157894735</v>
      </c>
      <c r="I79" s="20">
        <v>4.6500000000000012</v>
      </c>
      <c r="J79" s="20">
        <v>4.4942528735632203</v>
      </c>
      <c r="K79" s="60" t="s">
        <v>67</v>
      </c>
      <c r="L79" s="20">
        <v>4.6301369863013688</v>
      </c>
      <c r="M79" s="20">
        <v>4.7941176470588234</v>
      </c>
      <c r="N79" s="60" t="s">
        <v>67</v>
      </c>
    </row>
    <row r="80" spans="1:16" ht="24" customHeight="1" thickBot="1">
      <c r="A80" s="87" t="s">
        <v>82</v>
      </c>
      <c r="B80" s="20">
        <v>4.6428571428571432</v>
      </c>
      <c r="C80" s="20">
        <v>4.5</v>
      </c>
      <c r="D80" s="20">
        <v>4.660000000000001</v>
      </c>
      <c r="E80" s="20">
        <v>4.5675675675675684</v>
      </c>
      <c r="F80" s="20">
        <v>4.5543478260869552</v>
      </c>
      <c r="G80" s="20">
        <v>4.6666666666666652</v>
      </c>
      <c r="H80" s="20">
        <v>4.8157894736842097</v>
      </c>
      <c r="I80" s="20">
        <v>4.7624999999999984</v>
      </c>
      <c r="J80" s="20">
        <v>4.6551724137931032</v>
      </c>
      <c r="K80" s="60" t="s">
        <v>67</v>
      </c>
      <c r="L80" s="20">
        <v>4.6575342465753433</v>
      </c>
      <c r="M80" s="20">
        <v>4.882352941176471</v>
      </c>
      <c r="N80" s="60" t="s">
        <v>67</v>
      </c>
    </row>
    <row r="81" spans="1:16" ht="24" customHeight="1" thickBot="1">
      <c r="A81" s="87" t="s">
        <v>83</v>
      </c>
      <c r="B81" s="20">
        <v>4.2857142857142856</v>
      </c>
      <c r="C81" s="20">
        <v>4.5555555555555545</v>
      </c>
      <c r="D81" s="20">
        <v>4.6000000000000005</v>
      </c>
      <c r="E81" s="20">
        <v>4.3513513513513509</v>
      </c>
      <c r="F81" s="20">
        <v>4.3586956521739149</v>
      </c>
      <c r="G81" s="20">
        <v>4.5370370370370354</v>
      </c>
      <c r="H81" s="20">
        <v>4.7631578947368443</v>
      </c>
      <c r="I81" s="20">
        <v>4.6749999999999989</v>
      </c>
      <c r="J81" s="20">
        <v>4.5977011494252871</v>
      </c>
      <c r="K81" s="60" t="s">
        <v>67</v>
      </c>
      <c r="L81" s="20">
        <v>4.5890410958904102</v>
      </c>
      <c r="M81" s="20">
        <v>4.6176470588235308</v>
      </c>
      <c r="N81" s="60" t="s">
        <v>67</v>
      </c>
    </row>
    <row r="82" spans="1:16" ht="24" customHeight="1" thickBot="1">
      <c r="A82" s="87" t="s">
        <v>84</v>
      </c>
      <c r="B82" s="20">
        <v>4.6428571428571432</v>
      </c>
      <c r="C82" s="20">
        <v>4.5555555555555545</v>
      </c>
      <c r="D82" s="20">
        <v>4.660000000000001</v>
      </c>
      <c r="E82" s="20">
        <v>4.4054054054054061</v>
      </c>
      <c r="F82" s="20">
        <v>4.5217391304347805</v>
      </c>
      <c r="G82" s="20">
        <v>4.6481481481481497</v>
      </c>
      <c r="H82" s="20">
        <v>4.7894736842105257</v>
      </c>
      <c r="I82" s="20">
        <v>4.7125000000000012</v>
      </c>
      <c r="J82" s="20">
        <v>4.6321839080459775</v>
      </c>
      <c r="K82" s="60" t="s">
        <v>67</v>
      </c>
      <c r="L82" s="20">
        <v>4.684931506849316</v>
      </c>
      <c r="M82" s="20">
        <v>4.8235294117647056</v>
      </c>
      <c r="N82" s="60" t="s">
        <v>67</v>
      </c>
    </row>
    <row r="83" spans="1:16" ht="24" customHeight="1" thickBot="1">
      <c r="A83" s="87" t="s">
        <v>85</v>
      </c>
      <c r="B83" s="20">
        <v>4.6428571428571432</v>
      </c>
      <c r="C83" s="20">
        <v>4.6111111111111107</v>
      </c>
      <c r="D83" s="20">
        <v>4.660000000000001</v>
      </c>
      <c r="E83" s="20">
        <v>4.4324324324324325</v>
      </c>
      <c r="F83" s="20">
        <v>4.5217391304347823</v>
      </c>
      <c r="G83" s="20">
        <v>4.6111111111111116</v>
      </c>
      <c r="H83" s="20">
        <v>4.7894736842105248</v>
      </c>
      <c r="I83" s="20">
        <v>4.7125000000000012</v>
      </c>
      <c r="J83" s="20">
        <v>4.5172413793103443</v>
      </c>
      <c r="K83" s="60" t="s">
        <v>67</v>
      </c>
      <c r="L83" s="20">
        <v>4.6301369863013688</v>
      </c>
      <c r="M83" s="20">
        <v>4.7647058823529411</v>
      </c>
      <c r="N83" s="60" t="s">
        <v>67</v>
      </c>
    </row>
    <row r="84" spans="1:16" ht="24" customHeight="1" thickBot="1">
      <c r="A84" s="87" t="s">
        <v>86</v>
      </c>
      <c r="B84" s="20">
        <v>4.6428571428571432</v>
      </c>
      <c r="C84" s="20">
        <v>4.5555555555555545</v>
      </c>
      <c r="D84" s="20">
        <v>4.6399999999999988</v>
      </c>
      <c r="E84" s="20">
        <v>4.4594594594594588</v>
      </c>
      <c r="F84" s="20">
        <v>4.5652173913043494</v>
      </c>
      <c r="G84" s="20">
        <v>4.629629629629628</v>
      </c>
      <c r="H84" s="20">
        <v>4.8157894736842097</v>
      </c>
      <c r="I84" s="20">
        <v>4.7125000000000012</v>
      </c>
      <c r="J84" s="20">
        <v>4.5977011494252862</v>
      </c>
      <c r="K84" s="60" t="s">
        <v>67</v>
      </c>
      <c r="L84" s="20">
        <v>4.6301369863013688</v>
      </c>
      <c r="M84" s="20">
        <v>4.7647058823529411</v>
      </c>
      <c r="N84" s="60" t="s">
        <v>67</v>
      </c>
    </row>
    <row r="85" spans="1:16" ht="24" customHeight="1" thickBot="1">
      <c r="A85" s="87" t="s">
        <v>87</v>
      </c>
      <c r="B85" s="20">
        <v>4.7142857142857144</v>
      </c>
      <c r="C85" s="20">
        <v>4.5555555555555545</v>
      </c>
      <c r="D85" s="20">
        <v>4.6199999999999992</v>
      </c>
      <c r="E85" s="20">
        <v>4.4054054054054053</v>
      </c>
      <c r="F85" s="20">
        <v>4.5434782608695645</v>
      </c>
      <c r="G85" s="20">
        <v>4.6111111111111116</v>
      </c>
      <c r="H85" s="20">
        <v>4.8421052631578938</v>
      </c>
      <c r="I85" s="20">
        <v>4.700000000000002</v>
      </c>
      <c r="J85" s="20">
        <v>4.6436781609195394</v>
      </c>
      <c r="K85" s="60" t="s">
        <v>67</v>
      </c>
      <c r="L85" s="20">
        <v>4.5890410958904111</v>
      </c>
      <c r="M85" s="20">
        <v>4.7647058823529411</v>
      </c>
      <c r="N85" s="60" t="s">
        <v>67</v>
      </c>
    </row>
    <row r="86" spans="1:16" ht="24" customHeight="1" thickBot="1">
      <c r="A86" s="87" t="s">
        <v>88</v>
      </c>
      <c r="B86" s="20">
        <v>4.5714285714285712</v>
      </c>
      <c r="C86" s="20">
        <v>4.6111111111111098</v>
      </c>
      <c r="D86" s="20">
        <v>4.6800000000000006</v>
      </c>
      <c r="E86" s="20">
        <v>4.4864864864864868</v>
      </c>
      <c r="F86" s="20">
        <v>4.5108695652173934</v>
      </c>
      <c r="G86" s="20">
        <v>4.5740740740740753</v>
      </c>
      <c r="H86" s="20">
        <v>4.7894736842105257</v>
      </c>
      <c r="I86" s="20">
        <v>4.7375000000000007</v>
      </c>
      <c r="J86" s="20">
        <v>4.5977011494252862</v>
      </c>
      <c r="K86" s="60" t="s">
        <v>67</v>
      </c>
      <c r="L86" s="20">
        <v>4.6027397260273988</v>
      </c>
      <c r="M86" s="20">
        <v>4.1470588235294112</v>
      </c>
      <c r="N86" s="60" t="s">
        <v>67</v>
      </c>
    </row>
    <row r="87" spans="1:16" ht="24" customHeight="1" thickBot="1">
      <c r="A87" s="87" t="s">
        <v>89</v>
      </c>
      <c r="B87" s="20">
        <v>4.5714285714285712</v>
      </c>
      <c r="C87" s="20">
        <v>4.6111111111111107</v>
      </c>
      <c r="D87" s="20">
        <v>4.7000000000000011</v>
      </c>
      <c r="E87" s="20">
        <v>4.2702702702702711</v>
      </c>
      <c r="F87" s="20">
        <v>4.5326086956521729</v>
      </c>
      <c r="G87" s="20">
        <v>4.5740740740740735</v>
      </c>
      <c r="H87" s="20">
        <v>4.7631578947368434</v>
      </c>
      <c r="I87" s="20">
        <v>4.7125000000000004</v>
      </c>
      <c r="J87" s="20">
        <v>4.5977011494252862</v>
      </c>
      <c r="K87" s="60" t="s">
        <v>67</v>
      </c>
      <c r="L87" s="20">
        <v>4.6301369863013697</v>
      </c>
      <c r="M87" s="20">
        <v>4.7352941176470589</v>
      </c>
      <c r="N87" s="60" t="s">
        <v>67</v>
      </c>
    </row>
    <row r="88" spans="1:16" ht="24" customHeight="1" thickBot="1">
      <c r="A88" s="87" t="s">
        <v>90</v>
      </c>
      <c r="B88" s="20">
        <v>4.5</v>
      </c>
      <c r="C88" s="20">
        <v>4.5555555555555545</v>
      </c>
      <c r="D88" s="20">
        <v>4.6399999999999988</v>
      </c>
      <c r="E88" s="20">
        <v>4.4054054054054061</v>
      </c>
      <c r="F88" s="20">
        <v>4.5434782608695645</v>
      </c>
      <c r="G88" s="20">
        <v>4.6111111111111116</v>
      </c>
      <c r="H88" s="20">
        <v>4.7631578947368434</v>
      </c>
      <c r="I88" s="20">
        <v>4.7499999999999991</v>
      </c>
      <c r="J88" s="20">
        <v>4.5862068965517242</v>
      </c>
      <c r="K88" s="60" t="s">
        <v>67</v>
      </c>
      <c r="L88" s="20">
        <v>4.5890410958904093</v>
      </c>
      <c r="M88" s="20">
        <v>4.8235294117647056</v>
      </c>
      <c r="N88" s="60" t="s">
        <v>67</v>
      </c>
    </row>
    <row r="89" spans="1:16" ht="24" customHeight="1" thickBot="1">
      <c r="A89" s="87" t="s">
        <v>91</v>
      </c>
      <c r="B89" s="20">
        <v>4.7142857142857144</v>
      </c>
      <c r="C89" s="20">
        <v>4.666666666666667</v>
      </c>
      <c r="D89" s="20">
        <v>4.7200000000000006</v>
      </c>
      <c r="E89" s="20">
        <v>4.4594594594594588</v>
      </c>
      <c r="F89" s="20">
        <v>4.6195652173913064</v>
      </c>
      <c r="G89" s="20">
        <v>4.6296296296296289</v>
      </c>
      <c r="H89" s="20">
        <v>4.8157894736842097</v>
      </c>
      <c r="I89" s="20">
        <v>4.7874999999999988</v>
      </c>
      <c r="J89" s="20">
        <v>4.6091954022988482</v>
      </c>
      <c r="K89" s="60" t="s">
        <v>67</v>
      </c>
      <c r="L89" s="20">
        <v>4.6712328767123301</v>
      </c>
      <c r="M89" s="20">
        <v>4.8235294117647056</v>
      </c>
      <c r="N89" s="60" t="s">
        <v>67</v>
      </c>
    </row>
    <row r="90" spans="1:16" ht="24" customHeight="1">
      <c r="A90" s="8" t="s">
        <v>10</v>
      </c>
      <c r="B90" s="20">
        <v>4.5758928571428577</v>
      </c>
      <c r="C90" s="20">
        <v>4.5555555555555545</v>
      </c>
      <c r="D90" s="20">
        <v>4.6437500000000007</v>
      </c>
      <c r="E90" s="20">
        <v>4.4020270270270263</v>
      </c>
      <c r="F90" s="20">
        <v>4.5142663043478253</v>
      </c>
      <c r="G90" s="20">
        <v>4.5879629629629655</v>
      </c>
      <c r="H90" s="20">
        <v>4.7927631578947372</v>
      </c>
      <c r="I90" s="20">
        <v>4.7046875000000012</v>
      </c>
      <c r="J90" s="20">
        <v>4.5962643678160928</v>
      </c>
      <c r="K90" s="60" t="s">
        <v>67</v>
      </c>
      <c r="L90" s="20">
        <v>4.618150684931507</v>
      </c>
      <c r="M90" s="20">
        <v>4.7426470588235299</v>
      </c>
      <c r="N90" s="60" t="s">
        <v>67</v>
      </c>
    </row>
    <row r="91" spans="1:16" s="65" customFormat="1">
      <c r="A91" s="64" t="s">
        <v>11</v>
      </c>
      <c r="B91" s="67">
        <f>B90*20</f>
        <v>91.517857142857153</v>
      </c>
      <c r="C91" s="62">
        <f>C90*20</f>
        <v>91.111111111111086</v>
      </c>
      <c r="D91" s="62">
        <f>D90*20</f>
        <v>92.875000000000014</v>
      </c>
      <c r="E91" s="62">
        <f t="shared" ref="E91:M91" si="4">E90*20</f>
        <v>88.040540540540519</v>
      </c>
      <c r="F91" s="62">
        <f t="shared" si="4"/>
        <v>90.285326086956502</v>
      </c>
      <c r="G91" s="62">
        <f t="shared" si="4"/>
        <v>91.759259259259309</v>
      </c>
      <c r="H91" s="62">
        <f t="shared" si="4"/>
        <v>95.85526315789474</v>
      </c>
      <c r="I91" s="62">
        <f t="shared" si="4"/>
        <v>94.093750000000028</v>
      </c>
      <c r="J91" s="62">
        <f t="shared" si="4"/>
        <v>91.92528735632186</v>
      </c>
      <c r="K91" s="60" t="s">
        <v>67</v>
      </c>
      <c r="L91" s="62">
        <f t="shared" ref="L91" si="5">L90*20</f>
        <v>92.363013698630141</v>
      </c>
      <c r="M91" s="62">
        <f t="shared" si="4"/>
        <v>94.852941176470594</v>
      </c>
      <c r="N91" s="60" t="s">
        <v>67</v>
      </c>
      <c r="P91" s="3"/>
    </row>
    <row r="92" spans="1:16">
      <c r="A92" s="16" t="s">
        <v>45</v>
      </c>
      <c r="B92" s="61">
        <v>100</v>
      </c>
      <c r="C92" s="61">
        <v>100</v>
      </c>
      <c r="D92" s="61">
        <v>100</v>
      </c>
      <c r="E92" s="61">
        <v>100</v>
      </c>
      <c r="F92" s="61">
        <v>100</v>
      </c>
      <c r="G92" s="61">
        <v>100</v>
      </c>
      <c r="H92" s="61">
        <v>100</v>
      </c>
      <c r="I92" s="61">
        <v>100</v>
      </c>
      <c r="J92" s="61">
        <v>100</v>
      </c>
      <c r="K92" s="77" t="s">
        <v>68</v>
      </c>
      <c r="L92" s="21">
        <v>100</v>
      </c>
      <c r="M92" s="61">
        <v>100</v>
      </c>
      <c r="N92" s="77" t="s">
        <v>68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9"/>
  <sheetViews>
    <sheetView tabSelected="1" view="pageBreakPreview" zoomScale="184" zoomScaleNormal="100" zoomScaleSheetLayoutView="184" workbookViewId="0">
      <selection activeCell="H10" sqref="H10"/>
    </sheetView>
  </sheetViews>
  <sheetFormatPr defaultColWidth="9" defaultRowHeight="21"/>
  <cols>
    <col min="1" max="1" width="4.75" style="32" customWidth="1"/>
    <col min="2" max="2" width="27.625" style="32" customWidth="1"/>
    <col min="3" max="7" width="12" style="32" customWidth="1"/>
    <col min="8" max="8" width="30.125" style="32" customWidth="1"/>
    <col min="9" max="9" width="14.75" style="32" customWidth="1"/>
    <col min="10" max="10" width="7.25" style="32" customWidth="1"/>
    <col min="11" max="16384" width="9" style="32"/>
  </cols>
  <sheetData>
    <row r="1" spans="1:9" s="47" customFormat="1" ht="43.5" customHeight="1">
      <c r="A1" s="100" t="s">
        <v>99</v>
      </c>
      <c r="B1" s="101"/>
      <c r="C1" s="101"/>
      <c r="D1" s="101"/>
      <c r="E1" s="101"/>
      <c r="F1" s="101"/>
      <c r="G1" s="101"/>
      <c r="H1" s="101"/>
      <c r="I1" s="101"/>
    </row>
    <row r="2" spans="1:9" s="47" customFormat="1">
      <c r="A2" s="99" t="s">
        <v>97</v>
      </c>
      <c r="B2" s="99"/>
      <c r="C2" s="99"/>
      <c r="D2" s="99"/>
      <c r="E2" s="99"/>
      <c r="F2" s="99"/>
      <c r="G2" s="99"/>
      <c r="H2" s="99"/>
    </row>
    <row r="3" spans="1:9" s="34" customFormat="1">
      <c r="A3" s="99" t="s">
        <v>96</v>
      </c>
      <c r="B3" s="99"/>
      <c r="C3" s="99"/>
      <c r="D3" s="99"/>
      <c r="E3" s="99"/>
      <c r="F3" s="99"/>
      <c r="G3" s="99"/>
      <c r="H3" s="99"/>
      <c r="I3" s="47"/>
    </row>
    <row r="4" spans="1:9" s="47" customFormat="1">
      <c r="A4" s="49" t="s">
        <v>54</v>
      </c>
      <c r="B4" s="49"/>
      <c r="C4" s="49"/>
      <c r="D4" s="49"/>
      <c r="E4" s="49"/>
      <c r="F4" s="50"/>
      <c r="G4" s="50"/>
      <c r="H4" s="50"/>
      <c r="I4" s="34"/>
    </row>
    <row r="5" spans="1:9" s="47" customFormat="1">
      <c r="B5" s="103" t="s">
        <v>172</v>
      </c>
      <c r="C5" s="103"/>
      <c r="D5" s="103"/>
      <c r="E5" s="103"/>
      <c r="F5" s="103"/>
      <c r="G5" s="103"/>
      <c r="H5" s="103"/>
    </row>
    <row r="6" spans="1:9" s="84" customFormat="1">
      <c r="A6" s="47"/>
      <c r="B6" s="103" t="s">
        <v>173</v>
      </c>
      <c r="C6" s="103"/>
      <c r="D6" s="103"/>
      <c r="E6" s="103"/>
      <c r="F6" s="103"/>
      <c r="G6" s="103"/>
      <c r="H6" s="103"/>
      <c r="I6" s="47"/>
    </row>
    <row r="7" spans="1:9" s="34" customFormat="1" ht="21.75" customHeight="1">
      <c r="A7" s="84"/>
      <c r="B7" s="104" t="s">
        <v>174</v>
      </c>
      <c r="C7" s="104"/>
      <c r="D7" s="104"/>
      <c r="E7" s="104"/>
      <c r="F7" s="104"/>
      <c r="G7" s="104"/>
      <c r="H7" s="104"/>
      <c r="I7" s="84"/>
    </row>
    <row r="8" spans="1:9" s="34" customFormat="1" ht="21.75" customHeight="1">
      <c r="B8" s="51" t="s">
        <v>0</v>
      </c>
      <c r="C8" s="52" t="s">
        <v>34</v>
      </c>
      <c r="D8" s="52" t="s">
        <v>35</v>
      </c>
      <c r="E8" s="52" t="s">
        <v>36</v>
      </c>
      <c r="F8" s="52" t="s">
        <v>37</v>
      </c>
      <c r="G8" s="52" t="s">
        <v>38</v>
      </c>
    </row>
    <row r="9" spans="1:9" s="34" customFormat="1" ht="21.75" customHeight="1">
      <c r="B9" s="53" t="s">
        <v>9</v>
      </c>
      <c r="C9" s="54" t="s">
        <v>93</v>
      </c>
      <c r="D9" s="54" t="s">
        <v>92</v>
      </c>
      <c r="E9" s="66">
        <v>13</v>
      </c>
      <c r="F9" s="55" t="s">
        <v>179</v>
      </c>
      <c r="G9" s="55" t="s">
        <v>98</v>
      </c>
    </row>
    <row r="10" spans="1:9" s="34" customFormat="1" ht="21.75" customHeight="1">
      <c r="B10" s="53" t="s">
        <v>10</v>
      </c>
      <c r="C10" s="88" t="s">
        <v>94</v>
      </c>
      <c r="D10" s="88" t="s">
        <v>95</v>
      </c>
      <c r="E10" s="23">
        <v>4.4230769230769234</v>
      </c>
      <c r="F10" s="82">
        <v>4.8499999999999996</v>
      </c>
      <c r="G10" s="82">
        <v>4.7620967741935489</v>
      </c>
    </row>
    <row r="11" spans="1:9" s="34" customFormat="1" ht="21.75" customHeight="1">
      <c r="B11" s="53" t="s">
        <v>11</v>
      </c>
      <c r="C11" s="28">
        <v>86.32</v>
      </c>
      <c r="D11" s="28">
        <v>91.27</v>
      </c>
      <c r="E11" s="89">
        <f>E10*20</f>
        <v>88.461538461538467</v>
      </c>
      <c r="F11" s="90">
        <v>97</v>
      </c>
      <c r="G11" s="83">
        <v>95.241935483870975</v>
      </c>
    </row>
    <row r="12" spans="1:9" s="34" customFormat="1" ht="24" customHeight="1">
      <c r="B12" s="57"/>
      <c r="C12" s="58"/>
      <c r="D12" s="58"/>
      <c r="E12" s="58"/>
      <c r="F12" s="70"/>
      <c r="G12" s="70"/>
    </row>
    <row r="13" spans="1:9" s="34" customFormat="1" ht="24" customHeight="1">
      <c r="A13" s="102" t="s">
        <v>39</v>
      </c>
      <c r="B13" s="102"/>
      <c r="H13" s="34" t="s">
        <v>52</v>
      </c>
    </row>
    <row r="14" spans="1:9" s="34" customFormat="1" ht="24" customHeight="1">
      <c r="B14" s="37" t="s">
        <v>40</v>
      </c>
    </row>
    <row r="15" spans="1:9" s="69" customFormat="1" ht="24" customHeight="1">
      <c r="A15" s="32"/>
      <c r="B15" s="69" t="s">
        <v>112</v>
      </c>
      <c r="C15" s="35"/>
      <c r="D15" s="35"/>
      <c r="E15" s="35"/>
      <c r="F15" s="35"/>
      <c r="G15" s="35"/>
      <c r="H15" s="35"/>
      <c r="I15" s="32"/>
    </row>
    <row r="16" spans="1:9" s="69" customFormat="1" ht="24" customHeight="1">
      <c r="A16" s="32"/>
      <c r="B16" s="69" t="s">
        <v>127</v>
      </c>
      <c r="C16" s="35"/>
      <c r="D16" s="35"/>
      <c r="E16" s="35"/>
      <c r="F16" s="35"/>
      <c r="G16" s="35"/>
      <c r="H16" s="35"/>
      <c r="I16" s="32"/>
    </row>
    <row r="17" spans="1:9" s="69" customFormat="1" ht="24" customHeight="1">
      <c r="A17" s="32"/>
      <c r="B17" s="69" t="s">
        <v>175</v>
      </c>
      <c r="C17" s="35"/>
      <c r="D17" s="35"/>
      <c r="E17" s="35"/>
      <c r="F17" s="35"/>
      <c r="G17" s="35"/>
      <c r="H17" s="35"/>
      <c r="I17" s="32"/>
    </row>
    <row r="18" spans="1:9" s="69" customFormat="1" ht="24" customHeight="1">
      <c r="A18" s="32"/>
      <c r="B18" s="69" t="s">
        <v>111</v>
      </c>
      <c r="C18" s="35"/>
      <c r="D18" s="35"/>
      <c r="E18" s="35"/>
      <c r="F18" s="35"/>
      <c r="G18" s="35"/>
      <c r="H18" s="35"/>
      <c r="I18" s="32"/>
    </row>
    <row r="19" spans="1:9" s="69" customFormat="1" ht="24" customHeight="1">
      <c r="A19" s="32"/>
      <c r="B19" s="31" t="s">
        <v>168</v>
      </c>
      <c r="C19" s="35"/>
      <c r="D19" s="35"/>
      <c r="E19" s="35"/>
      <c r="F19" s="35"/>
      <c r="G19" s="35"/>
      <c r="H19" s="35"/>
      <c r="I19" s="32"/>
    </row>
    <row r="20" spans="1:9" s="69" customFormat="1" ht="24" customHeight="1">
      <c r="A20" s="32"/>
      <c r="B20" s="31" t="s">
        <v>107</v>
      </c>
      <c r="C20" s="35"/>
      <c r="D20" s="35"/>
      <c r="E20" s="35"/>
      <c r="F20" s="35"/>
      <c r="G20" s="35"/>
      <c r="H20" s="35"/>
      <c r="I20" s="32"/>
    </row>
    <row r="21" spans="1:9" s="69" customFormat="1" ht="24" customHeight="1">
      <c r="A21" s="32"/>
      <c r="B21" s="31" t="s">
        <v>101</v>
      </c>
      <c r="C21" s="35"/>
      <c r="D21" s="35"/>
      <c r="E21" s="35"/>
      <c r="F21" s="35"/>
      <c r="G21" s="35"/>
      <c r="H21" s="35"/>
      <c r="I21" s="32"/>
    </row>
    <row r="22" spans="1:9" s="69" customFormat="1" ht="24" customHeight="1">
      <c r="A22" s="32"/>
      <c r="B22" s="69" t="s">
        <v>113</v>
      </c>
      <c r="C22" s="35"/>
      <c r="D22" s="35"/>
      <c r="E22" s="35"/>
      <c r="F22" s="35"/>
      <c r="G22" s="35"/>
      <c r="H22" s="35"/>
      <c r="I22" s="32"/>
    </row>
    <row r="23" spans="1:9" s="69" customFormat="1" ht="24" customHeight="1">
      <c r="A23" s="32"/>
      <c r="B23" s="69" t="s">
        <v>128</v>
      </c>
      <c r="C23" s="35"/>
      <c r="D23" s="35"/>
      <c r="E23" s="35"/>
      <c r="F23" s="35"/>
      <c r="G23" s="35"/>
      <c r="H23" s="35"/>
      <c r="I23" s="32"/>
    </row>
    <row r="24" spans="1:9" s="69" customFormat="1" ht="24" customHeight="1">
      <c r="A24" s="32"/>
      <c r="B24" s="31" t="s">
        <v>103</v>
      </c>
      <c r="C24" s="35"/>
      <c r="D24" s="35"/>
      <c r="E24" s="35"/>
      <c r="F24" s="35"/>
      <c r="G24" s="35"/>
      <c r="H24" s="35"/>
      <c r="I24" s="32"/>
    </row>
    <row r="25" spans="1:9" s="69" customFormat="1" ht="24" customHeight="1">
      <c r="A25" s="32"/>
      <c r="B25" s="31" t="s">
        <v>176</v>
      </c>
      <c r="C25" s="35"/>
      <c r="D25" s="35"/>
      <c r="E25" s="35"/>
      <c r="F25" s="35"/>
      <c r="G25" s="35"/>
      <c r="H25" s="35"/>
      <c r="I25" s="32"/>
    </row>
    <row r="26" spans="1:9" s="69" customFormat="1" ht="24" customHeight="1">
      <c r="A26" s="32"/>
      <c r="B26" s="31" t="s">
        <v>104</v>
      </c>
      <c r="C26" s="35"/>
      <c r="D26" s="35"/>
      <c r="E26" s="35"/>
      <c r="F26" s="35"/>
      <c r="G26" s="35"/>
      <c r="H26" s="35"/>
      <c r="I26" s="32"/>
    </row>
    <row r="27" spans="1:9" s="69" customFormat="1" ht="24" customHeight="1">
      <c r="A27" s="32"/>
      <c r="B27" s="31" t="s">
        <v>105</v>
      </c>
      <c r="C27" s="35"/>
      <c r="D27" s="35"/>
      <c r="E27" s="35"/>
      <c r="F27" s="35"/>
      <c r="G27" s="35"/>
      <c r="H27" s="35"/>
      <c r="I27" s="32"/>
    </row>
    <row r="28" spans="1:9" s="69" customFormat="1" ht="24" customHeight="1">
      <c r="A28" s="32"/>
      <c r="B28" s="31" t="s">
        <v>106</v>
      </c>
      <c r="C28" s="35"/>
      <c r="D28" s="35"/>
      <c r="E28" s="35"/>
      <c r="F28" s="35"/>
      <c r="G28" s="35"/>
      <c r="H28" s="35"/>
      <c r="I28" s="32"/>
    </row>
    <row r="29" spans="1:9" s="69" customFormat="1" ht="24" customHeight="1">
      <c r="A29" s="32"/>
      <c r="B29" s="31" t="s">
        <v>169</v>
      </c>
      <c r="C29" s="35"/>
      <c r="D29" s="35"/>
      <c r="E29" s="35"/>
      <c r="F29" s="35"/>
      <c r="G29" s="35"/>
      <c r="H29" s="35"/>
      <c r="I29" s="32"/>
    </row>
    <row r="30" spans="1:9" s="69" customFormat="1" ht="24" customHeight="1">
      <c r="A30" s="32"/>
      <c r="B30" s="31" t="s">
        <v>116</v>
      </c>
      <c r="C30" s="35"/>
      <c r="D30" s="35"/>
      <c r="E30" s="35"/>
      <c r="F30" s="35"/>
      <c r="G30" s="35"/>
      <c r="H30" s="35"/>
      <c r="I30" s="32"/>
    </row>
    <row r="31" spans="1:9" s="69" customFormat="1" ht="24" customHeight="1">
      <c r="A31" s="32"/>
      <c r="B31" s="31" t="s">
        <v>120</v>
      </c>
      <c r="C31" s="35"/>
      <c r="D31" s="35"/>
      <c r="E31" s="35"/>
      <c r="F31" s="35"/>
      <c r="G31" s="35"/>
      <c r="H31" s="35"/>
      <c r="I31" s="32"/>
    </row>
    <row r="32" spans="1:9" s="69" customFormat="1" ht="24" customHeight="1">
      <c r="A32" s="32"/>
      <c r="B32" s="31" t="s">
        <v>126</v>
      </c>
      <c r="C32" s="35"/>
      <c r="D32" s="35"/>
      <c r="E32" s="35"/>
      <c r="F32" s="35"/>
      <c r="G32" s="35"/>
      <c r="H32" s="35"/>
      <c r="I32" s="32"/>
    </row>
    <row r="33" spans="1:9" s="69" customFormat="1" ht="24" customHeight="1">
      <c r="A33" s="32"/>
      <c r="B33" s="31" t="s">
        <v>129</v>
      </c>
      <c r="C33" s="35"/>
      <c r="D33" s="35"/>
      <c r="E33" s="35"/>
      <c r="F33" s="35"/>
      <c r="G33" s="35"/>
      <c r="H33" s="35"/>
      <c r="I33" s="32"/>
    </row>
    <row r="34" spans="1:9" s="69" customFormat="1" ht="24" customHeight="1">
      <c r="A34" s="32"/>
      <c r="B34" s="31" t="s">
        <v>138</v>
      </c>
      <c r="C34" s="35"/>
      <c r="D34" s="35"/>
      <c r="E34" s="35"/>
      <c r="F34" s="35"/>
      <c r="G34" s="35"/>
      <c r="H34" s="35"/>
      <c r="I34" s="32"/>
    </row>
    <row r="35" spans="1:9" s="69" customFormat="1" ht="24" customHeight="1">
      <c r="A35" s="32"/>
      <c r="B35" s="31"/>
      <c r="C35" s="35"/>
      <c r="D35" s="35"/>
      <c r="E35" s="35"/>
      <c r="F35" s="35"/>
      <c r="G35" s="35"/>
      <c r="H35" s="35"/>
      <c r="I35" s="32"/>
    </row>
    <row r="36" spans="1:9" s="69" customFormat="1" ht="24" customHeight="1">
      <c r="A36" s="71"/>
      <c r="B36" s="37" t="s">
        <v>41</v>
      </c>
      <c r="C36" s="36"/>
      <c r="D36" s="36"/>
      <c r="E36" s="36"/>
      <c r="F36" s="36"/>
      <c r="G36" s="36"/>
      <c r="H36" s="36"/>
    </row>
    <row r="37" spans="1:9" s="40" customFormat="1" ht="24" customHeight="1">
      <c r="A37" s="32"/>
      <c r="B37" s="32" t="s">
        <v>102</v>
      </c>
      <c r="C37" s="35"/>
      <c r="D37" s="35"/>
      <c r="E37" s="35"/>
      <c r="F37" s="35"/>
      <c r="G37" s="35"/>
      <c r="H37" s="35"/>
      <c r="I37" s="32"/>
    </row>
    <row r="38" spans="1:9" s="40" customFormat="1" ht="24" customHeight="1">
      <c r="A38" s="32"/>
      <c r="B38" s="32" t="s">
        <v>178</v>
      </c>
      <c r="C38" s="35"/>
      <c r="D38" s="35"/>
      <c r="E38" s="35"/>
      <c r="F38" s="35"/>
      <c r="G38" s="35"/>
      <c r="H38" s="35"/>
      <c r="I38" s="32"/>
    </row>
    <row r="39" spans="1:9" s="40" customFormat="1" ht="24" customHeight="1">
      <c r="A39" s="32"/>
      <c r="B39" s="32" t="s">
        <v>110</v>
      </c>
      <c r="C39" s="35"/>
      <c r="D39" s="35"/>
      <c r="E39" s="35"/>
      <c r="F39" s="35"/>
      <c r="G39" s="35"/>
      <c r="H39" s="35"/>
      <c r="I39" s="32"/>
    </row>
    <row r="40" spans="1:9" s="40" customFormat="1" ht="24" customHeight="1">
      <c r="A40" s="32"/>
      <c r="B40" s="32" t="s">
        <v>124</v>
      </c>
      <c r="C40" s="35"/>
      <c r="D40" s="35"/>
      <c r="E40" s="35"/>
      <c r="F40" s="35"/>
      <c r="G40" s="35"/>
      <c r="H40" s="35"/>
      <c r="I40" s="32"/>
    </row>
    <row r="41" spans="1:9" s="40" customFormat="1" ht="24" customHeight="1">
      <c r="A41" s="32"/>
      <c r="B41" s="32"/>
      <c r="C41" s="35"/>
      <c r="D41" s="35"/>
      <c r="E41" s="35"/>
      <c r="F41" s="35"/>
      <c r="G41" s="35"/>
      <c r="H41" s="35"/>
      <c r="I41" s="32"/>
    </row>
    <row r="42" spans="1:9" ht="24" customHeight="1">
      <c r="A42" s="56"/>
      <c r="B42" s="48" t="s">
        <v>42</v>
      </c>
      <c r="C42" s="48"/>
      <c r="D42" s="48"/>
      <c r="E42" s="48"/>
      <c r="F42" s="34"/>
      <c r="G42" s="34"/>
      <c r="H42" s="34"/>
      <c r="I42" s="40"/>
    </row>
    <row r="43" spans="1:9" ht="24" customHeight="1">
      <c r="A43" s="56"/>
      <c r="B43" s="31" t="s">
        <v>177</v>
      </c>
      <c r="C43" s="48"/>
      <c r="D43" s="48"/>
      <c r="E43" s="48"/>
      <c r="F43" s="34"/>
      <c r="G43" s="34"/>
      <c r="H43" s="34"/>
      <c r="I43" s="40"/>
    </row>
    <row r="44" spans="1:9" ht="24" customHeight="1">
      <c r="A44" s="56"/>
      <c r="B44" s="31" t="s">
        <v>115</v>
      </c>
      <c r="C44" s="48"/>
      <c r="D44" s="48"/>
      <c r="E44" s="48"/>
      <c r="F44" s="34"/>
      <c r="G44" s="34"/>
      <c r="H44" s="34"/>
      <c r="I44" s="40"/>
    </row>
    <row r="45" spans="1:9" ht="24" customHeight="1">
      <c r="A45" s="56"/>
      <c r="B45" s="31" t="s">
        <v>119</v>
      </c>
      <c r="C45" s="48"/>
      <c r="D45" s="48"/>
      <c r="E45" s="48"/>
      <c r="F45" s="34"/>
      <c r="G45" s="34"/>
      <c r="H45" s="34"/>
      <c r="I45" s="40"/>
    </row>
    <row r="46" spans="1:9" ht="24" customHeight="1">
      <c r="A46" s="56"/>
      <c r="B46" s="31" t="s">
        <v>121</v>
      </c>
      <c r="C46" s="48"/>
      <c r="D46" s="48"/>
      <c r="E46" s="48"/>
      <c r="F46" s="34"/>
      <c r="G46" s="34"/>
      <c r="H46" s="34"/>
      <c r="I46" s="40"/>
    </row>
    <row r="47" spans="1:9" ht="24" customHeight="1">
      <c r="A47" s="69"/>
      <c r="B47" s="31" t="s">
        <v>100</v>
      </c>
      <c r="C47" s="31"/>
      <c r="D47" s="36"/>
      <c r="E47" s="38"/>
      <c r="F47" s="38"/>
      <c r="G47" s="38"/>
      <c r="H47" s="38"/>
      <c r="I47" s="69"/>
    </row>
    <row r="48" spans="1:9" ht="24" customHeight="1">
      <c r="A48" s="69"/>
      <c r="B48" s="31" t="s">
        <v>114</v>
      </c>
      <c r="C48" s="31"/>
      <c r="D48" s="36"/>
      <c r="E48" s="38"/>
      <c r="F48" s="38"/>
      <c r="G48" s="38"/>
      <c r="H48" s="38"/>
      <c r="I48" s="69"/>
    </row>
    <row r="49" spans="1:9" ht="24" customHeight="1">
      <c r="A49" s="69"/>
      <c r="B49" s="31" t="s">
        <v>108</v>
      </c>
      <c r="C49" s="31"/>
      <c r="D49" s="36"/>
      <c r="E49" s="38"/>
      <c r="F49" s="38"/>
      <c r="G49" s="38"/>
      <c r="H49" s="38"/>
      <c r="I49" s="69"/>
    </row>
    <row r="50" spans="1:9" ht="24" customHeight="1">
      <c r="A50" s="69"/>
      <c r="B50" s="31" t="s">
        <v>109</v>
      </c>
      <c r="C50" s="31"/>
      <c r="D50" s="36"/>
      <c r="E50" s="38"/>
      <c r="F50" s="38"/>
      <c r="G50" s="38"/>
      <c r="H50" s="38"/>
      <c r="I50" s="69"/>
    </row>
    <row r="51" spans="1:9" ht="24" customHeight="1">
      <c r="A51" s="69"/>
      <c r="B51" s="31" t="s">
        <v>117</v>
      </c>
      <c r="C51" s="31"/>
      <c r="D51" s="36"/>
      <c r="E51" s="38"/>
      <c r="F51" s="38"/>
      <c r="G51" s="38"/>
      <c r="H51" s="38"/>
      <c r="I51" s="69"/>
    </row>
    <row r="52" spans="1:9" ht="24" customHeight="1">
      <c r="A52" s="69"/>
      <c r="B52" s="31" t="s">
        <v>118</v>
      </c>
      <c r="C52" s="31"/>
      <c r="D52" s="36"/>
      <c r="E52" s="38"/>
      <c r="F52" s="38"/>
      <c r="G52" s="38"/>
      <c r="H52" s="38"/>
      <c r="I52" s="69"/>
    </row>
    <row r="53" spans="1:9" ht="24" customHeight="1">
      <c r="A53" s="69"/>
      <c r="B53" s="31" t="s">
        <v>122</v>
      </c>
      <c r="C53" s="31"/>
      <c r="D53" s="36"/>
      <c r="E53" s="38"/>
      <c r="F53" s="38"/>
      <c r="G53" s="38"/>
      <c r="H53" s="38"/>
      <c r="I53" s="69"/>
    </row>
    <row r="54" spans="1:9" ht="24" customHeight="1">
      <c r="A54" s="69"/>
      <c r="B54" s="31" t="s">
        <v>123</v>
      </c>
      <c r="C54" s="31"/>
      <c r="D54" s="36"/>
      <c r="E54" s="38"/>
      <c r="F54" s="38"/>
      <c r="G54" s="38"/>
      <c r="H54" s="38"/>
      <c r="I54" s="69"/>
    </row>
    <row r="55" spans="1:9" ht="24" customHeight="1">
      <c r="A55" s="69"/>
      <c r="B55" s="31" t="s">
        <v>125</v>
      </c>
      <c r="C55" s="31"/>
      <c r="D55" s="36"/>
      <c r="E55" s="38"/>
      <c r="F55" s="38"/>
      <c r="G55" s="38"/>
      <c r="H55" s="38"/>
      <c r="I55" s="69"/>
    </row>
    <row r="56" spans="1:9" ht="24" customHeight="1">
      <c r="A56" s="69"/>
      <c r="B56" s="31" t="s">
        <v>132</v>
      </c>
      <c r="C56" s="31"/>
      <c r="D56" s="36"/>
      <c r="E56" s="38"/>
      <c r="F56" s="38"/>
      <c r="G56" s="38"/>
      <c r="H56" s="38"/>
      <c r="I56" s="69"/>
    </row>
    <row r="57" spans="1:9" ht="24" customHeight="1">
      <c r="A57" s="69"/>
      <c r="B57" s="31"/>
      <c r="C57" s="31"/>
      <c r="D57" s="36"/>
      <c r="E57" s="38"/>
      <c r="F57" s="38"/>
      <c r="G57" s="38"/>
      <c r="H57" s="38"/>
      <c r="I57" s="69"/>
    </row>
    <row r="58" spans="1:9" ht="24" customHeight="1">
      <c r="A58" s="69"/>
      <c r="B58" s="31"/>
      <c r="C58" s="31"/>
      <c r="D58" s="36"/>
      <c r="E58" s="38"/>
      <c r="F58" s="38"/>
      <c r="G58" s="38"/>
      <c r="H58" s="38"/>
      <c r="I58" s="69"/>
    </row>
    <row r="59" spans="1:9" ht="24" customHeight="1">
      <c r="A59" s="68" t="s">
        <v>43</v>
      </c>
      <c r="C59" s="34"/>
      <c r="D59" s="34"/>
      <c r="E59" s="34"/>
      <c r="F59" s="34"/>
      <c r="G59" s="34"/>
      <c r="H59" s="34"/>
    </row>
    <row r="60" spans="1:9" ht="24" customHeight="1">
      <c r="B60" s="37" t="s">
        <v>40</v>
      </c>
      <c r="C60" s="39"/>
      <c r="D60" s="39"/>
      <c r="E60" s="39"/>
      <c r="F60" s="39"/>
      <c r="G60" s="39"/>
      <c r="H60" s="39"/>
    </row>
    <row r="61" spans="1:9" ht="24" customHeight="1">
      <c r="B61" s="105" t="s">
        <v>170</v>
      </c>
      <c r="C61" s="105"/>
      <c r="D61" s="105"/>
      <c r="E61" s="105"/>
      <c r="F61" s="105"/>
      <c r="G61" s="105"/>
      <c r="H61" s="105"/>
    </row>
    <row r="62" spans="1:9" ht="24" customHeight="1">
      <c r="B62" s="105" t="s">
        <v>171</v>
      </c>
      <c r="C62" s="106"/>
      <c r="D62" s="106"/>
      <c r="E62" s="106"/>
      <c r="F62" s="106"/>
      <c r="G62" s="106"/>
      <c r="H62" s="106"/>
      <c r="I62" s="106"/>
    </row>
    <row r="63" spans="1:9" ht="24" customHeight="1">
      <c r="B63" s="105" t="s">
        <v>131</v>
      </c>
      <c r="C63" s="106"/>
      <c r="D63" s="106"/>
      <c r="E63" s="106"/>
      <c r="F63" s="106"/>
      <c r="G63" s="106"/>
      <c r="H63" s="106"/>
      <c r="I63" s="106"/>
    </row>
    <row r="64" spans="1:9" ht="24" customHeight="1">
      <c r="B64" s="105" t="s">
        <v>134</v>
      </c>
      <c r="C64" s="105"/>
      <c r="D64" s="105"/>
      <c r="E64" s="105"/>
      <c r="F64" s="105"/>
      <c r="G64" s="105"/>
      <c r="H64" s="105"/>
      <c r="I64" s="105"/>
    </row>
    <row r="65" spans="2:9" ht="24" customHeight="1">
      <c r="B65" s="105" t="s">
        <v>136</v>
      </c>
      <c r="C65" s="105"/>
      <c r="D65" s="105"/>
      <c r="E65" s="105"/>
      <c r="F65" s="105"/>
      <c r="G65" s="105"/>
      <c r="H65" s="105"/>
    </row>
    <row r="66" spans="2:9" ht="24" customHeight="1">
      <c r="B66" s="91" t="s">
        <v>137</v>
      </c>
      <c r="C66" s="39"/>
      <c r="D66" s="39"/>
      <c r="E66" s="39"/>
      <c r="F66" s="39"/>
      <c r="G66" s="39"/>
      <c r="H66" s="39"/>
    </row>
    <row r="67" spans="2:9" ht="24" customHeight="1">
      <c r="B67" s="105" t="s">
        <v>166</v>
      </c>
      <c r="C67" s="105"/>
      <c r="D67" s="105"/>
      <c r="E67" s="105"/>
      <c r="F67" s="105"/>
      <c r="G67" s="105"/>
      <c r="H67" s="105"/>
      <c r="I67" s="105"/>
    </row>
    <row r="68" spans="2:9" s="69" customFormat="1" ht="24" customHeight="1">
      <c r="B68" s="69" t="s">
        <v>140</v>
      </c>
    </row>
    <row r="69" spans="2:9" s="69" customFormat="1" ht="24" customHeight="1">
      <c r="B69" s="69" t="s">
        <v>142</v>
      </c>
    </row>
    <row r="70" spans="2:9" s="69" customFormat="1" ht="24" customHeight="1">
      <c r="B70" s="69" t="s">
        <v>148</v>
      </c>
    </row>
    <row r="71" spans="2:9" s="69" customFormat="1" ht="24" customHeight="1">
      <c r="B71" s="69" t="s">
        <v>150</v>
      </c>
    </row>
    <row r="72" spans="2:9" s="69" customFormat="1" ht="24" customHeight="1">
      <c r="B72" s="69" t="s">
        <v>154</v>
      </c>
    </row>
    <row r="73" spans="2:9" s="69" customFormat="1" ht="24" customHeight="1">
      <c r="B73" s="69" t="s">
        <v>156</v>
      </c>
    </row>
    <row r="74" spans="2:9" s="69" customFormat="1" ht="24" customHeight="1">
      <c r="B74" s="69" t="s">
        <v>159</v>
      </c>
    </row>
    <row r="75" spans="2:9" s="69" customFormat="1" ht="24" customHeight="1">
      <c r="B75" s="69" t="s">
        <v>160</v>
      </c>
    </row>
    <row r="76" spans="2:9" s="69" customFormat="1" ht="24" customHeight="1">
      <c r="B76" s="69" t="s">
        <v>161</v>
      </c>
    </row>
    <row r="77" spans="2:9" s="69" customFormat="1" ht="24" customHeight="1">
      <c r="B77" s="69" t="s">
        <v>162</v>
      </c>
    </row>
    <row r="78" spans="2:9" s="69" customFormat="1" ht="24" customHeight="1">
      <c r="B78" s="69" t="s">
        <v>163</v>
      </c>
    </row>
    <row r="79" spans="2:9" s="69" customFormat="1" ht="24" customHeight="1">
      <c r="B79" s="69" t="s">
        <v>164</v>
      </c>
    </row>
    <row r="80" spans="2:9" s="69" customFormat="1" ht="24" customHeight="1">
      <c r="B80" s="69" t="s">
        <v>167</v>
      </c>
    </row>
    <row r="81" spans="1:9" s="69" customFormat="1" ht="24" customHeight="1"/>
    <row r="82" spans="1:9" ht="24" customHeight="1">
      <c r="A82" s="69"/>
      <c r="B82" s="42" t="s">
        <v>41</v>
      </c>
      <c r="C82" s="38"/>
      <c r="D82" s="38"/>
      <c r="E82" s="38"/>
      <c r="F82" s="38"/>
      <c r="G82" s="38"/>
      <c r="H82" s="38"/>
      <c r="I82" s="69"/>
    </row>
    <row r="83" spans="1:9" ht="24" customHeight="1">
      <c r="A83" s="69"/>
      <c r="B83" s="92" t="s">
        <v>145</v>
      </c>
      <c r="C83" s="38"/>
      <c r="D83" s="38"/>
      <c r="E83" s="38"/>
      <c r="F83" s="38"/>
      <c r="G83" s="38"/>
      <c r="H83" s="38"/>
      <c r="I83" s="69"/>
    </row>
    <row r="84" spans="1:9" ht="24" customHeight="1">
      <c r="A84" s="69"/>
      <c r="B84" s="98" t="s">
        <v>146</v>
      </c>
      <c r="C84" s="98"/>
      <c r="D84" s="98"/>
      <c r="E84" s="98"/>
      <c r="F84" s="98"/>
      <c r="G84" s="98"/>
      <c r="H84" s="98"/>
      <c r="I84" s="98"/>
    </row>
    <row r="85" spans="1:9" ht="24" customHeight="1">
      <c r="A85" s="69"/>
      <c r="B85" s="42"/>
      <c r="C85" s="38"/>
      <c r="D85" s="38"/>
      <c r="E85" s="38"/>
      <c r="F85" s="38"/>
      <c r="G85" s="38"/>
      <c r="H85" s="38"/>
      <c r="I85" s="69"/>
    </row>
    <row r="86" spans="1:9" s="71" customFormat="1" ht="24" customHeight="1">
      <c r="B86" s="45" t="s">
        <v>42</v>
      </c>
      <c r="C86" s="36"/>
      <c r="D86" s="36"/>
      <c r="E86" s="36"/>
      <c r="F86" s="36"/>
      <c r="G86" s="36"/>
      <c r="H86" s="36"/>
    </row>
    <row r="87" spans="1:9" s="71" customFormat="1" ht="24" customHeight="1">
      <c r="B87" s="93" t="s">
        <v>158</v>
      </c>
      <c r="C87" s="36"/>
      <c r="D87" s="36"/>
      <c r="E87" s="36"/>
      <c r="F87" s="36"/>
      <c r="G87" s="36"/>
      <c r="H87" s="36"/>
    </row>
    <row r="88" spans="1:9" s="71" customFormat="1" ht="24" customHeight="1">
      <c r="B88" s="93" t="s">
        <v>165</v>
      </c>
      <c r="C88" s="36"/>
      <c r="D88" s="36"/>
      <c r="E88" s="36"/>
      <c r="F88" s="36"/>
      <c r="G88" s="36"/>
      <c r="H88" s="36"/>
    </row>
    <row r="89" spans="1:9" s="71" customFormat="1" ht="24" customHeight="1">
      <c r="B89" s="93" t="s">
        <v>157</v>
      </c>
      <c r="C89" s="36"/>
      <c r="D89" s="36"/>
      <c r="E89" s="36"/>
      <c r="F89" s="36"/>
      <c r="G89" s="36"/>
      <c r="H89" s="36"/>
    </row>
    <row r="90" spans="1:9" s="71" customFormat="1" ht="24" customHeight="1">
      <c r="B90" s="93" t="s">
        <v>147</v>
      </c>
      <c r="C90" s="36"/>
      <c r="D90" s="36"/>
      <c r="E90" s="36"/>
      <c r="F90" s="36"/>
      <c r="G90" s="36"/>
      <c r="H90" s="36"/>
    </row>
    <row r="91" spans="1:9" s="71" customFormat="1" ht="24" customHeight="1">
      <c r="B91" s="31" t="s">
        <v>133</v>
      </c>
      <c r="C91" s="36"/>
      <c r="D91" s="36"/>
      <c r="E91" s="36"/>
      <c r="F91" s="36"/>
      <c r="G91" s="36"/>
      <c r="H91" s="36"/>
    </row>
    <row r="92" spans="1:9" s="71" customFormat="1" ht="24" customHeight="1">
      <c r="B92" s="69" t="s">
        <v>130</v>
      </c>
      <c r="C92" s="36"/>
      <c r="D92" s="36"/>
      <c r="E92" s="36"/>
      <c r="F92" s="36"/>
      <c r="G92" s="36"/>
      <c r="H92" s="36"/>
    </row>
    <row r="93" spans="1:9" s="71" customFormat="1" ht="24" customHeight="1">
      <c r="B93" s="34" t="s">
        <v>135</v>
      </c>
      <c r="C93" s="33"/>
      <c r="D93" s="33"/>
      <c r="E93" s="33"/>
      <c r="F93" s="33"/>
      <c r="G93" s="33"/>
      <c r="H93" s="33"/>
    </row>
    <row r="94" spans="1:9" s="71" customFormat="1" ht="24" customHeight="1">
      <c r="B94" s="31" t="s">
        <v>139</v>
      </c>
      <c r="C94" s="36"/>
      <c r="D94" s="36"/>
      <c r="E94" s="36"/>
      <c r="F94" s="36"/>
      <c r="G94" s="36"/>
      <c r="H94" s="36"/>
    </row>
    <row r="95" spans="1:9" s="71" customFormat="1" ht="24" customHeight="1">
      <c r="B95" s="31" t="s">
        <v>141</v>
      </c>
      <c r="C95" s="36"/>
      <c r="D95" s="36"/>
      <c r="E95" s="36"/>
      <c r="F95" s="36"/>
      <c r="G95" s="36"/>
      <c r="H95" s="36"/>
    </row>
    <row r="96" spans="1:9" s="71" customFormat="1" ht="24" customHeight="1">
      <c r="A96" s="69"/>
      <c r="B96" s="31" t="s">
        <v>143</v>
      </c>
      <c r="C96" s="36"/>
      <c r="D96" s="36"/>
      <c r="E96" s="36"/>
      <c r="F96" s="36"/>
      <c r="G96" s="36"/>
      <c r="H96" s="36"/>
    </row>
    <row r="97" spans="1:9" s="71" customFormat="1" ht="24" customHeight="1">
      <c r="A97" s="69"/>
      <c r="B97" s="69" t="s">
        <v>144</v>
      </c>
      <c r="C97" s="36"/>
      <c r="D97" s="36"/>
      <c r="E97" s="36"/>
      <c r="F97" s="36"/>
      <c r="G97" s="36"/>
      <c r="H97" s="36"/>
    </row>
    <row r="98" spans="1:9" ht="24" customHeight="1">
      <c r="A98" s="69"/>
      <c r="B98" s="31" t="s">
        <v>149</v>
      </c>
      <c r="C98" s="36"/>
      <c r="D98" s="36"/>
      <c r="E98" s="36"/>
      <c r="F98" s="36"/>
      <c r="G98" s="36"/>
      <c r="H98" s="36"/>
      <c r="I98" s="71"/>
    </row>
    <row r="99" spans="1:9" s="69" customFormat="1" ht="24" customHeight="1">
      <c r="B99" s="32" t="s">
        <v>151</v>
      </c>
      <c r="C99" s="43"/>
      <c r="D99" s="43"/>
      <c r="E99" s="46"/>
      <c r="F99" s="46"/>
      <c r="G99" s="46"/>
      <c r="H99" s="43"/>
      <c r="I99" s="32"/>
    </row>
    <row r="100" spans="1:9" s="69" customFormat="1" ht="24" customHeight="1">
      <c r="A100" s="71"/>
      <c r="B100" s="69" t="s">
        <v>152</v>
      </c>
      <c r="C100" s="38"/>
      <c r="D100" s="38"/>
      <c r="E100" s="38"/>
      <c r="F100" s="38"/>
      <c r="G100" s="38"/>
      <c r="H100" s="38"/>
    </row>
    <row r="101" spans="1:9" s="71" customFormat="1" ht="24" customHeight="1">
      <c r="A101" s="69"/>
      <c r="B101" s="69" t="s">
        <v>153</v>
      </c>
      <c r="C101" s="38"/>
      <c r="D101" s="38"/>
      <c r="E101" s="38"/>
      <c r="F101" s="38"/>
      <c r="G101" s="38"/>
      <c r="H101" s="38"/>
      <c r="I101" s="69"/>
    </row>
    <row r="102" spans="1:9" s="71" customFormat="1" ht="24" customHeight="1">
      <c r="A102" s="69"/>
      <c r="B102" s="69" t="s">
        <v>155</v>
      </c>
      <c r="C102" s="36"/>
      <c r="D102" s="36"/>
      <c r="E102" s="36"/>
      <c r="F102" s="36"/>
      <c r="G102" s="36"/>
      <c r="H102" s="36"/>
    </row>
    <row r="103" spans="1:9" s="69" customFormat="1" ht="24" customHeight="1">
      <c r="B103" s="44"/>
      <c r="C103" s="36"/>
      <c r="D103" s="36"/>
      <c r="E103" s="36"/>
      <c r="F103" s="36"/>
      <c r="G103" s="36"/>
      <c r="H103" s="36"/>
      <c r="I103" s="71"/>
    </row>
    <row r="104" spans="1:9" s="69" customFormat="1" ht="24" customHeight="1">
      <c r="B104" s="44"/>
      <c r="C104" s="38"/>
      <c r="D104" s="38"/>
      <c r="E104" s="38"/>
      <c r="F104" s="38"/>
      <c r="G104" s="38"/>
      <c r="H104" s="38"/>
    </row>
    <row r="105" spans="1:9" s="69" customFormat="1" ht="24" customHeight="1">
      <c r="A105" s="71"/>
      <c r="B105" s="44"/>
      <c r="C105" s="38"/>
      <c r="D105" s="38"/>
      <c r="E105" s="38"/>
      <c r="F105" s="38"/>
      <c r="G105" s="38"/>
      <c r="H105" s="38"/>
    </row>
    <row r="106" spans="1:9" s="69" customFormat="1" ht="24" customHeight="1">
      <c r="B106" s="44"/>
      <c r="C106" s="38"/>
      <c r="D106" s="38"/>
      <c r="E106" s="38"/>
      <c r="F106" s="38"/>
      <c r="G106" s="38"/>
      <c r="H106" s="38"/>
    </row>
    <row r="107" spans="1:9" s="71" customFormat="1" ht="24" customHeight="1">
      <c r="A107" s="69"/>
      <c r="B107" s="44"/>
      <c r="C107" s="38"/>
      <c r="D107" s="38"/>
      <c r="E107" s="38"/>
      <c r="F107" s="38"/>
      <c r="G107" s="38"/>
      <c r="H107" s="38"/>
      <c r="I107" s="69"/>
    </row>
    <row r="108" spans="1:9" s="69" customFormat="1" ht="24" customHeight="1">
      <c r="B108" s="41"/>
      <c r="C108" s="36"/>
      <c r="D108" s="36"/>
      <c r="E108" s="36"/>
      <c r="F108" s="36"/>
      <c r="G108" s="36"/>
      <c r="H108" s="36"/>
      <c r="I108" s="71"/>
    </row>
    <row r="109" spans="1:9" s="69" customFormat="1" ht="24" customHeight="1">
      <c r="B109" s="41"/>
      <c r="C109" s="38"/>
      <c r="D109" s="38"/>
      <c r="E109" s="38"/>
      <c r="F109" s="38"/>
      <c r="G109" s="38"/>
      <c r="H109" s="38"/>
    </row>
    <row r="110" spans="1:9" s="69" customFormat="1" ht="24" customHeight="1">
      <c r="B110" s="41"/>
      <c r="C110" s="38"/>
      <c r="D110" s="38"/>
      <c r="E110" s="38"/>
      <c r="F110" s="38"/>
      <c r="G110" s="38"/>
      <c r="H110" s="38"/>
    </row>
    <row r="111" spans="1:9" s="69" customFormat="1" ht="24" customHeight="1">
      <c r="B111" s="41"/>
      <c r="C111" s="38"/>
      <c r="D111" s="38"/>
      <c r="E111" s="38"/>
      <c r="F111" s="38"/>
      <c r="G111" s="38"/>
      <c r="H111" s="38"/>
    </row>
    <row r="112" spans="1:9" s="69" customFormat="1" ht="24" customHeight="1">
      <c r="B112" s="44"/>
      <c r="C112" s="38"/>
      <c r="D112" s="38"/>
      <c r="E112" s="38"/>
      <c r="F112" s="38"/>
      <c r="G112" s="38"/>
      <c r="H112" s="38"/>
    </row>
    <row r="113" spans="1:8" s="69" customFormat="1" ht="24" customHeight="1">
      <c r="B113" s="44"/>
      <c r="C113" s="38"/>
      <c r="D113" s="38"/>
      <c r="E113" s="38"/>
      <c r="F113" s="38"/>
      <c r="G113" s="38"/>
      <c r="H113" s="38"/>
    </row>
    <row r="114" spans="1:8" s="69" customFormat="1" ht="24" customHeight="1">
      <c r="B114" s="44"/>
      <c r="C114" s="38"/>
      <c r="D114" s="38"/>
      <c r="E114" s="38"/>
      <c r="F114" s="38"/>
      <c r="G114" s="38"/>
      <c r="H114" s="38"/>
    </row>
    <row r="115" spans="1:8" s="69" customFormat="1" ht="24" customHeight="1">
      <c r="B115" s="44"/>
      <c r="C115" s="38"/>
      <c r="D115" s="38"/>
      <c r="E115" s="38"/>
      <c r="F115" s="38"/>
      <c r="G115" s="38"/>
      <c r="H115" s="38"/>
    </row>
    <row r="116" spans="1:8" s="69" customFormat="1" ht="24" customHeight="1">
      <c r="B116" s="44"/>
      <c r="C116" s="38"/>
      <c r="D116" s="38"/>
      <c r="E116" s="38"/>
      <c r="F116" s="38"/>
      <c r="G116" s="38"/>
      <c r="H116" s="38"/>
    </row>
    <row r="117" spans="1:8" s="69" customFormat="1" ht="24" customHeight="1">
      <c r="B117" s="44"/>
      <c r="C117" s="38"/>
      <c r="D117" s="38"/>
      <c r="E117" s="38"/>
      <c r="F117" s="38"/>
      <c r="G117" s="38"/>
      <c r="H117" s="38"/>
    </row>
    <row r="118" spans="1:8" s="69" customFormat="1" ht="24" customHeight="1">
      <c r="B118" s="44"/>
      <c r="C118" s="38"/>
      <c r="D118" s="38"/>
      <c r="E118" s="38"/>
      <c r="F118" s="38"/>
      <c r="G118" s="38"/>
      <c r="H118" s="38"/>
    </row>
    <row r="119" spans="1:8" s="69" customFormat="1" ht="24" customHeight="1">
      <c r="B119" s="44"/>
      <c r="C119" s="38"/>
      <c r="D119" s="38"/>
      <c r="E119" s="38"/>
      <c r="F119" s="38"/>
      <c r="G119" s="38"/>
      <c r="H119" s="38"/>
    </row>
    <row r="120" spans="1:8" s="69" customFormat="1" ht="24" customHeight="1">
      <c r="B120" s="44"/>
      <c r="C120" s="38"/>
      <c r="D120" s="38"/>
      <c r="E120" s="38"/>
      <c r="F120" s="38"/>
      <c r="G120" s="38"/>
      <c r="H120" s="38"/>
    </row>
    <row r="121" spans="1:8" s="69" customFormat="1" ht="24" customHeight="1">
      <c r="B121" s="44"/>
      <c r="C121" s="38"/>
      <c r="D121" s="38"/>
      <c r="E121" s="38"/>
      <c r="F121" s="38"/>
      <c r="G121" s="38"/>
      <c r="H121" s="38"/>
    </row>
    <row r="122" spans="1:8" s="69" customFormat="1" ht="24" customHeight="1">
      <c r="B122" s="44"/>
      <c r="C122" s="38"/>
      <c r="D122" s="38"/>
      <c r="E122" s="38"/>
      <c r="F122" s="38"/>
      <c r="G122" s="38"/>
      <c r="H122" s="38"/>
    </row>
    <row r="123" spans="1:8" s="69" customFormat="1" ht="24" customHeight="1">
      <c r="B123" s="32"/>
      <c r="C123" s="38"/>
      <c r="D123" s="38"/>
      <c r="E123" s="38"/>
      <c r="F123" s="38"/>
      <c r="G123" s="38"/>
      <c r="H123" s="38"/>
    </row>
    <row r="124" spans="1:8" s="69" customFormat="1" ht="24" customHeight="1">
      <c r="B124" s="32"/>
      <c r="C124" s="38"/>
      <c r="D124" s="38"/>
      <c r="E124" s="38"/>
      <c r="F124" s="38"/>
      <c r="G124" s="38"/>
      <c r="H124" s="38"/>
    </row>
    <row r="125" spans="1:8" s="69" customFormat="1" ht="24" customHeight="1">
      <c r="B125" s="32"/>
      <c r="C125" s="38"/>
      <c r="D125" s="38"/>
      <c r="E125" s="38"/>
      <c r="F125" s="38"/>
      <c r="G125" s="38"/>
      <c r="H125" s="38"/>
    </row>
    <row r="126" spans="1:8" s="69" customFormat="1" ht="24" customHeight="1">
      <c r="B126" s="32"/>
      <c r="C126" s="38"/>
      <c r="D126" s="38"/>
      <c r="E126" s="38"/>
      <c r="F126" s="38"/>
      <c r="G126" s="38"/>
      <c r="H126" s="38"/>
    </row>
    <row r="127" spans="1:8" s="69" customFormat="1" ht="24" customHeight="1">
      <c r="A127" s="32"/>
      <c r="B127" s="32"/>
      <c r="C127" s="38"/>
      <c r="D127" s="38"/>
      <c r="E127" s="38"/>
      <c r="F127" s="38"/>
      <c r="G127" s="38"/>
      <c r="H127" s="38"/>
    </row>
    <row r="128" spans="1:8" s="69" customFormat="1" ht="24" customHeight="1">
      <c r="A128" s="32"/>
      <c r="B128" s="32"/>
      <c r="C128" s="38"/>
      <c r="D128" s="38"/>
      <c r="E128" s="38"/>
      <c r="F128" s="38"/>
      <c r="G128" s="38"/>
      <c r="H128" s="38"/>
    </row>
    <row r="129" spans="3:9">
      <c r="C129" s="38"/>
      <c r="D129" s="38"/>
      <c r="E129" s="38"/>
      <c r="F129" s="38"/>
      <c r="G129" s="38"/>
      <c r="H129" s="38"/>
      <c r="I129" s="69"/>
    </row>
  </sheetData>
  <mergeCells count="14">
    <mergeCell ref="B84:I84"/>
    <mergeCell ref="A3:H3"/>
    <mergeCell ref="A1:I1"/>
    <mergeCell ref="A13:B13"/>
    <mergeCell ref="A2:H2"/>
    <mergeCell ref="B5:H5"/>
    <mergeCell ref="B7:H7"/>
    <mergeCell ref="B6:H6"/>
    <mergeCell ref="B61:H61"/>
    <mergeCell ref="B67:I67"/>
    <mergeCell ref="B62:I62"/>
    <mergeCell ref="B63:I63"/>
    <mergeCell ref="B64:I64"/>
    <mergeCell ref="B65:H65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2024-11-28T06:00:25Z</dcterms:modified>
</cp:coreProperties>
</file>