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45.246\Quality\Aaa\ESB\2568\1. Jan 68\"/>
    </mc:Choice>
  </mc:AlternateContent>
  <xr:revisionPtr revIDLastSave="0" documentId="13_ncr:1_{5F6D7404-B1C9-42DD-9255-412568D802D5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Total Table" sheetId="1" r:id="rId1"/>
    <sheet name="Summary" sheetId="2" r:id="rId2"/>
  </sheets>
  <externalReferences>
    <externalReference r:id="rId3"/>
  </externalReferences>
  <definedNames>
    <definedName name="OLE_LINK1" localSheetId="1">Summary!#REF!</definedName>
    <definedName name="_xlnm.Print_Area" localSheetId="0">'Total Table'!$A$1:$N$115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" l="1"/>
  <c r="O21" i="1"/>
  <c r="P21" i="1" l="1"/>
  <c r="D44" i="1"/>
  <c r="C44" i="1"/>
  <c r="E67" i="1"/>
  <c r="B49" i="1"/>
  <c r="K67" i="1" l="1"/>
  <c r="G67" i="1"/>
  <c r="C90" i="1"/>
  <c r="Q44" i="1"/>
  <c r="I21" i="1" l="1"/>
  <c r="G21" i="1"/>
  <c r="F21" i="1"/>
  <c r="E21" i="1"/>
  <c r="K21" i="1"/>
  <c r="L21" i="1"/>
  <c r="M21" i="1"/>
  <c r="N21" i="1"/>
  <c r="G44" i="1"/>
  <c r="B21" i="1"/>
  <c r="C21" i="1"/>
  <c r="O44" i="1" l="1"/>
  <c r="N90" i="1" l="1"/>
  <c r="F44" i="1"/>
  <c r="E44" i="1" l="1"/>
  <c r="J44" i="1"/>
  <c r="L44" i="1"/>
  <c r="M44" i="1"/>
  <c r="N44" i="1"/>
  <c r="L67" i="1"/>
  <c r="M67" i="1"/>
  <c r="N67" i="1"/>
  <c r="P67" i="1"/>
  <c r="O90" i="1"/>
  <c r="D90" i="1"/>
  <c r="E90" i="1"/>
  <c r="F90" i="1"/>
  <c r="G90" i="1"/>
  <c r="H90" i="1"/>
  <c r="I90" i="1"/>
  <c r="J90" i="1"/>
  <c r="K90" i="1"/>
  <c r="L90" i="1"/>
  <c r="B67" i="1"/>
  <c r="C67" i="1"/>
  <c r="D67" i="1"/>
  <c r="F67" i="1"/>
  <c r="I67" i="1"/>
  <c r="J67" i="1"/>
</calcChain>
</file>

<file path=xl/sharedStrings.xml><?xml version="1.0" encoding="utf-8"?>
<sst xmlns="http://schemas.openxmlformats.org/spreadsheetml/2006/main" count="573" uniqueCount="219">
  <si>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</si>
  <si>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</si>
  <si>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</si>
  <si>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</si>
  <si>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</si>
  <si>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</si>
  <si>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</si>
  <si>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จักษุ</t>
  </si>
  <si>
    <t>จำนวนใบประเมิน</t>
  </si>
  <si>
    <t>ระดับคะแนนเฉลี่ย</t>
  </si>
  <si>
    <t>คิดเป็นร้อยละ</t>
  </si>
  <si>
    <t>ไตเทียม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</si>
  <si>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</si>
  <si>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</si>
  <si>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</si>
  <si>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</si>
  <si>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</si>
  <si>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</si>
  <si>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</si>
  <si>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</si>
  <si>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</si>
  <si>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</si>
  <si>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</si>
  <si>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</si>
  <si>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</si>
  <si>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</si>
  <si>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</si>
  <si>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</si>
  <si>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</si>
  <si>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</si>
  <si>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</si>
  <si>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</si>
  <si>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</si>
  <si>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</si>
  <si>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</si>
  <si>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</si>
  <si>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</si>
  <si>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</si>
  <si>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</si>
  <si>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</si>
  <si>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</si>
  <si>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</si>
  <si>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</si>
  <si>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</si>
  <si>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</si>
  <si>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</si>
  <si>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</si>
  <si>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</si>
  <si>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</si>
  <si>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</si>
  <si>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</si>
  <si>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</si>
  <si>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</si>
  <si>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</si>
  <si>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</si>
  <si>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</si>
  <si>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</si>
  <si>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</si>
  <si>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</si>
  <si>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</si>
  <si>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</si>
  <si>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</si>
  <si>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</si>
  <si>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</si>
  <si>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</si>
  <si>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</si>
  <si>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</si>
  <si>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</si>
  <si>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</si>
  <si>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</si>
  <si>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</si>
  <si>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หัตถการ</t>
  </si>
  <si>
    <t>ห้องบัตร ชั้น 1</t>
  </si>
  <si>
    <t>HBO</t>
  </si>
  <si>
    <t>1. แพทย์ให้ความสำคัญกับการตรวจร่างกายเพื่อวินิจฉัยโรค</t>
  </si>
  <si>
    <t>2. แพทย์ให้ข้อมูล/แนะนำวิธีการและทางเลือกในการรักษา</t>
  </si>
  <si>
    <t>3. คำถามและข้อสงสัย ได้รับคำตอบที่ชัดเจนจากแพทย์</t>
  </si>
  <si>
    <t>4. แพทย์รับฟัง/พูดคุยให้ท่านคลายความกังวลในอาการเจ็บป่วย</t>
  </si>
  <si>
    <t>5. ท่านได้มีโอกาสพูดคุยกับพยาบาลหรือเจ้าหน้าที่เรื่องอาการเจ็บป่วย</t>
  </si>
  <si>
    <t>6. พยาบาลเจ้าหน้าที่สามารถตอบข้อสงสัยได้ชัดเจน</t>
  </si>
  <si>
    <t>7. ท่านได้รับการดูแลเอาใจใส่</t>
  </si>
  <si>
    <t>8. ท่านมีส่วนร่วมในการตัดสินใจเรื่องการรักษาพยาบาล</t>
  </si>
  <si>
    <t>9. ท่านได้รับการดูแลอย่างเท่าเทียม ไม่เลือกปฏิบัติ</t>
  </si>
  <si>
    <t>10. ท่านได้รับคำแนะนำและขั้นตอนในการรับบริการโรงพยาบาล</t>
  </si>
  <si>
    <t>11. อาการเจ็บป่วยทางกายและใจได้รับการดูแลอย่างดี</t>
  </si>
  <si>
    <t>12. แพทย์เปิดโอกาสให้ผู้ป่วย/ญาติได้ซักถาม</t>
  </si>
  <si>
    <t>13. ผู้ป่วยและญาติได้รับข้อมูลการรักษาที่เป็นประโยชน์ สามารถดูแลตัวเองได้</t>
  </si>
  <si>
    <t>14. ท่านได้รับข้อมูลการใช้ยาและผลข้างเคียงอย่างชัดเจน</t>
  </si>
  <si>
    <t>15. ท่านได้รับคำแนะนำอย่างชัดเจนถึงอาการที่ควรกลับมาพบแพทย์</t>
  </si>
  <si>
    <t>16. ท่านพึงพอใจต่อการบริการของโรงพยาบาลโดยรวมในระดับใด</t>
  </si>
  <si>
    <t>การเงิน และบัญชี</t>
  </si>
  <si>
    <t>PICU</t>
  </si>
  <si>
    <t>20B</t>
  </si>
  <si>
    <t>20C</t>
  </si>
  <si>
    <t>CCU</t>
  </si>
  <si>
    <t>เคมีบำบัด
และโรคเลือด</t>
  </si>
  <si>
    <t>881</t>
  </si>
  <si>
    <t>1079</t>
  </si>
  <si>
    <t xml:space="preserve">ค่าเฉลี่ยความพึงพอใจการใช้บริการของโรงพยาบาล OPD =  88.07% IPD = 91.30%  </t>
  </si>
  <si>
    <t xml:space="preserve">ค่าเฉลี่ยการแนะนำญาติหรือคนรู้จักให้มาใช้บริการที่โรงพยาบาล  OPD = 97.50% IPD = 99.44%   </t>
  </si>
  <si>
    <t>สรุปการประเมินผล OP-IP VOICE เดือนมกราคม 2568</t>
  </si>
  <si>
    <t xml:space="preserve">- 	ควรพูดจาให้น่าฟังกว่านี้ ไม่ใช้อารมณ์ มีหางเสียง </t>
  </si>
  <si>
    <t>-	 พูดไม่เพราะ ไม่มีหางเสียง กรุณาปรับปรุง</t>
  </si>
  <si>
    <t xml:space="preserve">- 	มาติดต่อจุดลงทะเบียนแบบรถเข็นรอคิวนานมากแต่มีคนไข้ต่างชาติเข้ามา กลับไม่ต้องเขียนเอกสารหรือทำตามขั้นตอน พยาบาลก็รีบดำเนินการเอกสารต่าง ๆ ใบนัดแพทย์ โดยที่ต่างชาติไม่ต้องต่อคิวหรือรออะไรเลย </t>
  </si>
  <si>
    <t xml:space="preserve">  มันไม่ถูกต้อง เห็นหลายครั้งแล้วควรปรับปรุงมาก ๆ การบริการให้ต่างชาติ มีการเลือกปฏิบัติ</t>
  </si>
  <si>
    <t>-	 บางครั้งมีการพูดคุยเล่นที่เสียงดังเกินไปหน่อย รบกวนคนไข้</t>
  </si>
  <si>
    <t xml:space="preserve">- 	ผู้ป่วยมาหาหมอใช้สิทธิประกันสังคมควรได้รับการรักษาไม่ใช่มาหลัง 08.00 น. เเล้วบอกคิวเต็ม คิวหมด แบบนี้ผมว่าเสียชื่อโรงพยาบาลดี ๆ หมด ควรให้การบริการที่เท่าเทียมกัน ไม่ใช่เลือกให้การรักษาผู้ป่วยนะครับ </t>
  </si>
  <si>
    <t xml:space="preserve">- แผนกการเงิน ควรมีเจ้าหน้าที่แนะนำเพื่อที่จะได้ไม่สับสน ชำระลงบิลหรือชำระเงินสด มีป้ายแนะนำและต้องมีเจ้าหน้าที่แนะนำอีกทีหนึ่ง บางคนอาจจะไม่พร้อมชำระด้วยเงินสดแต่มีสิทธิ์เข้ารับบริการฟรี ณ สถานที่นั้นๆ </t>
  </si>
  <si>
    <t xml:space="preserve">  ผมในฐานะคนที่ไม่มีอะไรจะกินคนหนึ่งและในฐานะคนใช้บริการครั้งแรก ขอบคุณครับ</t>
  </si>
  <si>
    <t>-	 ที่นั่งรอรับประทานอาหารมีจำนวนจำกัด</t>
  </si>
  <si>
    <t>-	 รอนานมาก ปวดท้องมากกว่าจะได้ตรวจใช้เวลา 5 ชั่วโมง มีห้องตรวจ 20 ห้องแต่มีหมอ 2 ห้อง แล้วกว่าจะถึงคิวรอจนทนไม่ไหว</t>
  </si>
  <si>
    <t xml:space="preserve">  บางครั้งก็อดคิดไม่ได้ว่าบัตรทองคือบัตรเทวดา</t>
  </si>
  <si>
    <t xml:space="preserve">-	 อยากให้การจัดการเกี่ยวกับคิวที่สะดวกขึ้นของสิทธิประกันสังคม จากบัตรทอง เพราะบางครั้งมีความรู้สึกว่าเราจ่ายเงินสมทบแต่ดูจะไม่มีอะไรต่างกับบัตรทอง ในเชิงขั้นตอนบริการ เช่น fast lane </t>
  </si>
  <si>
    <t xml:space="preserve">-	 คิวนัดนานมาก </t>
  </si>
  <si>
    <t>-	 ผู้ป่วยต้องไปติดต่อการเงินเองก่อนตรวจปัสสาวะ เมื่อมาไม่ตรงนัด ควรมีบริการ ONE STOPE SERVICE</t>
  </si>
  <si>
    <t xml:space="preserve">-	 ไม่มีการแสดงคิวบนจอ </t>
  </si>
  <si>
    <t>-	 อยากให้มีจุดบริการน้ำดื่ม (คลินิกศัลยกรรม)</t>
  </si>
  <si>
    <t>-	 เพิ่มช่องการลงทะเบียนสิทธ์ในการรักษาให้มากขึ้น</t>
  </si>
  <si>
    <t>-	 รอคิวนาน</t>
  </si>
  <si>
    <t xml:space="preserve">-	 การเรียกคนไข้เข้าห้องตรวจควรเรียกครั้งละ 1 คน  ไม่ควรให้คนไข้คนอื่นมานั่งในห้องขณะตรวจ เนื่องจากคนไข้ต้องการความเป็นส่วนตัว และไม่ต้องการให้คนอื่นทราบว่าเป็นโรคอะไร ควรพิจารณาจุดนี้ด้วย </t>
  </si>
  <si>
    <t>-	 ใช้เวลานานในการรักษา</t>
  </si>
  <si>
    <t>-	 ที่จอดรถน้อย</t>
  </si>
  <si>
    <t>-	 เจ้าหน้าที่ มีความอยากรีบกลับบ้านขณะที่ไปติดต่อ 16.45 น. และพยาบาล ชั้น 6 พูดน้อยไม่เคลีย ไม่แจ้งขั้นตอนที่คนไข้หรือญาติต้องทำอะไรต่อ ทำให้บางทีไม่เข้าใจ คนไข้มา 4 เดือน/ครั้ง ตามหมอนัดไม่ได้มาทุกวัน</t>
  </si>
  <si>
    <t xml:space="preserve">  ไม่สามารถรู้ว่าระบบมีอะไรอัพเดต คนไข้คิวที่ 19 แต่รอตรวจไป 2 ชั่วโมง เพราะเอาแฟ้มประวัติไปวางจุดอื่นไม่ใช่หน้าห้องหมอ ถ้าไม่เดินไปถามคงไม่ได้ตรวจ ไม่มีการประสานจากพยาบาลตอนเช้าถึงบ่ายเลย </t>
  </si>
  <si>
    <t>-	 คิวพบแพทย์ควรได้คิวตั้วแต่ช่องลงทะเบียน</t>
  </si>
  <si>
    <t>-	 ระยะเวลาการยื่นบัตรสำหรับฉายแสง ห้ามเกิน 14.30 น. ซึ่ง มันเร็วเกินไปบางครั้งเดินทางมาไม่ทัน</t>
  </si>
  <si>
    <t>- 	ปรับปรุงเรื่องการให้ข้อมูลแก่ญาติ หรือผู้ป่วย</t>
  </si>
  <si>
    <t>-	 รอคิวตรวจนาน (2)</t>
  </si>
  <si>
    <t>-	 รอผลตรวจนาน</t>
  </si>
  <si>
    <t>-	 เพิ่มแพทย์ และให้เวลาในการพบแพทย์เฉพาะทางให้มากกว่านี้ (2)</t>
  </si>
  <si>
    <t>-	 รอตรวจนาน (2)</t>
  </si>
  <si>
    <t>-	 ระบบการจัดการในโรงพยาบาล</t>
  </si>
  <si>
    <t>-	 ควรยิ้มแย้ม</t>
  </si>
  <si>
    <t>-	 ควรเพิ่มเจ้าหน้าที่จุกคัดกรอง เนื่องจากคนไข้เยอะมาก</t>
  </si>
  <si>
    <t>-	 ควรปรับปรุงฝ่ายการเงิน และช่องจ่ายยา ชั้น 6</t>
  </si>
  <si>
    <t>-	 ขั้นตอน กระบวนการต่าง ๆ ซับซ้อน</t>
  </si>
  <si>
    <t>-	 ปรับปรุงเรื่องการให้กินน้ำตาล ควรอยู่ชั้นเดียวกัน (ANC)</t>
  </si>
  <si>
    <t>-	 จุดฝากท้อง กลืนน้ำตาล เจาะเลือด  ควรอยู่ที่ชั้นเดียวกัน (ANC) (2)</t>
  </si>
  <si>
    <t>-	 ในกรณีฝากท้องและคนไข้ต้องมีการตรวจเบาหวาน อยากให้อยู่ชั้นเดียวกัน เนื่องจากลิฟต์ที่ให้บริการ ขึ้น-ลง ช้ามาก (ANC)</t>
  </si>
  <si>
    <t>-	 พื้นที่จอดรถฝุ่นเยอะมาก</t>
  </si>
  <si>
    <t>-	 ล่าช้า การบริการที่รวดเร็วกว่านี้ (2)</t>
  </si>
  <si>
    <t>- 	อยากให้ปรับปรุงความเร็วในการลงทะเบียนและความรวดเร็วของการเงินหรือเรียกใช้ชำระเงิน</t>
  </si>
  <si>
    <t>-	 ต้องการให้มีร้านขายยาภายในโรงพยาบาล</t>
  </si>
  <si>
    <t>-	 ควรมีปรับปรุงเรื่องเวลา ควรทำให้ไว ช้ามาก ควรมีการแบ่งสิทธิการรักษา อันนี้รวมกันหมด ทำให้บางเคสที่ด่วนจริง ๆ ทำให้ได้รับการรักษาช้าไปด้วย ปรับปรุงด้วยเพราะว่าหลายคนไม่อยากมารักษาที่นี่</t>
  </si>
  <si>
    <t xml:space="preserve">  เพราะว่าช้านี่แหละ 4-5 ชั่วโมง กว่าจะพบแพทย์</t>
  </si>
  <si>
    <t>- 	ให้คนท้องเดินขึ้นลงเยอะเกินไป (ANC) (2)</t>
  </si>
  <si>
    <t>-	 การตรวจปัสสาวะไม่ควรให้คนท้องขึ้น-ลง เพราะอาจจะเกิดอุบัติเหตุได้ (ANC) (3)</t>
  </si>
  <si>
    <t>-	 การใช้คำพูด (2)</t>
  </si>
  <si>
    <t>- 	ควรมีการปรับเรื่องค่าที่จอดรถ</t>
  </si>
  <si>
    <t>- 	รอแพทย์นาน (2)</t>
  </si>
  <si>
    <t>-	 รอนาน (2)</t>
  </si>
  <si>
    <t>-	 อยากให้ปรับปรุงเรื่องการพูดคุยให้มีความกระชับ</t>
  </si>
  <si>
    <t>- 	อยากให้แพทย์มารักษาให้เร็วกว่านี้</t>
  </si>
  <si>
    <t>- 	ข้อเสียของการมาโรงพยาบาลนี้คือเสียเวลาทั้งวัน</t>
  </si>
  <si>
    <t>- 	เสียงเรียกยังไม่ค่อยชัดเจน (คลินิกเบาหวาน ไทรอยด์ ต่อมไร้ท่อ)</t>
  </si>
  <si>
    <t>-	 อยากให้ทำทุกขั้นตอนเสร็จในชั้นเดียวเลย เช่น ลงทะเบียน เจาะเลือด รับยา เนื่องจากเป็นคนไข้นั่งรถเข็น ค่อนข้างใช้เวลาในการไปแต่ละชั้น</t>
  </si>
  <si>
    <t>-	 คอยหมอตรวจค่อนข้างนาน มา ถึงโรงพยาบาล ก่อน 08:00 น. ได้ตรวจ 11:00 น.</t>
  </si>
  <si>
    <t>-	 ควรเปิดทีวีให้ดูระหว่างรอพบแพทย์</t>
  </si>
  <si>
    <t>-	 จำนวนบุคลากร แพทย์ พยาบาล จะต้องมีมากกว่านี้</t>
  </si>
  <si>
    <t>- 	ไม่เข้าใจระบบคิว</t>
  </si>
  <si>
    <t xml:space="preserve">-	 แผนกอายุรกรรมดุคนไข้ เหมือนคนไข้เป็นขอทาน </t>
  </si>
  <si>
    <t xml:space="preserve">-	 ขออนุญาตบอกต่อถึงสิ่งที่สามารถปรับปรุงให้ดีขึ้นครับ 
</t>
  </si>
  <si>
    <t xml:space="preserve">   1. การบริการช่วงที่เป็นคอขวดโดยเฉพาะช่วงเวลาเที่ยงถึงบ่ายโมงบริเวณห้องจ่ายยาปริมาณคนที่รอมากแล้วสำหรับการรอตั้งแต่เช้ากลับมารอตรงช่วงที่จ่ายยาหากบุคลากรที่มีเพียงพอและจัดสรรแยกส่วนการจ่ายยา</t>
  </si>
  <si>
    <t xml:space="preserve">      เป็นส่วน ๆ น่าจะทำให้การบริหารจัดการตรงนี้สามารถทำได้ดีขึ้นแต่อันนี้ขึ้นอยู่กับนโยบายของโรงพยาบาลนะครับ 
</t>
  </si>
  <si>
    <t xml:space="preserve">      น่าจะทำให้สถานการณ์ทั่ว ๆ ไปดีขึ้น หรืออาจจะหาหรือเสียงตามสายที่อัดไว้แล้วเปิดแทนในช่วงระยะเวลาที่รออธิบายสั้น ๆ หรืออื่น ๆ อาจจะช่วยให้การรอมีความหมายและไม่กดดันเจ้าหน้าที่ในช่วงเวลานั้น</t>
  </si>
  <si>
    <t xml:space="preserve">      ได้การเปิดเพลงรอเบา ๆ ไม่แน่ใจว่าจะช่วยหรือเปล่าแต่ก็เป็นความเห็นเล็ก ๆ   ที่โรงพยาบาลอาจจะรับไว้พิจารณาก็ไม่เสียหายครับ </t>
  </si>
  <si>
    <t>-	 รอลิฟต์นาน ช้า (4)</t>
  </si>
  <si>
    <t>-	 ที่จอดรถ (3)</t>
  </si>
  <si>
    <t>- 	ห้องยาแออัด รอยานาน</t>
  </si>
  <si>
    <t>-	 รอรับยานาน (3)</t>
  </si>
  <si>
    <t>-	 จุดรอเจาะเลือดคนเยอะ แออัด</t>
  </si>
  <si>
    <t>-	 ควรเพิ่มจำนวนคิวรักษา</t>
  </si>
  <si>
    <t>-	 ปูนกำแพงแตกควรให้ช่างมาทำใหม่ (คลินิกทันตกรรม)</t>
  </si>
  <si>
    <t>- 	ช้า ยาวนานมากในการมาติดต่อโรงพยาบาลแต่ละครั้ง</t>
  </si>
  <si>
    <t>-	 ทำงานช้าไปหน่อย บางทีควรบอกอะไรหน่อยปล่อยนั่งรอจนต้องไปถามเอง</t>
  </si>
  <si>
    <t>-	 ไม่ได้เจอแพทย์เจ้าของไข้ตั้งแต่เข้ามารักษา</t>
  </si>
  <si>
    <t>-	 มีค่ารักษาส่วนต่างทั้ง ๆ ที่มารักษาก่อนหน้านี้ไม่เคยมี</t>
  </si>
  <si>
    <t xml:space="preserve">-	 ด้วยการรักษาที่เป็นห้องรวม อยากให้มีการแยกผู้ป่วยที่เป็นไข้ แยกออกจากผู้ป่วยที่ต้องกดภูมิ เพราะอาจมีโอกาสติดเชื้อได้ </t>
  </si>
  <si>
    <t>- 	หน้าไม่รับแขก</t>
  </si>
  <si>
    <t>-	 ล้อเสาน้ำเกลือเข็นยากมาก (19B)</t>
  </si>
  <si>
    <t>- 	ถ้ามีเสียงตามสายเรียกคนไข้ที่มารับบริการจะเป็นเรื่องที่ดีมาก  เพราะที่นั่งรอจะไกล ทำให้ไม่ได้ยินเสียงเรียกชื่อจากเจ้าหน้าที่</t>
  </si>
  <si>
    <t>-	 แอร์ไม่ค่อยเย็น  (19B)</t>
  </si>
  <si>
    <t xml:space="preserve">-	 ระบบการเข้ารับบริการไม่ชัดเจน มีขั้นตอนเยอะ </t>
  </si>
  <si>
    <t xml:space="preserve">-	 รอยานานมาก </t>
  </si>
  <si>
    <t>-	 อาหารผู้ป่วย</t>
  </si>
  <si>
    <t xml:space="preserve">-	 ควรมีเก้าอี้ให้ญาติผู้ป่วยที่เข้าเยี่ยม (22D) (2) </t>
  </si>
  <si>
    <t>-	 การสื่อสารกับคนไข้</t>
  </si>
  <si>
    <t xml:space="preserve">-	 ห้องน้ำมีกลิ่นแรงมาก  (22D) </t>
  </si>
  <si>
    <t>-	 ไม่ทราบขั้นตอนที่ชัดเจนในการดำเนินงาน</t>
  </si>
  <si>
    <t>-	 ไม่มีน้ำยาล้างจาน (25A)</t>
  </si>
  <si>
    <t>-	 รอคิวตรวจรักษานาน</t>
  </si>
  <si>
    <t>-	 มานอนเพื่อรอผ่าตัด แต่การผ่าตัดโดนเลื่อน</t>
  </si>
  <si>
    <t xml:space="preserve">-	 อาหารส่งล่าช้า </t>
  </si>
  <si>
    <t>- 	อาหารจืด</t>
  </si>
  <si>
    <t xml:space="preserve">-	 ปรับปรุงเรื่องคุณภาพของอาหาร ผักไม่สุก </t>
  </si>
  <si>
    <t>-	 ปรับปรุงอาหารคนไข้ ยกตัวอย่าง อาหารไทย ปลาทูทอดตัวเล็กเนื้อน้อย ก้างเยอะ ซุปก็เป็นแบบเดิมทั้ง 5 วันที่นอนรักษาตัว</t>
  </si>
  <si>
    <t>- 	Wifi ต่อไม่ได้ (25B)</t>
  </si>
  <si>
    <t>-	 อยากให้แม่บ้านทำความสะอาด 2 ครั้ง/วัน (26B)</t>
  </si>
  <si>
    <t>- 	อาหารไม่อร่อย เย็นชืด (4)</t>
  </si>
  <si>
    <t>-	 มีการพูดคุยเสียงดังนิดหน่อย</t>
  </si>
  <si>
    <t>-	 อยากให้ระบบจองห้องพิเศษรวดเร็ว แน่ชัด จะได้แพลนการรักษา</t>
  </si>
  <si>
    <t>-	 วันเสาร์และวันอาทิตย์ควรมีแพทย์</t>
  </si>
  <si>
    <t>- 	อยากให้เจ้าหน้าที่ทำเอกสารให้เร็วขึ้น บางที่เจ้าหน้าที่น้อยเกินไป คนไข้ต้องเข้าคิวยาวมาก รอนานมาก</t>
  </si>
  <si>
    <t>- 	คนไข้ IPD (นอนห้องพิเศษ) ควรได้จอดฟรีอย่างน้อย 1 คัน เสียค่าห้องแล้วต้องมาเสียค่าที่จอดอีก</t>
  </si>
  <si>
    <t>-	 อยากให้โรงพยาบาลมีสิ่งแวดล้อมที่ดีกว่านี้</t>
  </si>
  <si>
    <t>-	 ปรับปรุงขั้นตอนการประสานงาน</t>
  </si>
  <si>
    <t>อันดับ 1 การให้บริการโดยรวม (OPD : 45 IPD : 26 )</t>
  </si>
  <si>
    <t>- 	การลงไปทำ PLEX ที่ MICU ชั้น 14 มีการทำทั้งหมด 5 ครั้ง ครั้งที่ 1,2,5 โอเคมากๆ พยาบาลมีความprofessional และรู้ว่าควรทำอะไรทำให้ตัวคนไข้สบายใจ แต่ครั้งที่ 3 และ 4 ไม่มีการล้างแผลที่คอก่อนเริ่มทำ   โดยเฉพาะครั้งที่ 4 ที่ทำที่ CCU สิ่งที่ไม่โอเคมากๆ
     - พยาบาลที่ลงมือทำยังหันไปถามพยาบาลอีกคนว่าต้อง sterile ไหม
     - ต้องทำความสะอาดยังไม่แน่ใจว่าต้องเช็ดตรงไหนบ้าง
     - ตอนที่ต่อสายที่คอเสร็จและ run เครื่องแล้ว พยาบาลเพิ่งเห็นว่าไม่ได้มีสาย iv ต่อไว้เพื่อให้แคลเซียม จึงทำการหาเส้นแต่ว่าเจาะหาไม่ได้สักที คนไข้พยายามอยู่นิ่ง ๆ เพื่อไม่ให้พยาบาลตื่นเต้น แต่พยาบาลที่หาเส้นให้มีอาการประหม่ามาก ๆ ทำให้คนไข้รู้สึกประหม่าไปด้วย พยาบาลสองคนมัดแขนสองข้างและเจาะหาเส้นพร้อมกัน และได้เรียกพยาบาลคนอื่นมาช่วยในการหาเส้น ทั้งที่ขาและแขนสองข้างพร้อมกันทั้ง ๆ ที่ตอนนั้นคือร้องไห้ไม่ไหวแล้ว ไม่มีการรับมือที่ดีเลย
     - พยาบาลพูดว่าเส้นคนไข้หายากในการเป็นเหตุผลที่ต้องมารุมเจาะพร้อมกัน ไม่ได้มองถึง conditions ของคนไข้ตอนนั้น
     - พยาบาล ccu โทษพยาบาล ward ว่าจะเอาเข็มออกทำไม และพูดเล่น ๆ ว่าจะเรียกพยาบาลวอร์ดลงมาเปิดเส้น คนไข้บอกไปว่ามันครบกำหนดวันเอาออกแล้ว และพยาบาลบ่นกับพยาบาลว่าทำไมไม่เปิดอันใหม่มา ทำให้คนไข้รู้สึกไม่มีความมั่นใจ และไม่ได้มีการแปะป้าย exp ที่เข็ม
     - ตอนทำเสร็จพยาบาลพูดว่า อันนี้ต้อง sterile หรือเปล่า แต่เอาออกมาแล้วไม่เป็นไรหรอกเนอะ พยาบาลอีกคนพูดว่า ทำ ๆ ไปเถอะแบบที่ถนัด โดยรวมนะคะ พยาบาลมีการพูดคุยเล่นกันเกินไปในสถานการณ์ที่ไม่ควร คำพูดที่แสดงถึงความไม่มั่นใจไม่แน่ใจว่าตัวเองกำลังทำอะไรอยู่ ทำให้ความเชื่อใจหายไปเหมือนเอาชีวิตไปฝากไว้กับอะไรก็ไม่รู้ ทั้งๆที่มันอันตรายถึงชีวิต</t>
  </si>
  <si>
    <t xml:space="preserve">  อาทิเช่น ลานจอดรถ ควรมีเจ้าหน้าที่แนะนำว่าตรงไหนจอดรถได้ฟรี ตรงไหนจอดรถแล้วมีค่าใช้จ่าย บางคนมาแต่สิทธิ์รักษาฟรี (ไม่มีเงิน) ถ้าเกิดว่าจอดรถไว้แล้วได้นอนโรงพยาบาล 2 คืน จะเสียค่าปรับเท่าไหร่ </t>
  </si>
  <si>
    <t xml:space="preserve">-	 ควรมีจุดให้คนไข้ชาร์จแบตมือถือ (คลินิกเบาหวาน ไทรอยด์ ต่อมไร้ท่อ) </t>
  </si>
  <si>
    <t>- 	แอร์หนาวมาก</t>
  </si>
  <si>
    <t>-	 ป้ายบอกห้องตรวจเลือดและอื่น ๆ ที่อยู่ด้านใน ควรมีป้ายบอกจากต้นทางให้เห็นชัดเจน</t>
  </si>
  <si>
    <t xml:space="preserve">  เป็นโรงพยาบาลใหญ่ชื่อเสียงดัง แต่ไม่รักษาอาการคนป่วยที่ใช้สิทธิประกันสังคม เป็นโรงพยาบาลที่แรกที่ไปหาแล้วใช้สิทธิประกันสังคม หลัง 08.00 น. แล้วบอกคิวเต็มให้ไปรักษาที่คลินิกแทน </t>
  </si>
  <si>
    <t xml:space="preserve">  ลักษณะเหมือนวางเอาไว้ พอไปบอก พยาบาลก็บ่นว่าเรียกหลายครั้งแล้วนะ เท่าที่ดูคนไข้ไปถึง13.20 น. ถ้าเรียกก่อนหน้านั้น ก็มาเรียกซ้ำอีกได้ นั่งสังเกตไม่เห็นจะมีมากเรียก แล้วสเตชั่นวัดความดันรถนั่ง ก็ไม่มีพยาบาล </t>
  </si>
  <si>
    <t xml:space="preserve">  คนไข้ก็ไปรอเก้ง ๆ กัง ๆ ถามก็บอกให้รอ ต้องเดินไปถามจี้ จี้ก้อโดนเหวี่ยง รู้ว่าเหนื่อย แต่ถ้าระบบคุณดีคุณจะไม่เหนื่อย</t>
  </si>
  <si>
    <t xml:space="preserve">   2. กริยาการพูดจาของเจ้าหน้าที่ห้องยาด้วยน้ำเสียงดังขู่ตะคอก อาจจะไม่รู้ตัวหรืออย่างไรอาจจะทำให้สถานการณ์การรอยิ่งสร้างความไม่พึงพอใจสำหรับผู้มารับบริการได้ไม่ยาก หากเป็นน้ำเสียงที่ไพเราะอ่อนโยนชัดเจน</t>
  </si>
  <si>
    <t>265</t>
  </si>
  <si>
    <t>อันดับ 2 อุปกรณ์ เครื่องมือ และสถานที่ไม่สมบูรณ์ (OPD : 16 IPD :7 )</t>
  </si>
  <si>
    <t>อันดับ 3 การทำงานและพฤติกรรมของบุคลากร (OPD : 5  IPD :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</si>
</sst>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##0.00"/>
  </numFmts>
  <fonts count="32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7" fontId="19" fillId="0" borderId="1" xfId="11" applyNumberFormat="1" applyFont="1" applyBorder="1" applyAlignment="1">
      <alignment horizontal="center" vertical="center"/>
    </xf>
    <xf numFmtId="187" fontId="19" fillId="0" borderId="1" xfId="13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2" fontId="21" fillId="6" borderId="1" xfId="0" applyNumberFormat="1" applyFont="1" applyFill="1" applyBorder="1" applyAlignment="1">
      <alignment horizontal="center" vertical="center" wrapText="1"/>
    </xf>
    <xf numFmtId="187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87" fontId="19" fillId="7" borderId="1" xfId="14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187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87" fontId="16" fillId="7" borderId="4" xfId="10" applyNumberFormat="1" applyFill="1" applyBorder="1" applyAlignment="1">
      <alignment horizontal="center" vertical="center"/>
    </xf>
    <xf numFmtId="2" fontId="19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87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87" fontId="19" fillId="0" borderId="1" xfId="12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8" fillId="6" borderId="1" xfId="14" applyNumberFormat="1" applyFont="1" applyFill="1" applyBorder="1" applyAlignment="1">
      <alignment horizontal="center" vertical="center" wrapText="1"/>
    </xf>
    <xf numFmtId="2" fontId="29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87" fontId="27" fillId="0" borderId="1" xfId="11" applyNumberFormat="1" applyFont="1" applyBorder="1" applyAlignment="1">
      <alignment horizontal="center" vertical="center"/>
    </xf>
    <xf numFmtId="187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30" fillId="2" borderId="1" xfId="0" applyFont="1" applyFill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49" fontId="26" fillId="0" borderId="0" xfId="0" quotePrefix="1" applyNumberFormat="1" applyFont="1" applyAlignment="1">
      <alignment vertical="center"/>
    </xf>
    <xf numFmtId="49" fontId="5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  <xf numFmtId="49" fontId="26" fillId="0" borderId="0" xfId="0" applyNumberFormat="1" applyFon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</cellXfs>
  <cellStyles count="18">
    <cellStyle name="Normal" xfId="0" builtinId="0"/>
    <cellStyle name="Normal_IPD November" xfId="12" xr:uid="{00000000-0005-0000-0000-000001000000}"/>
    <cellStyle name="Normal_IPD_1" xfId="13" xr:uid="{00000000-0005-0000-0000-000002000000}"/>
    <cellStyle name="Normal_OPD August" xfId="11" xr:uid="{00000000-0005-0000-0000-000003000000}"/>
    <cellStyle name="Normal_OPD July" xfId="10" xr:uid="{00000000-0005-0000-0000-000004000000}"/>
    <cellStyle name="Normal_OPD_1" xfId="14" xr:uid="{00000000-0005-0000-0000-000005000000}"/>
    <cellStyle name="style1683707694983" xfId="1" xr:uid="{00000000-0005-0000-0000-000006000000}"/>
    <cellStyle name="style1683707695268" xfId="2" xr:uid="{00000000-0005-0000-0000-000007000000}"/>
    <cellStyle name="style1683707695497" xfId="3" xr:uid="{00000000-0005-0000-0000-000008000000}"/>
    <cellStyle name="style1683873781043" xfId="4" xr:uid="{00000000-0005-0000-0000-000009000000}"/>
    <cellStyle name="style1683873781293" xfId="5" xr:uid="{00000000-0005-0000-0000-00000A000000}"/>
    <cellStyle name="style1683873781509" xfId="6" xr:uid="{00000000-0005-0000-0000-00000B000000}"/>
    <cellStyle name="style1690951585398" xfId="8" xr:uid="{00000000-0005-0000-0000-00000C000000}"/>
    <cellStyle name="style1690951585625" xfId="9" xr:uid="{00000000-0005-0000-0000-00000D000000}"/>
    <cellStyle name="style1690951585802" xfId="7" xr:uid="{00000000-0005-0000-0000-00000E000000}"/>
    <cellStyle name="ปกติ 2" xfId="16" xr:uid="{00000000-0005-0000-0000-00000F000000}"/>
    <cellStyle name="ปกติ 3" xfId="17" xr:uid="{00000000-0005-0000-0000-000010000000}"/>
    <cellStyle name="ปกติ 4" xfId="15" xr:uid="{00000000-0005-0000-0000-000011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10.45.246\Quality\Aaa\ESB\2568\1.%20Jan%2068\2.%20Output%20OP-IP%20Jan%2068.xlsx" TargetMode="External"/><Relationship Id="rId1" Type="http://schemas.openxmlformats.org/officeDocument/2006/relationships/externalLinkPath" Target="2.%20Output%20OP-IP%20Jan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D"/>
      <sheetName val="OPD"/>
      <sheetName val="Total"/>
    </sheetNames>
    <sheetDataSet>
      <sheetData sheetId="0">
        <row r="638">
          <cell r="B638">
            <v>26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"/>
  <sheetViews>
    <sheetView topLeftCell="A25" zoomScale="90" zoomScaleNormal="90" zoomScaleSheetLayoutView="80" workbookViewId="0">
      <selection activeCell="G40" sqref="G40"/>
    </sheetView>
  </sheetViews>
  <sheetFormatPr defaultColWidth="9" defaultRowHeight="21"/>
  <cols>
    <col min="1" max="1" width="62.625" style="4" customWidth="1"/>
    <col min="2" max="2" width="10.75" style="4" customWidth="1"/>
    <col min="3" max="18" width="10.75" style="3" customWidth="1"/>
    <col min="19" max="16384" width="9" style="3"/>
  </cols>
  <sheetData>
    <row r="1" spans="1:17" s="13" customFormat="1" ht="49.7" customHeight="1">
      <c r="A1" s="94" t="s">
        <v>100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7" s="2" customFormat="1" ht="54.75" customHeight="1">
      <c r="A2" s="6" t="s">
        <v>0</v>
      </c>
      <c r="B2" s="87" t="s">
        <v>70</v>
      </c>
      <c r="C2" s="87" t="s">
        <v>72</v>
      </c>
      <c r="D2" s="87" t="s">
        <v>68</v>
      </c>
      <c r="E2" s="1" t="s">
        <v>2</v>
      </c>
      <c r="F2" s="1" t="s">
        <v>57</v>
      </c>
      <c r="G2" s="1" t="s">
        <v>63</v>
      </c>
      <c r="H2" s="1" t="s">
        <v>58</v>
      </c>
      <c r="I2" s="1" t="s">
        <v>3</v>
      </c>
      <c r="J2" s="1" t="s">
        <v>4</v>
      </c>
      <c r="K2" s="1" t="s">
        <v>60</v>
      </c>
      <c r="L2" s="1" t="s">
        <v>49</v>
      </c>
      <c r="M2" s="1" t="s">
        <v>43</v>
      </c>
      <c r="N2" s="1" t="s">
        <v>5</v>
      </c>
      <c r="O2" s="1" t="s">
        <v>65</v>
      </c>
      <c r="P2" s="1" t="s">
        <v>61</v>
      </c>
      <c r="Q2" s="1" t="s">
        <v>69</v>
      </c>
    </row>
    <row r="3" spans="1:17" s="83" customFormat="1" ht="24.75" customHeight="1" thickBot="1">
      <c r="A3" s="80" t="s">
        <v>8</v>
      </c>
      <c r="B3" s="25">
        <v>10</v>
      </c>
      <c r="C3" s="81">
        <v>5</v>
      </c>
      <c r="D3" s="61" t="s">
        <v>66</v>
      </c>
      <c r="E3" s="82">
        <v>9</v>
      </c>
      <c r="F3" s="91">
        <v>27</v>
      </c>
      <c r="G3" s="91">
        <v>8</v>
      </c>
      <c r="H3" s="61" t="s">
        <v>66</v>
      </c>
      <c r="I3" s="81">
        <v>79</v>
      </c>
      <c r="J3" s="61" t="s">
        <v>66</v>
      </c>
      <c r="K3" s="81">
        <v>134</v>
      </c>
      <c r="L3" s="81">
        <v>33</v>
      </c>
      <c r="M3" s="81">
        <v>120</v>
      </c>
      <c r="N3" s="81">
        <v>119</v>
      </c>
      <c r="O3" s="81">
        <v>61</v>
      </c>
      <c r="P3" s="81">
        <v>3</v>
      </c>
      <c r="Q3" s="81" t="s">
        <v>66</v>
      </c>
    </row>
    <row r="4" spans="1:17" s="2" customFormat="1" ht="24" customHeight="1" thickBot="1">
      <c r="A4" s="89" t="s">
        <v>74</v>
      </c>
      <c r="B4" s="24">
        <v>3.6999999999999997</v>
      </c>
      <c r="C4" s="75">
        <v>4.5999999999999996</v>
      </c>
      <c r="D4" s="61" t="s">
        <v>66</v>
      </c>
      <c r="E4" s="30">
        <v>4.1111111111111107</v>
      </c>
      <c r="F4" s="75">
        <v>4.8148148148148149</v>
      </c>
      <c r="G4" s="24">
        <v>3.7499999999999996</v>
      </c>
      <c r="H4" s="61" t="s">
        <v>66</v>
      </c>
      <c r="I4" s="19">
        <v>4.3797468354430391</v>
      </c>
      <c r="J4" s="61" t="s">
        <v>66</v>
      </c>
      <c r="K4" s="19">
        <v>4.4179104477611943</v>
      </c>
      <c r="L4" s="19">
        <v>4.3636363636363633</v>
      </c>
      <c r="M4" s="19">
        <v>4.4333333333333327</v>
      </c>
      <c r="N4" s="19">
        <v>4.302521008403362</v>
      </c>
      <c r="O4" s="24">
        <v>4.6557377049180344</v>
      </c>
      <c r="P4" s="75">
        <v>4.666666666666667</v>
      </c>
      <c r="Q4" s="61" t="s">
        <v>66</v>
      </c>
    </row>
    <row r="5" spans="1:17" s="2" customFormat="1" ht="24" customHeight="1" thickBot="1">
      <c r="A5" s="90" t="s">
        <v>75</v>
      </c>
      <c r="B5" s="24">
        <v>3.5999999999999996</v>
      </c>
      <c r="C5" s="75">
        <v>4.4000000000000004</v>
      </c>
      <c r="D5" s="61" t="s">
        <v>66</v>
      </c>
      <c r="E5" s="30">
        <v>4.1111111111111107</v>
      </c>
      <c r="F5" s="75">
        <v>4.5555555555555554</v>
      </c>
      <c r="G5" s="24">
        <v>3.7499999999999996</v>
      </c>
      <c r="H5" s="61" t="s">
        <v>66</v>
      </c>
      <c r="I5" s="19">
        <v>4.3544303797468347</v>
      </c>
      <c r="J5" s="61" t="s">
        <v>66</v>
      </c>
      <c r="K5" s="19">
        <v>4.4029850746268657</v>
      </c>
      <c r="L5" s="19">
        <v>4.3636363636363624</v>
      </c>
      <c r="M5" s="19">
        <v>4.5083333333333346</v>
      </c>
      <c r="N5" s="19">
        <v>4.352941176470587</v>
      </c>
      <c r="O5" s="24">
        <v>4.6885245901639356</v>
      </c>
      <c r="P5" s="75">
        <v>4.666666666666667</v>
      </c>
      <c r="Q5" s="61" t="s">
        <v>66</v>
      </c>
    </row>
    <row r="6" spans="1:17" s="2" customFormat="1" ht="24" customHeight="1" thickBot="1">
      <c r="A6" s="90" t="s">
        <v>76</v>
      </c>
      <c r="B6" s="24">
        <v>3.3</v>
      </c>
      <c r="C6" s="75">
        <v>4.4000000000000004</v>
      </c>
      <c r="D6" s="61" t="s">
        <v>66</v>
      </c>
      <c r="E6" s="30">
        <v>4.1111111111111107</v>
      </c>
      <c r="F6" s="75">
        <v>4.6666666666666661</v>
      </c>
      <c r="G6" s="24">
        <v>3.625</v>
      </c>
      <c r="H6" s="61" t="s">
        <v>66</v>
      </c>
      <c r="I6" s="19">
        <v>4.37974683544304</v>
      </c>
      <c r="J6" s="61" t="s">
        <v>66</v>
      </c>
      <c r="K6" s="19">
        <v>4.3208955223880574</v>
      </c>
      <c r="L6" s="19">
        <v>4.3030303030303019</v>
      </c>
      <c r="M6" s="19">
        <v>4.4750000000000005</v>
      </c>
      <c r="N6" s="19">
        <v>4.2605042016806731</v>
      </c>
      <c r="O6" s="24">
        <v>4.672131147540985</v>
      </c>
      <c r="P6" s="75">
        <v>4.666666666666667</v>
      </c>
      <c r="Q6" s="61" t="s">
        <v>66</v>
      </c>
    </row>
    <row r="7" spans="1:17" s="2" customFormat="1" ht="24" customHeight="1" thickBot="1">
      <c r="A7" s="90" t="s">
        <v>77</v>
      </c>
      <c r="B7" s="24">
        <v>3.5</v>
      </c>
      <c r="C7" s="75">
        <v>4.5999999999999996</v>
      </c>
      <c r="D7" s="61" t="s">
        <v>66</v>
      </c>
      <c r="E7" s="30">
        <v>4.2222222222222232</v>
      </c>
      <c r="F7" s="75">
        <v>4.5555555555555554</v>
      </c>
      <c r="G7" s="24">
        <v>3.7499999999999996</v>
      </c>
      <c r="H7" s="61" t="s">
        <v>66</v>
      </c>
      <c r="I7" s="19">
        <v>4.3417721518987351</v>
      </c>
      <c r="J7" s="61" t="s">
        <v>66</v>
      </c>
      <c r="K7" s="19">
        <v>4.2910447761194046</v>
      </c>
      <c r="L7" s="19">
        <v>4.3030303030303028</v>
      </c>
      <c r="M7" s="19">
        <v>4.4249999999999998</v>
      </c>
      <c r="N7" s="19">
        <v>4.2773109243697469</v>
      </c>
      <c r="O7" s="24">
        <v>4.6721311475409841</v>
      </c>
      <c r="P7" s="75">
        <v>5</v>
      </c>
      <c r="Q7" s="61" t="s">
        <v>66</v>
      </c>
    </row>
    <row r="8" spans="1:17" s="2" customFormat="1" ht="24" customHeight="1" thickBot="1">
      <c r="A8" s="90" t="s">
        <v>78</v>
      </c>
      <c r="B8" s="24">
        <v>3.5</v>
      </c>
      <c r="C8" s="75">
        <v>4.2</v>
      </c>
      <c r="D8" s="61" t="s">
        <v>66</v>
      </c>
      <c r="E8" s="30">
        <v>3.7777777777777777</v>
      </c>
      <c r="F8" s="75">
        <v>4.4444444444444438</v>
      </c>
      <c r="G8" s="24">
        <v>2.875</v>
      </c>
      <c r="H8" s="61" t="s">
        <v>66</v>
      </c>
      <c r="I8" s="19">
        <v>4.1772151898734178</v>
      </c>
      <c r="J8" s="61" t="s">
        <v>66</v>
      </c>
      <c r="K8" s="19">
        <v>4.1716417910447774</v>
      </c>
      <c r="L8" s="19">
        <v>4.2121212121212119</v>
      </c>
      <c r="M8" s="19">
        <v>4.3000000000000007</v>
      </c>
      <c r="N8" s="19">
        <v>4.2521008403361353</v>
      </c>
      <c r="O8" s="24">
        <v>4.393442622950821</v>
      </c>
      <c r="P8" s="75">
        <v>4.666666666666667</v>
      </c>
      <c r="Q8" s="61" t="s">
        <v>66</v>
      </c>
    </row>
    <row r="9" spans="1:17" s="2" customFormat="1" ht="24" customHeight="1" thickBot="1">
      <c r="A9" s="90" t="s">
        <v>79</v>
      </c>
      <c r="B9" s="24">
        <v>3.6</v>
      </c>
      <c r="C9" s="75">
        <v>4.4000000000000004</v>
      </c>
      <c r="D9" s="61" t="s">
        <v>66</v>
      </c>
      <c r="E9" s="30">
        <v>3.8888888888888884</v>
      </c>
      <c r="F9" s="75">
        <v>4.3703703703703702</v>
      </c>
      <c r="G9" s="24">
        <v>2.75</v>
      </c>
      <c r="H9" s="61" t="s">
        <v>66</v>
      </c>
      <c r="I9" s="19">
        <v>4.177215189873416</v>
      </c>
      <c r="J9" s="61" t="s">
        <v>66</v>
      </c>
      <c r="K9" s="19">
        <v>4.2686567164179126</v>
      </c>
      <c r="L9" s="19">
        <v>4.3333333333333321</v>
      </c>
      <c r="M9" s="19">
        <v>4.4000000000000012</v>
      </c>
      <c r="N9" s="19">
        <v>4.3277310924369727</v>
      </c>
      <c r="O9" s="24">
        <v>4.5409836065573783</v>
      </c>
      <c r="P9" s="75">
        <v>5</v>
      </c>
      <c r="Q9" s="61" t="s">
        <v>66</v>
      </c>
    </row>
    <row r="10" spans="1:17" s="2" customFormat="1" ht="24" customHeight="1" thickBot="1">
      <c r="A10" s="90" t="s">
        <v>80</v>
      </c>
      <c r="B10" s="24">
        <v>3.6</v>
      </c>
      <c r="C10" s="75">
        <v>4.4000000000000004</v>
      </c>
      <c r="D10" s="61" t="s">
        <v>66</v>
      </c>
      <c r="E10" s="30">
        <v>3.8888888888888888</v>
      </c>
      <c r="F10" s="75">
        <v>4.2222222222222214</v>
      </c>
      <c r="G10" s="24">
        <v>2.75</v>
      </c>
      <c r="H10" s="61" t="s">
        <v>66</v>
      </c>
      <c r="I10" s="19">
        <v>4.1265822784810124</v>
      </c>
      <c r="J10" s="61" t="s">
        <v>66</v>
      </c>
      <c r="K10" s="19">
        <v>4.2388059701492553</v>
      </c>
      <c r="L10" s="19">
        <v>4.3030303030303019</v>
      </c>
      <c r="M10" s="19">
        <v>4.4000000000000012</v>
      </c>
      <c r="N10" s="19">
        <v>4.3109243697478972</v>
      </c>
      <c r="O10" s="24">
        <v>4.5737704918032778</v>
      </c>
      <c r="P10" s="75">
        <v>4.333333333333333</v>
      </c>
      <c r="Q10" s="61" t="s">
        <v>66</v>
      </c>
    </row>
    <row r="11" spans="1:17" s="2" customFormat="1" ht="24" customHeight="1" thickBot="1">
      <c r="A11" s="90" t="s">
        <v>81</v>
      </c>
      <c r="B11" s="24">
        <v>3.6</v>
      </c>
      <c r="C11" s="75">
        <v>4.4000000000000004</v>
      </c>
      <c r="D11" s="61" t="s">
        <v>66</v>
      </c>
      <c r="E11" s="30">
        <v>4.1111111111111116</v>
      </c>
      <c r="F11" s="75">
        <v>4.5185185185185182</v>
      </c>
      <c r="G11" s="24">
        <v>3.375</v>
      </c>
      <c r="H11" s="61" t="s">
        <v>66</v>
      </c>
      <c r="I11" s="19">
        <v>4.2278481012658249</v>
      </c>
      <c r="J11" s="61" t="s">
        <v>66</v>
      </c>
      <c r="K11" s="19">
        <v>4.2686567164179099</v>
      </c>
      <c r="L11" s="19">
        <v>4.2424242424242413</v>
      </c>
      <c r="M11" s="19">
        <v>4.3333333333333304</v>
      </c>
      <c r="N11" s="19">
        <v>4.3109243697478972</v>
      </c>
      <c r="O11" s="24">
        <v>4.5901639344262284</v>
      </c>
      <c r="P11" s="75">
        <v>4</v>
      </c>
      <c r="Q11" s="61" t="s">
        <v>66</v>
      </c>
    </row>
    <row r="12" spans="1:17" s="2" customFormat="1" ht="24" customHeight="1" thickBot="1">
      <c r="A12" s="90" t="s">
        <v>82</v>
      </c>
      <c r="B12" s="24">
        <v>3.6</v>
      </c>
      <c r="C12" s="75">
        <v>4.4000000000000004</v>
      </c>
      <c r="D12" s="61" t="s">
        <v>66</v>
      </c>
      <c r="E12" s="30">
        <v>4.333333333333333</v>
      </c>
      <c r="F12" s="75">
        <v>4.6296296296296298</v>
      </c>
      <c r="G12" s="24">
        <v>3.625</v>
      </c>
      <c r="H12" s="61" t="s">
        <v>66</v>
      </c>
      <c r="I12" s="19">
        <v>4.3037974683544302</v>
      </c>
      <c r="J12" s="61" t="s">
        <v>66</v>
      </c>
      <c r="K12" s="19">
        <v>4.358208955223879</v>
      </c>
      <c r="L12" s="19">
        <v>4.2424242424242422</v>
      </c>
      <c r="M12" s="19">
        <v>4.4333333333333345</v>
      </c>
      <c r="N12" s="19">
        <v>4.3529411764705879</v>
      </c>
      <c r="O12" s="24">
        <v>4.6229508196721314</v>
      </c>
      <c r="P12" s="75">
        <v>4.666666666666667</v>
      </c>
      <c r="Q12" s="61" t="s">
        <v>66</v>
      </c>
    </row>
    <row r="13" spans="1:17" s="2" customFormat="1" ht="24" customHeight="1" thickBot="1">
      <c r="A13" s="90" t="s">
        <v>83</v>
      </c>
      <c r="B13" s="24">
        <v>3.6999999999999997</v>
      </c>
      <c r="C13" s="75">
        <v>4.4000000000000004</v>
      </c>
      <c r="D13" s="61" t="s">
        <v>66</v>
      </c>
      <c r="E13" s="30">
        <v>4.333333333333333</v>
      </c>
      <c r="F13" s="75">
        <v>4.3333333333333321</v>
      </c>
      <c r="G13" s="24">
        <v>2.625</v>
      </c>
      <c r="H13" s="61" t="s">
        <v>66</v>
      </c>
      <c r="I13" s="19">
        <v>4.291139240506328</v>
      </c>
      <c r="J13" s="61" t="s">
        <v>66</v>
      </c>
      <c r="K13" s="19">
        <v>4.3208955223880592</v>
      </c>
      <c r="L13" s="19">
        <v>4.2121212121212119</v>
      </c>
      <c r="M13" s="19">
        <v>4.45</v>
      </c>
      <c r="N13" s="19">
        <v>4.3865546218487399</v>
      </c>
      <c r="O13" s="24">
        <v>4.6557377049180326</v>
      </c>
      <c r="P13" s="75">
        <v>4.333333333333333</v>
      </c>
      <c r="Q13" s="61" t="s">
        <v>66</v>
      </c>
    </row>
    <row r="14" spans="1:17" s="2" customFormat="1" ht="24" customHeight="1" thickBot="1">
      <c r="A14" s="90" t="s">
        <v>84</v>
      </c>
      <c r="B14" s="24">
        <v>3.5</v>
      </c>
      <c r="C14" s="75">
        <v>4.4000000000000004</v>
      </c>
      <c r="D14" s="61" t="s">
        <v>66</v>
      </c>
      <c r="E14" s="30">
        <v>4</v>
      </c>
      <c r="F14" s="75">
        <v>4.4074074074074057</v>
      </c>
      <c r="G14" s="24">
        <v>3</v>
      </c>
      <c r="H14" s="61" t="s">
        <v>66</v>
      </c>
      <c r="I14" s="19">
        <v>4.2405063291139244</v>
      </c>
      <c r="J14" s="61" t="s">
        <v>66</v>
      </c>
      <c r="K14" s="19">
        <v>4.3059701492537306</v>
      </c>
      <c r="L14" s="19">
        <v>4.2727272727272725</v>
      </c>
      <c r="M14" s="19">
        <v>4.4249999999999989</v>
      </c>
      <c r="N14" s="19">
        <v>4.3361344537815114</v>
      </c>
      <c r="O14" s="24">
        <v>4.6393442622950829</v>
      </c>
      <c r="P14" s="75">
        <v>4.333333333333333</v>
      </c>
      <c r="Q14" s="61" t="s">
        <v>66</v>
      </c>
    </row>
    <row r="15" spans="1:17" s="2" customFormat="1" ht="24" customHeight="1" thickBot="1">
      <c r="A15" s="90" t="s">
        <v>85</v>
      </c>
      <c r="B15" s="24">
        <v>3.6999999999999997</v>
      </c>
      <c r="C15" s="75">
        <v>4.4000000000000004</v>
      </c>
      <c r="D15" s="61" t="s">
        <v>66</v>
      </c>
      <c r="E15" s="30">
        <v>4.5555555555555554</v>
      </c>
      <c r="F15" s="75">
        <v>4.5185185185185182</v>
      </c>
      <c r="G15" s="24">
        <v>3.625</v>
      </c>
      <c r="H15" s="61" t="s">
        <v>66</v>
      </c>
      <c r="I15" s="19">
        <v>4.3164556962025316</v>
      </c>
      <c r="J15" s="61" t="s">
        <v>66</v>
      </c>
      <c r="K15" s="19">
        <v>4.3283582089552226</v>
      </c>
      <c r="L15" s="19">
        <v>4.3333333333333321</v>
      </c>
      <c r="M15" s="19">
        <v>4.3833333333333346</v>
      </c>
      <c r="N15" s="19">
        <v>4.302521008403362</v>
      </c>
      <c r="O15" s="24">
        <v>4.6721311475409859</v>
      </c>
      <c r="P15" s="75">
        <v>4.666666666666667</v>
      </c>
      <c r="Q15" s="61" t="s">
        <v>66</v>
      </c>
    </row>
    <row r="16" spans="1:17" s="2" customFormat="1" ht="24" customHeight="1" thickBot="1">
      <c r="A16" s="90" t="s">
        <v>86</v>
      </c>
      <c r="B16" s="24">
        <v>3.5999999999999996</v>
      </c>
      <c r="C16" s="75">
        <v>4.4000000000000004</v>
      </c>
      <c r="D16" s="61" t="s">
        <v>66</v>
      </c>
      <c r="E16" s="30">
        <v>3.8888888888888888</v>
      </c>
      <c r="F16" s="75">
        <v>4.5185185185185182</v>
      </c>
      <c r="G16" s="24">
        <v>3.875</v>
      </c>
      <c r="H16" s="61" t="s">
        <v>66</v>
      </c>
      <c r="I16" s="19">
        <v>4.2784810126582276</v>
      </c>
      <c r="J16" s="61" t="s">
        <v>66</v>
      </c>
      <c r="K16" s="19">
        <v>4.2910447761194028</v>
      </c>
      <c r="L16" s="19">
        <v>4.3030303030303019</v>
      </c>
      <c r="M16" s="19">
        <v>4.3416666666666668</v>
      </c>
      <c r="N16" s="19">
        <v>4.302521008403362</v>
      </c>
      <c r="O16" s="24">
        <v>4.5573770491803289</v>
      </c>
      <c r="P16" s="75">
        <v>4.333333333333333</v>
      </c>
      <c r="Q16" s="61" t="s">
        <v>66</v>
      </c>
    </row>
    <row r="17" spans="1:17" s="2" customFormat="1" ht="24" customHeight="1" thickBot="1">
      <c r="A17" s="90" t="s">
        <v>87</v>
      </c>
      <c r="B17" s="24">
        <v>3.6999999999999997</v>
      </c>
      <c r="C17" s="75">
        <v>4.4000000000000004</v>
      </c>
      <c r="D17" s="61" t="s">
        <v>66</v>
      </c>
      <c r="E17" s="30">
        <v>4.1111111111111107</v>
      </c>
      <c r="F17" s="75">
        <v>4.2592592592592577</v>
      </c>
      <c r="G17" s="24">
        <v>3.875</v>
      </c>
      <c r="H17" s="61" t="s">
        <v>66</v>
      </c>
      <c r="I17" s="19">
        <v>4.2531645569620249</v>
      </c>
      <c r="J17" s="61" t="s">
        <v>66</v>
      </c>
      <c r="K17" s="19">
        <v>4.3358208955223887</v>
      </c>
      <c r="L17" s="19">
        <v>4.3030303030303028</v>
      </c>
      <c r="M17" s="19">
        <v>4.3916666666666666</v>
      </c>
      <c r="N17" s="19">
        <v>4.3277310924369736</v>
      </c>
      <c r="O17" s="24">
        <v>4.6393442622950811</v>
      </c>
      <c r="P17" s="75">
        <v>4</v>
      </c>
      <c r="Q17" s="61" t="s">
        <v>66</v>
      </c>
    </row>
    <row r="18" spans="1:17" s="2" customFormat="1" ht="24" customHeight="1" thickBot="1">
      <c r="A18" s="90" t="s">
        <v>88</v>
      </c>
      <c r="B18" s="24">
        <v>3.4000000000000004</v>
      </c>
      <c r="C18" s="75">
        <v>4.4000000000000004</v>
      </c>
      <c r="D18" s="61" t="s">
        <v>66</v>
      </c>
      <c r="E18" s="30">
        <v>4.4444444444444446</v>
      </c>
      <c r="F18" s="75">
        <v>4.2222222222222214</v>
      </c>
      <c r="G18" s="24">
        <v>3.625</v>
      </c>
      <c r="H18" s="61" t="s">
        <v>66</v>
      </c>
      <c r="I18" s="19">
        <v>4.3417721518987351</v>
      </c>
      <c r="J18" s="61" t="s">
        <v>66</v>
      </c>
      <c r="K18" s="19">
        <v>4.3507462686567164</v>
      </c>
      <c r="L18" s="19">
        <v>4.3939393939393927</v>
      </c>
      <c r="M18" s="19">
        <v>4.4583333333333321</v>
      </c>
      <c r="N18" s="19">
        <v>4.3697478991596634</v>
      </c>
      <c r="O18" s="24">
        <v>4.7049180327868854</v>
      </c>
      <c r="P18" s="75">
        <v>4.333333333333333</v>
      </c>
      <c r="Q18" s="61" t="s">
        <v>66</v>
      </c>
    </row>
    <row r="19" spans="1:17" s="2" customFormat="1" ht="24" customHeight="1" thickBot="1">
      <c r="A19" s="90" t="s">
        <v>89</v>
      </c>
      <c r="B19" s="24">
        <v>3.5999999999999996</v>
      </c>
      <c r="C19" s="75">
        <v>4.4000000000000004</v>
      </c>
      <c r="D19" s="61" t="s">
        <v>66</v>
      </c>
      <c r="E19" s="30">
        <v>4.333333333333333</v>
      </c>
      <c r="F19" s="75">
        <v>4.481481481481481</v>
      </c>
      <c r="G19" s="24">
        <v>3</v>
      </c>
      <c r="H19" s="61" t="s">
        <v>66</v>
      </c>
      <c r="I19" s="19">
        <v>4.4556962025316444</v>
      </c>
      <c r="J19" s="61" t="s">
        <v>66</v>
      </c>
      <c r="K19" s="19">
        <v>4.3805970149253746</v>
      </c>
      <c r="L19" s="19">
        <v>4.5151515151515156</v>
      </c>
      <c r="M19" s="19">
        <v>4.55</v>
      </c>
      <c r="N19" s="19">
        <v>4.3949579831932795</v>
      </c>
      <c r="O19" s="24">
        <v>4.639344262295082</v>
      </c>
      <c r="P19" s="75">
        <v>4.333333333333333</v>
      </c>
      <c r="Q19" s="61" t="s">
        <v>66</v>
      </c>
    </row>
    <row r="20" spans="1:17" s="2" customFormat="1" ht="24" customHeight="1">
      <c r="A20" s="15" t="s">
        <v>9</v>
      </c>
      <c r="B20" s="24">
        <v>3.5750000000000002</v>
      </c>
      <c r="C20" s="75">
        <v>4.4124999999999996</v>
      </c>
      <c r="D20" s="61" t="s">
        <v>66</v>
      </c>
      <c r="E20" s="30">
        <v>4.1388888888888893</v>
      </c>
      <c r="F20" s="75">
        <v>4.4699074074074074</v>
      </c>
      <c r="G20" s="24">
        <v>3.3671875</v>
      </c>
      <c r="H20" s="61" t="s">
        <v>66</v>
      </c>
      <c r="I20" s="19">
        <v>4.2903481012658231</v>
      </c>
      <c r="J20" s="61" t="s">
        <v>66</v>
      </c>
      <c r="K20" s="19">
        <v>4.3157649253731343</v>
      </c>
      <c r="L20" s="19">
        <v>4.3125</v>
      </c>
      <c r="M20" s="19">
        <v>4.4192708333333366</v>
      </c>
      <c r="N20" s="19">
        <v>4.323004201680674</v>
      </c>
      <c r="O20" s="24">
        <v>4.6198770491803272</v>
      </c>
      <c r="P20" s="75">
        <v>4.5</v>
      </c>
      <c r="Q20" s="61" t="s">
        <v>66</v>
      </c>
    </row>
    <row r="21" spans="1:17" s="2" customFormat="1" ht="24.75" customHeight="1">
      <c r="A21" s="8" t="s">
        <v>10</v>
      </c>
      <c r="B21" s="63">
        <f t="shared" ref="B21:M21" si="0">B20*20</f>
        <v>71.5</v>
      </c>
      <c r="C21" s="63">
        <f t="shared" si="0"/>
        <v>88.25</v>
      </c>
      <c r="D21" s="61" t="s">
        <v>66</v>
      </c>
      <c r="E21" s="63">
        <f t="shared" si="0"/>
        <v>82.777777777777786</v>
      </c>
      <c r="F21" s="63">
        <f t="shared" si="0"/>
        <v>89.398148148148152</v>
      </c>
      <c r="G21" s="63">
        <f t="shared" si="0"/>
        <v>67.34375</v>
      </c>
      <c r="H21" s="61" t="s">
        <v>66</v>
      </c>
      <c r="I21" s="63">
        <f t="shared" si="0"/>
        <v>85.806962025316466</v>
      </c>
      <c r="J21" s="61" t="s">
        <v>66</v>
      </c>
      <c r="K21" s="63">
        <f t="shared" si="0"/>
        <v>86.315298507462686</v>
      </c>
      <c r="L21" s="63">
        <f t="shared" si="0"/>
        <v>86.25</v>
      </c>
      <c r="M21" s="63">
        <f t="shared" si="0"/>
        <v>88.385416666666728</v>
      </c>
      <c r="N21" s="63">
        <f t="shared" ref="N21" si="1">N20*20</f>
        <v>86.460084033613484</v>
      </c>
      <c r="O21" s="63">
        <f>O20*20</f>
        <v>92.397540983606547</v>
      </c>
      <c r="P21" s="63">
        <f>P20*20</f>
        <v>90</v>
      </c>
      <c r="Q21" s="61" t="s">
        <v>66</v>
      </c>
    </row>
    <row r="22" spans="1:17">
      <c r="A22" s="16" t="s">
        <v>44</v>
      </c>
      <c r="B22" s="62">
        <v>70</v>
      </c>
      <c r="C22" s="62">
        <v>100</v>
      </c>
      <c r="D22" s="79" t="s">
        <v>67</v>
      </c>
      <c r="E22" s="62">
        <v>100</v>
      </c>
      <c r="F22" s="22">
        <v>92.592592592592595</v>
      </c>
      <c r="G22" s="62">
        <v>75</v>
      </c>
      <c r="H22" s="79" t="s">
        <v>67</v>
      </c>
      <c r="I22" s="62">
        <v>98.734177215189874</v>
      </c>
      <c r="J22" s="79" t="s">
        <v>67</v>
      </c>
      <c r="K22" s="62">
        <v>97.014925373134332</v>
      </c>
      <c r="L22" s="62">
        <v>100</v>
      </c>
      <c r="M22" s="62">
        <v>99.166666666666671</v>
      </c>
      <c r="N22" s="62">
        <v>100</v>
      </c>
      <c r="O22" s="77">
        <v>96.721311475409834</v>
      </c>
      <c r="P22" s="62">
        <v>100</v>
      </c>
      <c r="Q22" s="21" t="s">
        <v>67</v>
      </c>
    </row>
    <row r="24" spans="1:17" ht="24" customHeight="1"/>
    <row r="25" spans="1:17" ht="59.25" customHeight="1">
      <c r="A25" s="6" t="s">
        <v>0</v>
      </c>
      <c r="B25" s="1" t="s">
        <v>54</v>
      </c>
      <c r="C25" s="1" t="s">
        <v>95</v>
      </c>
      <c r="D25" s="1" t="s">
        <v>6</v>
      </c>
      <c r="E25" s="1" t="s">
        <v>7</v>
      </c>
      <c r="F25" s="1" t="s">
        <v>56</v>
      </c>
      <c r="G25" s="1" t="s">
        <v>62</v>
      </c>
      <c r="H25" s="1" t="s">
        <v>59</v>
      </c>
      <c r="I25" s="1" t="s">
        <v>11</v>
      </c>
      <c r="J25" s="1" t="s">
        <v>45</v>
      </c>
      <c r="K25" s="1" t="s">
        <v>71</v>
      </c>
      <c r="L25" s="1" t="s">
        <v>50</v>
      </c>
      <c r="M25" s="1" t="s">
        <v>55</v>
      </c>
      <c r="N25" s="1" t="s">
        <v>1</v>
      </c>
      <c r="O25" s="1" t="s">
        <v>35</v>
      </c>
      <c r="P25" s="1" t="s">
        <v>73</v>
      </c>
      <c r="Q25" s="1" t="s">
        <v>90</v>
      </c>
    </row>
    <row r="26" spans="1:17" s="26" customFormat="1" ht="24" customHeight="1" thickBot="1">
      <c r="A26" s="8" t="s">
        <v>8</v>
      </c>
      <c r="B26" s="61" t="s">
        <v>66</v>
      </c>
      <c r="C26" s="61">
        <v>4</v>
      </c>
      <c r="D26" s="61">
        <v>95</v>
      </c>
      <c r="E26" s="25">
        <v>36</v>
      </c>
      <c r="F26" s="25">
        <v>75</v>
      </c>
      <c r="G26" s="61">
        <v>21</v>
      </c>
      <c r="H26" s="61" t="s">
        <v>66</v>
      </c>
      <c r="I26" s="61" t="s">
        <v>66</v>
      </c>
      <c r="J26" s="25">
        <v>7</v>
      </c>
      <c r="K26" s="61" t="s">
        <v>66</v>
      </c>
      <c r="L26" s="25">
        <v>5</v>
      </c>
      <c r="M26" s="25">
        <v>2</v>
      </c>
      <c r="N26" s="25">
        <v>3</v>
      </c>
      <c r="O26" s="25">
        <v>24</v>
      </c>
      <c r="P26" s="61" t="s">
        <v>66</v>
      </c>
      <c r="Q26" s="61">
        <v>1</v>
      </c>
    </row>
    <row r="27" spans="1:17" ht="24" customHeight="1" thickBot="1">
      <c r="A27" s="89" t="s">
        <v>74</v>
      </c>
      <c r="B27" s="61" t="s">
        <v>66</v>
      </c>
      <c r="C27" s="75">
        <v>5</v>
      </c>
      <c r="D27" s="75">
        <v>4.389473684210528</v>
      </c>
      <c r="E27" s="19">
        <v>4.8888888888888884</v>
      </c>
      <c r="F27" s="24">
        <v>4.6000000000000014</v>
      </c>
      <c r="G27" s="88">
        <v>4.6666666666666661</v>
      </c>
      <c r="H27" s="61" t="s">
        <v>66</v>
      </c>
      <c r="I27" s="61" t="s">
        <v>66</v>
      </c>
      <c r="J27" s="19">
        <v>4.4285714285714288</v>
      </c>
      <c r="K27" s="61" t="s">
        <v>66</v>
      </c>
      <c r="L27" s="24">
        <v>5</v>
      </c>
      <c r="M27" s="19">
        <v>4.5</v>
      </c>
      <c r="N27" s="24">
        <v>3</v>
      </c>
      <c r="O27" s="24">
        <v>4.375</v>
      </c>
      <c r="P27" s="61" t="s">
        <v>66</v>
      </c>
      <c r="Q27" s="75">
        <v>5</v>
      </c>
    </row>
    <row r="28" spans="1:17" ht="24" customHeight="1" thickBot="1">
      <c r="A28" s="90" t="s">
        <v>75</v>
      </c>
      <c r="B28" s="61" t="s">
        <v>66</v>
      </c>
      <c r="C28" s="75">
        <v>5</v>
      </c>
      <c r="D28" s="75">
        <v>4.4105263157894745</v>
      </c>
      <c r="E28" s="19">
        <v>4.8055555555555545</v>
      </c>
      <c r="F28" s="24">
        <v>4.5866666666666678</v>
      </c>
      <c r="G28" s="88">
        <v>4.7142857142857135</v>
      </c>
      <c r="H28" s="61" t="s">
        <v>66</v>
      </c>
      <c r="I28" s="61" t="s">
        <v>66</v>
      </c>
      <c r="J28" s="19">
        <v>4.4285714285714288</v>
      </c>
      <c r="K28" s="61" t="s">
        <v>66</v>
      </c>
      <c r="L28" s="24">
        <v>4.8</v>
      </c>
      <c r="M28" s="19">
        <v>4.5</v>
      </c>
      <c r="N28" s="24">
        <v>3</v>
      </c>
      <c r="O28" s="24">
        <v>4.375</v>
      </c>
      <c r="P28" s="61" t="s">
        <v>66</v>
      </c>
      <c r="Q28" s="75">
        <v>5</v>
      </c>
    </row>
    <row r="29" spans="1:17" ht="24" customHeight="1" thickBot="1">
      <c r="A29" s="90" t="s">
        <v>76</v>
      </c>
      <c r="B29" s="61" t="s">
        <v>66</v>
      </c>
      <c r="C29" s="75">
        <v>5</v>
      </c>
      <c r="D29" s="75">
        <v>4.4210526315789496</v>
      </c>
      <c r="E29" s="19">
        <v>4.8333333333333321</v>
      </c>
      <c r="F29" s="24">
        <v>4.5199999999999978</v>
      </c>
      <c r="G29" s="88">
        <v>4.6666666666666661</v>
      </c>
      <c r="H29" s="61" t="s">
        <v>66</v>
      </c>
      <c r="I29" s="61" t="s">
        <v>66</v>
      </c>
      <c r="J29" s="19">
        <v>4.4285714285714288</v>
      </c>
      <c r="K29" s="61" t="s">
        <v>66</v>
      </c>
      <c r="L29" s="24">
        <v>4.5999999999999996</v>
      </c>
      <c r="M29" s="19">
        <v>4.5</v>
      </c>
      <c r="N29" s="24">
        <v>3</v>
      </c>
      <c r="O29" s="24">
        <v>4.375</v>
      </c>
      <c r="P29" s="61" t="s">
        <v>66</v>
      </c>
      <c r="Q29" s="75">
        <v>5</v>
      </c>
    </row>
    <row r="30" spans="1:17" ht="24" customHeight="1" thickBot="1">
      <c r="A30" s="90" t="s">
        <v>77</v>
      </c>
      <c r="B30" s="61" t="s">
        <v>66</v>
      </c>
      <c r="C30" s="75">
        <v>5</v>
      </c>
      <c r="D30" s="75">
        <v>4.3999999999999995</v>
      </c>
      <c r="E30" s="19">
        <v>4.8333333333333339</v>
      </c>
      <c r="F30" s="24">
        <v>4.5600000000000005</v>
      </c>
      <c r="G30" s="88">
        <v>4.7142857142857135</v>
      </c>
      <c r="H30" s="61" t="s">
        <v>66</v>
      </c>
      <c r="I30" s="61" t="s">
        <v>66</v>
      </c>
      <c r="J30" s="19">
        <v>4.5714285714285712</v>
      </c>
      <c r="K30" s="61" t="s">
        <v>66</v>
      </c>
      <c r="L30" s="24">
        <v>4.5999999999999996</v>
      </c>
      <c r="M30" s="19">
        <v>4.5</v>
      </c>
      <c r="N30" s="24">
        <v>3.3333333333333335</v>
      </c>
      <c r="O30" s="24">
        <v>4.375</v>
      </c>
      <c r="P30" s="61" t="s">
        <v>66</v>
      </c>
      <c r="Q30" s="75">
        <v>5</v>
      </c>
    </row>
    <row r="31" spans="1:17" ht="24" customHeight="1" thickBot="1">
      <c r="A31" s="90" t="s">
        <v>78</v>
      </c>
      <c r="B31" s="61" t="s">
        <v>66</v>
      </c>
      <c r="C31" s="75">
        <v>5</v>
      </c>
      <c r="D31" s="75">
        <v>4.242105263157895</v>
      </c>
      <c r="E31" s="19">
        <v>4.7777777777777768</v>
      </c>
      <c r="F31" s="24">
        <v>4.4533333333333323</v>
      </c>
      <c r="G31" s="88">
        <v>4.7142857142857135</v>
      </c>
      <c r="H31" s="61" t="s">
        <v>66</v>
      </c>
      <c r="I31" s="61" t="s">
        <v>66</v>
      </c>
      <c r="J31" s="19">
        <v>4.5714285714285712</v>
      </c>
      <c r="K31" s="61" t="s">
        <v>66</v>
      </c>
      <c r="L31" s="24">
        <v>4.5999999999999996</v>
      </c>
      <c r="M31" s="19">
        <v>4</v>
      </c>
      <c r="N31" s="24">
        <v>3</v>
      </c>
      <c r="O31" s="24">
        <v>4.375</v>
      </c>
      <c r="P31" s="61" t="s">
        <v>66</v>
      </c>
      <c r="Q31" s="75">
        <v>4</v>
      </c>
    </row>
    <row r="32" spans="1:17" ht="24" customHeight="1" thickBot="1">
      <c r="A32" s="90" t="s">
        <v>79</v>
      </c>
      <c r="B32" s="61" t="s">
        <v>66</v>
      </c>
      <c r="C32" s="75">
        <v>5</v>
      </c>
      <c r="D32" s="75">
        <v>4.389473684210528</v>
      </c>
      <c r="E32" s="19">
        <v>4.8333333333333339</v>
      </c>
      <c r="F32" s="24">
        <v>4.5199999999999978</v>
      </c>
      <c r="G32" s="88">
        <v>4.6666666666666661</v>
      </c>
      <c r="H32" s="61" t="s">
        <v>66</v>
      </c>
      <c r="I32" s="61" t="s">
        <v>66</v>
      </c>
      <c r="J32" s="19">
        <v>4.7142857142857135</v>
      </c>
      <c r="K32" s="61" t="s">
        <v>66</v>
      </c>
      <c r="L32" s="24">
        <v>5</v>
      </c>
      <c r="M32" s="19">
        <v>4</v>
      </c>
      <c r="N32" s="24">
        <v>3</v>
      </c>
      <c r="O32" s="24">
        <v>4.4166666666666679</v>
      </c>
      <c r="P32" s="61" t="s">
        <v>66</v>
      </c>
      <c r="Q32" s="75">
        <v>5</v>
      </c>
    </row>
    <row r="33" spans="1:17" ht="24" customHeight="1" thickBot="1">
      <c r="A33" s="90" t="s">
        <v>80</v>
      </c>
      <c r="B33" s="61" t="s">
        <v>66</v>
      </c>
      <c r="C33" s="75">
        <v>5</v>
      </c>
      <c r="D33" s="75">
        <v>4.3263157894736839</v>
      </c>
      <c r="E33" s="19">
        <v>4.8055555555555554</v>
      </c>
      <c r="F33" s="24">
        <v>4.6000000000000005</v>
      </c>
      <c r="G33" s="88">
        <v>4.7142857142857135</v>
      </c>
      <c r="H33" s="61" t="s">
        <v>66</v>
      </c>
      <c r="I33" s="61" t="s">
        <v>66</v>
      </c>
      <c r="J33" s="19">
        <v>4.8571428571428568</v>
      </c>
      <c r="K33" s="61" t="s">
        <v>66</v>
      </c>
      <c r="L33" s="24">
        <v>4.8</v>
      </c>
      <c r="M33" s="19">
        <v>4.5</v>
      </c>
      <c r="N33" s="24">
        <v>3</v>
      </c>
      <c r="O33" s="24">
        <v>4.4166666666666679</v>
      </c>
      <c r="P33" s="61" t="s">
        <v>66</v>
      </c>
      <c r="Q33" s="75">
        <v>5</v>
      </c>
    </row>
    <row r="34" spans="1:17" ht="24" customHeight="1" thickBot="1">
      <c r="A34" s="90" t="s">
        <v>81</v>
      </c>
      <c r="B34" s="61" t="s">
        <v>66</v>
      </c>
      <c r="C34" s="75">
        <v>5</v>
      </c>
      <c r="D34" s="75">
        <v>4.3157894736842124</v>
      </c>
      <c r="E34" s="19">
        <v>4.7499999999999991</v>
      </c>
      <c r="F34" s="24">
        <v>4.4933333333333305</v>
      </c>
      <c r="G34" s="88">
        <v>4.6190476190476195</v>
      </c>
      <c r="H34" s="61" t="s">
        <v>66</v>
      </c>
      <c r="I34" s="61" t="s">
        <v>66</v>
      </c>
      <c r="J34" s="19">
        <v>4.5714285714285712</v>
      </c>
      <c r="K34" s="61" t="s">
        <v>66</v>
      </c>
      <c r="L34" s="24">
        <v>5</v>
      </c>
      <c r="M34" s="19">
        <v>4.5</v>
      </c>
      <c r="N34" s="24">
        <v>3</v>
      </c>
      <c r="O34" s="24">
        <v>4.4166666666666679</v>
      </c>
      <c r="P34" s="61" t="s">
        <v>66</v>
      </c>
      <c r="Q34" s="75">
        <v>5</v>
      </c>
    </row>
    <row r="35" spans="1:17" ht="24" customHeight="1" thickBot="1">
      <c r="A35" s="90" t="s">
        <v>82</v>
      </c>
      <c r="B35" s="61" t="s">
        <v>66</v>
      </c>
      <c r="C35" s="75">
        <v>5</v>
      </c>
      <c r="D35" s="75">
        <v>4.4736842105263159</v>
      </c>
      <c r="E35" s="19">
        <v>4.8333333333333348</v>
      </c>
      <c r="F35" s="24">
        <v>4.613333333333336</v>
      </c>
      <c r="G35" s="88">
        <v>4.6190476190476186</v>
      </c>
      <c r="H35" s="61" t="s">
        <v>66</v>
      </c>
      <c r="I35" s="61" t="s">
        <v>66</v>
      </c>
      <c r="J35" s="19">
        <v>4.8571428571428568</v>
      </c>
      <c r="K35" s="61" t="s">
        <v>66</v>
      </c>
      <c r="L35" s="24">
        <v>5</v>
      </c>
      <c r="M35" s="19">
        <v>4.5</v>
      </c>
      <c r="N35" s="24">
        <v>3</v>
      </c>
      <c r="O35" s="24">
        <v>4.375</v>
      </c>
      <c r="P35" s="61" t="s">
        <v>66</v>
      </c>
      <c r="Q35" s="75">
        <v>5</v>
      </c>
    </row>
    <row r="36" spans="1:17" ht="24" customHeight="1" thickBot="1">
      <c r="A36" s="90" t="s">
        <v>83</v>
      </c>
      <c r="B36" s="61" t="s">
        <v>66</v>
      </c>
      <c r="C36" s="75">
        <v>5</v>
      </c>
      <c r="D36" s="75">
        <v>4.4210526315789442</v>
      </c>
      <c r="E36" s="19">
        <v>4.833333333333333</v>
      </c>
      <c r="F36" s="24">
        <v>4.5866666666666687</v>
      </c>
      <c r="G36" s="88">
        <v>4.6666666666666661</v>
      </c>
      <c r="H36" s="61" t="s">
        <v>66</v>
      </c>
      <c r="I36" s="61" t="s">
        <v>66</v>
      </c>
      <c r="J36" s="19">
        <v>4.7142857142857135</v>
      </c>
      <c r="K36" s="61" t="s">
        <v>66</v>
      </c>
      <c r="L36" s="24">
        <v>4.8</v>
      </c>
      <c r="M36" s="19">
        <v>4.5</v>
      </c>
      <c r="N36" s="24">
        <v>3</v>
      </c>
      <c r="O36" s="24">
        <v>4.375</v>
      </c>
      <c r="P36" s="61" t="s">
        <v>66</v>
      </c>
      <c r="Q36" s="75">
        <v>5</v>
      </c>
    </row>
    <row r="37" spans="1:17" ht="24" customHeight="1" thickBot="1">
      <c r="A37" s="90" t="s">
        <v>84</v>
      </c>
      <c r="B37" s="61" t="s">
        <v>66</v>
      </c>
      <c r="C37" s="75">
        <v>5</v>
      </c>
      <c r="D37" s="75">
        <v>4.4105263157894745</v>
      </c>
      <c r="E37" s="19">
        <v>4.7777777777777777</v>
      </c>
      <c r="F37" s="24">
        <v>4.6000000000000005</v>
      </c>
      <c r="G37" s="88">
        <v>4.6190476190476195</v>
      </c>
      <c r="H37" s="61" t="s">
        <v>66</v>
      </c>
      <c r="I37" s="61" t="s">
        <v>66</v>
      </c>
      <c r="J37" s="19">
        <v>4.5714285714285712</v>
      </c>
      <c r="K37" s="61" t="s">
        <v>66</v>
      </c>
      <c r="L37" s="24">
        <v>4.5999999999999996</v>
      </c>
      <c r="M37" s="19">
        <v>4.5</v>
      </c>
      <c r="N37" s="24">
        <v>3</v>
      </c>
      <c r="O37" s="24">
        <v>4.5416666666666696</v>
      </c>
      <c r="P37" s="61" t="s">
        <v>66</v>
      </c>
      <c r="Q37" s="75">
        <v>5</v>
      </c>
    </row>
    <row r="38" spans="1:17" ht="24" customHeight="1" thickBot="1">
      <c r="A38" s="90" t="s">
        <v>85</v>
      </c>
      <c r="B38" s="61" t="s">
        <v>66</v>
      </c>
      <c r="C38" s="75">
        <v>5</v>
      </c>
      <c r="D38" s="75">
        <v>4.4947368421052643</v>
      </c>
      <c r="E38" s="19">
        <v>4.8888888888888884</v>
      </c>
      <c r="F38" s="24">
        <v>4.5866666666666678</v>
      </c>
      <c r="G38" s="88">
        <v>4.6666666666666661</v>
      </c>
      <c r="H38" s="61" t="s">
        <v>66</v>
      </c>
      <c r="I38" s="61" t="s">
        <v>66</v>
      </c>
      <c r="J38" s="19">
        <v>4.8571428571428568</v>
      </c>
      <c r="K38" s="61" t="s">
        <v>66</v>
      </c>
      <c r="L38" s="24">
        <v>4.8</v>
      </c>
      <c r="M38" s="19">
        <v>4.5</v>
      </c>
      <c r="N38" s="24">
        <v>3</v>
      </c>
      <c r="O38" s="24">
        <v>4.4583333333333339</v>
      </c>
      <c r="P38" s="61" t="s">
        <v>66</v>
      </c>
      <c r="Q38" s="75">
        <v>5</v>
      </c>
    </row>
    <row r="39" spans="1:17" ht="24" customHeight="1" thickBot="1">
      <c r="A39" s="90" t="s">
        <v>86</v>
      </c>
      <c r="B39" s="61" t="s">
        <v>66</v>
      </c>
      <c r="C39" s="75">
        <v>5</v>
      </c>
      <c r="D39" s="75">
        <v>4.4315789473684228</v>
      </c>
      <c r="E39" s="19">
        <v>4.8333333333333339</v>
      </c>
      <c r="F39" s="24">
        <v>4.4933333333333314</v>
      </c>
      <c r="G39" s="88">
        <v>4.6666666666666661</v>
      </c>
      <c r="H39" s="61" t="s">
        <v>66</v>
      </c>
      <c r="I39" s="61" t="s">
        <v>66</v>
      </c>
      <c r="J39" s="19">
        <v>4.8571428571428568</v>
      </c>
      <c r="K39" s="61" t="s">
        <v>66</v>
      </c>
      <c r="L39" s="24">
        <v>4.8</v>
      </c>
      <c r="M39" s="19">
        <v>4.5</v>
      </c>
      <c r="N39" s="24">
        <v>3</v>
      </c>
      <c r="O39" s="24">
        <v>4.4166666666666679</v>
      </c>
      <c r="P39" s="61" t="s">
        <v>66</v>
      </c>
      <c r="Q39" s="75">
        <v>5</v>
      </c>
    </row>
    <row r="40" spans="1:17" ht="24" customHeight="1" thickBot="1">
      <c r="A40" s="90" t="s">
        <v>87</v>
      </c>
      <c r="B40" s="61" t="s">
        <v>66</v>
      </c>
      <c r="C40" s="75">
        <v>5</v>
      </c>
      <c r="D40" s="75">
        <v>4.3789473684210529</v>
      </c>
      <c r="E40" s="19">
        <v>4.8055555555555545</v>
      </c>
      <c r="F40" s="24">
        <v>4.5866666666666678</v>
      </c>
      <c r="G40" s="88">
        <v>4.5238095238095228</v>
      </c>
      <c r="H40" s="61" t="s">
        <v>66</v>
      </c>
      <c r="I40" s="61" t="s">
        <v>66</v>
      </c>
      <c r="J40" s="19">
        <v>4.7142857142857135</v>
      </c>
      <c r="K40" s="61" t="s">
        <v>66</v>
      </c>
      <c r="L40" s="24">
        <v>4.5999999999999996</v>
      </c>
      <c r="M40" s="19">
        <v>4</v>
      </c>
      <c r="N40" s="24">
        <v>3.3333333333333335</v>
      </c>
      <c r="O40" s="24">
        <v>4.4583333333333339</v>
      </c>
      <c r="P40" s="61" t="s">
        <v>66</v>
      </c>
      <c r="Q40" s="75">
        <v>5</v>
      </c>
    </row>
    <row r="41" spans="1:17" ht="24" customHeight="1" thickBot="1">
      <c r="A41" s="90" t="s">
        <v>88</v>
      </c>
      <c r="B41" s="61" t="s">
        <v>66</v>
      </c>
      <c r="C41" s="75">
        <v>5</v>
      </c>
      <c r="D41" s="75">
        <v>4.3894736842105297</v>
      </c>
      <c r="E41" s="19">
        <v>4.8611111111111116</v>
      </c>
      <c r="F41" s="24">
        <v>4.6399999999999997</v>
      </c>
      <c r="G41" s="88">
        <v>4.6190476190476195</v>
      </c>
      <c r="H41" s="61" t="s">
        <v>66</v>
      </c>
      <c r="I41" s="61" t="s">
        <v>66</v>
      </c>
      <c r="J41" s="19">
        <v>4.8571428571428568</v>
      </c>
      <c r="K41" s="61" t="s">
        <v>66</v>
      </c>
      <c r="L41" s="24">
        <v>4.5999999999999996</v>
      </c>
      <c r="M41" s="19">
        <v>4</v>
      </c>
      <c r="N41" s="24">
        <v>3.3333333333333335</v>
      </c>
      <c r="O41" s="24">
        <v>4.4583333333333339</v>
      </c>
      <c r="P41" s="61" t="s">
        <v>66</v>
      </c>
      <c r="Q41" s="75">
        <v>5</v>
      </c>
    </row>
    <row r="42" spans="1:17" ht="24" customHeight="1" thickBot="1">
      <c r="A42" s="90" t="s">
        <v>89</v>
      </c>
      <c r="B42" s="61" t="s">
        <v>66</v>
      </c>
      <c r="C42" s="75">
        <v>5</v>
      </c>
      <c r="D42" s="75">
        <v>4.3894736842105289</v>
      </c>
      <c r="E42" s="19">
        <v>4.9166666666666661</v>
      </c>
      <c r="F42" s="24">
        <v>4.6933333333333316</v>
      </c>
      <c r="G42" s="88">
        <v>4.6190476190476186</v>
      </c>
      <c r="H42" s="61" t="s">
        <v>66</v>
      </c>
      <c r="I42" s="61" t="s">
        <v>66</v>
      </c>
      <c r="J42" s="19">
        <v>4.8571428571428568</v>
      </c>
      <c r="K42" s="61" t="s">
        <v>66</v>
      </c>
      <c r="L42" s="24">
        <v>4.2</v>
      </c>
      <c r="M42" s="19">
        <v>4.5</v>
      </c>
      <c r="N42" s="24">
        <v>3.3333333333333335</v>
      </c>
      <c r="O42" s="24">
        <v>4.5000000000000009</v>
      </c>
      <c r="P42" s="61" t="s">
        <v>66</v>
      </c>
      <c r="Q42" s="75">
        <v>5</v>
      </c>
    </row>
    <row r="43" spans="1:17" ht="24" customHeight="1">
      <c r="A43" s="8" t="s">
        <v>9</v>
      </c>
      <c r="B43" s="61" t="s">
        <v>66</v>
      </c>
      <c r="C43" s="75">
        <v>5</v>
      </c>
      <c r="D43" s="75">
        <v>4.3927631578947359</v>
      </c>
      <c r="E43" s="19">
        <v>4.8298611111111125</v>
      </c>
      <c r="F43" s="24">
        <v>4.5708333333333355</v>
      </c>
      <c r="G43" s="88">
        <v>4.6547619047619042</v>
      </c>
      <c r="H43" s="61" t="s">
        <v>66</v>
      </c>
      <c r="I43" s="61" t="s">
        <v>66</v>
      </c>
      <c r="J43" s="19">
        <v>4.6785714285714288</v>
      </c>
      <c r="K43" s="61" t="s">
        <v>66</v>
      </c>
      <c r="L43" s="24">
        <v>4.7374999999999998</v>
      </c>
      <c r="M43" s="19">
        <v>4.375</v>
      </c>
      <c r="N43" s="24">
        <v>3.0833333333333335</v>
      </c>
      <c r="O43" s="24">
        <v>4.419270833333333</v>
      </c>
      <c r="P43" s="61" t="s">
        <v>66</v>
      </c>
      <c r="Q43" s="75">
        <v>4.9375</v>
      </c>
    </row>
    <row r="44" spans="1:17">
      <c r="A44" s="8" t="s">
        <v>10</v>
      </c>
      <c r="B44" s="61" t="s">
        <v>66</v>
      </c>
      <c r="C44" s="63">
        <f t="shared" ref="C44:J44" si="2">C43*20</f>
        <v>100</v>
      </c>
      <c r="D44" s="63">
        <f t="shared" si="2"/>
        <v>87.855263157894711</v>
      </c>
      <c r="E44" s="63">
        <f t="shared" si="2"/>
        <v>96.597222222222257</v>
      </c>
      <c r="F44" s="63">
        <f t="shared" si="2"/>
        <v>91.416666666666714</v>
      </c>
      <c r="G44" s="63">
        <f t="shared" si="2"/>
        <v>93.095238095238088</v>
      </c>
      <c r="H44" s="61" t="s">
        <v>66</v>
      </c>
      <c r="I44" s="61" t="s">
        <v>66</v>
      </c>
      <c r="J44" s="63">
        <f t="shared" si="2"/>
        <v>93.571428571428584</v>
      </c>
      <c r="K44" s="61" t="s">
        <v>66</v>
      </c>
      <c r="L44" s="63">
        <f>L43*20</f>
        <v>94.75</v>
      </c>
      <c r="M44" s="63">
        <f>M43*20</f>
        <v>87.5</v>
      </c>
      <c r="N44" s="63">
        <f>N43*20</f>
        <v>61.666666666666671</v>
      </c>
      <c r="O44" s="63">
        <f>O43*20</f>
        <v>88.385416666666657</v>
      </c>
      <c r="P44" s="61" t="s">
        <v>66</v>
      </c>
      <c r="Q44" s="63">
        <f>Q43*20</f>
        <v>98.75</v>
      </c>
    </row>
    <row r="45" spans="1:17">
      <c r="A45" s="76" t="s">
        <v>44</v>
      </c>
      <c r="B45" s="79" t="s">
        <v>67</v>
      </c>
      <c r="C45" s="77">
        <v>100</v>
      </c>
      <c r="D45" s="78">
        <v>95.78947368421052</v>
      </c>
      <c r="E45" s="77">
        <v>100</v>
      </c>
      <c r="F45" s="77">
        <v>98.666666666666671</v>
      </c>
      <c r="G45" s="77">
        <v>100</v>
      </c>
      <c r="H45" s="79" t="s">
        <v>67</v>
      </c>
      <c r="I45" s="79" t="s">
        <v>67</v>
      </c>
      <c r="J45" s="77">
        <v>100</v>
      </c>
      <c r="K45" s="79" t="s">
        <v>67</v>
      </c>
      <c r="L45" s="77">
        <v>100</v>
      </c>
      <c r="M45" s="77">
        <v>100</v>
      </c>
      <c r="N45" s="78">
        <v>66.666666666666671</v>
      </c>
      <c r="O45" s="78">
        <v>100</v>
      </c>
      <c r="P45" s="79" t="s">
        <v>67</v>
      </c>
      <c r="Q45" s="78">
        <v>100</v>
      </c>
    </row>
    <row r="47" spans="1:17" ht="24" customHeight="1"/>
    <row r="48" spans="1:17" s="14" customFormat="1" ht="24" customHeight="1">
      <c r="A48" s="6" t="s">
        <v>0</v>
      </c>
      <c r="B48" s="5" t="s">
        <v>46</v>
      </c>
      <c r="C48" s="5" t="s">
        <v>12</v>
      </c>
      <c r="D48" s="5" t="s">
        <v>48</v>
      </c>
      <c r="E48" s="5" t="s">
        <v>91</v>
      </c>
      <c r="F48" s="5" t="s">
        <v>14</v>
      </c>
      <c r="G48" s="5" t="s">
        <v>94</v>
      </c>
      <c r="H48" s="17" t="s">
        <v>52</v>
      </c>
      <c r="I48" s="5" t="s">
        <v>15</v>
      </c>
      <c r="J48" s="5" t="s">
        <v>16</v>
      </c>
      <c r="K48" s="5" t="s">
        <v>17</v>
      </c>
      <c r="L48" s="5" t="s">
        <v>18</v>
      </c>
      <c r="M48" s="5" t="s">
        <v>19</v>
      </c>
      <c r="N48" s="5" t="s">
        <v>47</v>
      </c>
      <c r="O48" s="5" t="s">
        <v>20</v>
      </c>
      <c r="P48" s="5" t="s">
        <v>21</v>
      </c>
    </row>
    <row r="49" spans="1:16" s="26" customFormat="1" ht="24" customHeight="1" thickBot="1">
      <c r="A49" s="8" t="s">
        <v>8</v>
      </c>
      <c r="B49" s="25">
        <f>[1]IPD!$B$638</f>
        <v>26</v>
      </c>
      <c r="C49" s="31">
        <v>29</v>
      </c>
      <c r="D49" s="25">
        <v>18</v>
      </c>
      <c r="E49" s="25">
        <v>9</v>
      </c>
      <c r="F49" s="25">
        <v>20</v>
      </c>
      <c r="G49" s="25">
        <v>6</v>
      </c>
      <c r="H49" s="61" t="s">
        <v>66</v>
      </c>
      <c r="I49" s="25">
        <v>56</v>
      </c>
      <c r="J49" s="25">
        <v>80</v>
      </c>
      <c r="K49" s="61">
        <v>5</v>
      </c>
      <c r="L49" s="27">
        <v>54</v>
      </c>
      <c r="M49" s="28">
        <v>44</v>
      </c>
      <c r="N49" s="25">
        <v>31</v>
      </c>
      <c r="O49" s="61" t="s">
        <v>66</v>
      </c>
      <c r="P49" s="25">
        <v>50</v>
      </c>
    </row>
    <row r="50" spans="1:16" ht="24" customHeight="1" thickBot="1">
      <c r="A50" s="89" t="s">
        <v>74</v>
      </c>
      <c r="B50" s="20">
        <v>4.5</v>
      </c>
      <c r="C50" s="32">
        <v>4.206896551724137</v>
      </c>
      <c r="D50" s="20">
        <v>4.7777777777777786</v>
      </c>
      <c r="E50" s="20">
        <v>4.7777777777777768</v>
      </c>
      <c r="F50" s="20">
        <v>4.3499999999999996</v>
      </c>
      <c r="G50" s="20">
        <v>4.5</v>
      </c>
      <c r="H50" s="61" t="s">
        <v>66</v>
      </c>
      <c r="I50" s="20">
        <v>4.2321428571428568</v>
      </c>
      <c r="J50" s="20">
        <v>4.6375000000000028</v>
      </c>
      <c r="K50" s="75">
        <v>4.5999999999999996</v>
      </c>
      <c r="L50" s="20">
        <v>4.5740740740740735</v>
      </c>
      <c r="M50" s="20">
        <v>4.5227272727272725</v>
      </c>
      <c r="N50" s="20">
        <v>4.6129032258064511</v>
      </c>
      <c r="O50" s="61" t="s">
        <v>66</v>
      </c>
      <c r="P50" s="23">
        <v>4.5999999999999996</v>
      </c>
    </row>
    <row r="51" spans="1:16" ht="24" customHeight="1" thickBot="1">
      <c r="A51" s="90" t="s">
        <v>75</v>
      </c>
      <c r="B51" s="20">
        <v>4.5384615384615383</v>
      </c>
      <c r="C51" s="32">
        <v>4.2068965517241388</v>
      </c>
      <c r="D51" s="20">
        <v>4.7777777777777777</v>
      </c>
      <c r="E51" s="20">
        <v>4.666666666666667</v>
      </c>
      <c r="F51" s="20">
        <v>4.3999999999999986</v>
      </c>
      <c r="G51" s="20">
        <v>4.3333333333333339</v>
      </c>
      <c r="H51" s="61" t="s">
        <v>66</v>
      </c>
      <c r="I51" s="20">
        <v>4.2857142857142865</v>
      </c>
      <c r="J51" s="20">
        <v>4.6375000000000037</v>
      </c>
      <c r="K51" s="75">
        <v>4.5999999999999996</v>
      </c>
      <c r="L51" s="20">
        <v>4.4999999999999991</v>
      </c>
      <c r="M51" s="20">
        <v>4.5227272727272725</v>
      </c>
      <c r="N51" s="20">
        <v>4.5806451612903221</v>
      </c>
      <c r="O51" s="61" t="s">
        <v>66</v>
      </c>
      <c r="P51" s="23">
        <v>4.66</v>
      </c>
    </row>
    <row r="52" spans="1:16" ht="24" customHeight="1" thickBot="1">
      <c r="A52" s="90" t="s">
        <v>76</v>
      </c>
      <c r="B52" s="20">
        <v>4.5384615384615383</v>
      </c>
      <c r="C52" s="32">
        <v>4.2413793103448265</v>
      </c>
      <c r="D52" s="20">
        <v>4.6666666666666661</v>
      </c>
      <c r="E52" s="20">
        <v>4.8888888888888893</v>
      </c>
      <c r="F52" s="20">
        <v>4.5000000000000009</v>
      </c>
      <c r="G52" s="20">
        <v>4.3333333333333339</v>
      </c>
      <c r="H52" s="61" t="s">
        <v>66</v>
      </c>
      <c r="I52" s="20">
        <v>4.2857142857142865</v>
      </c>
      <c r="J52" s="20">
        <v>4.5249999999999977</v>
      </c>
      <c r="K52" s="75">
        <v>4.5999999999999996</v>
      </c>
      <c r="L52" s="20">
        <v>4.4814814814814801</v>
      </c>
      <c r="M52" s="20">
        <v>4.5681818181818183</v>
      </c>
      <c r="N52" s="20">
        <v>4.6129032258064511</v>
      </c>
      <c r="O52" s="61" t="s">
        <v>66</v>
      </c>
      <c r="P52" s="23">
        <v>4.5399999999999983</v>
      </c>
    </row>
    <row r="53" spans="1:16" ht="24" customHeight="1" thickBot="1">
      <c r="A53" s="90" t="s">
        <v>77</v>
      </c>
      <c r="B53" s="20">
        <v>4.4615384615384608</v>
      </c>
      <c r="C53" s="32">
        <v>4.206896551724137</v>
      </c>
      <c r="D53" s="20">
        <v>4.7222222222222223</v>
      </c>
      <c r="E53" s="20">
        <v>4.7777777777777768</v>
      </c>
      <c r="F53" s="20">
        <v>4.5</v>
      </c>
      <c r="G53" s="20">
        <v>4.3333333333333339</v>
      </c>
      <c r="H53" s="61" t="s">
        <v>66</v>
      </c>
      <c r="I53" s="20">
        <v>4.3035714285714297</v>
      </c>
      <c r="J53" s="20">
        <v>4.5624999999999991</v>
      </c>
      <c r="K53" s="75">
        <v>4.5999999999999996</v>
      </c>
      <c r="L53" s="20">
        <v>4.5370370370370363</v>
      </c>
      <c r="M53" s="20">
        <v>4.5</v>
      </c>
      <c r="N53" s="20">
        <v>4.6451612903225783</v>
      </c>
      <c r="O53" s="61" t="s">
        <v>66</v>
      </c>
      <c r="P53" s="23">
        <v>4.58</v>
      </c>
    </row>
    <row r="54" spans="1:16" ht="24" customHeight="1" thickBot="1">
      <c r="A54" s="90" t="s">
        <v>78</v>
      </c>
      <c r="B54" s="20">
        <v>4.5384615384615383</v>
      </c>
      <c r="C54" s="32">
        <v>4.2413793103448265</v>
      </c>
      <c r="D54" s="20">
        <v>4.9444444444444446</v>
      </c>
      <c r="E54" s="20">
        <v>4.7777777777777768</v>
      </c>
      <c r="F54" s="20">
        <v>4.5999999999999988</v>
      </c>
      <c r="G54" s="20">
        <v>4.5</v>
      </c>
      <c r="H54" s="61" t="s">
        <v>66</v>
      </c>
      <c r="I54" s="20">
        <v>4.2142857142857144</v>
      </c>
      <c r="J54" s="20">
        <v>4.5624999999999991</v>
      </c>
      <c r="K54" s="75">
        <v>4.5999999999999996</v>
      </c>
      <c r="L54" s="20">
        <v>4.4259259259259247</v>
      </c>
      <c r="M54" s="20">
        <v>4.5000000000000009</v>
      </c>
      <c r="N54" s="20">
        <v>4.5806451612903221</v>
      </c>
      <c r="O54" s="61" t="s">
        <v>66</v>
      </c>
      <c r="P54" s="23">
        <v>4.4799999999999995</v>
      </c>
    </row>
    <row r="55" spans="1:16" ht="24" customHeight="1" thickBot="1">
      <c r="A55" s="90" t="s">
        <v>79</v>
      </c>
      <c r="B55" s="20">
        <v>4.4230769230769234</v>
      </c>
      <c r="C55" s="32">
        <v>4.275862068965516</v>
      </c>
      <c r="D55" s="20">
        <v>4.833333333333333</v>
      </c>
      <c r="E55" s="20">
        <v>5</v>
      </c>
      <c r="F55" s="20">
        <v>4.5499999999999989</v>
      </c>
      <c r="G55" s="20">
        <v>4</v>
      </c>
      <c r="H55" s="61" t="s">
        <v>66</v>
      </c>
      <c r="I55" s="20">
        <v>4.3571428571428568</v>
      </c>
      <c r="J55" s="20">
        <v>4.5374999999999988</v>
      </c>
      <c r="K55" s="75">
        <v>4.5999999999999996</v>
      </c>
      <c r="L55" s="20">
        <v>4.5370370370370372</v>
      </c>
      <c r="M55" s="20">
        <v>4.5681818181818183</v>
      </c>
      <c r="N55" s="20">
        <v>4.4838709677419368</v>
      </c>
      <c r="O55" s="61" t="s">
        <v>66</v>
      </c>
      <c r="P55" s="23">
        <v>4.620000000000001</v>
      </c>
    </row>
    <row r="56" spans="1:16" ht="24" customHeight="1" thickBot="1">
      <c r="A56" s="90" t="s">
        <v>80</v>
      </c>
      <c r="B56" s="20">
        <v>4.5</v>
      </c>
      <c r="C56" s="32">
        <v>4.3103448275862073</v>
      </c>
      <c r="D56" s="20">
        <v>4.8888888888888893</v>
      </c>
      <c r="E56" s="20">
        <v>4.8888888888888893</v>
      </c>
      <c r="F56" s="20">
        <v>4.6500000000000004</v>
      </c>
      <c r="G56" s="20">
        <v>4.3333333333333339</v>
      </c>
      <c r="H56" s="61" t="s">
        <v>66</v>
      </c>
      <c r="I56" s="20">
        <v>4.2500000000000009</v>
      </c>
      <c r="J56" s="20">
        <v>4.5874999999999995</v>
      </c>
      <c r="K56" s="75">
        <v>4.5999999999999996</v>
      </c>
      <c r="L56" s="20">
        <v>4.5555555555555571</v>
      </c>
      <c r="M56" s="20">
        <v>4.5909090909090917</v>
      </c>
      <c r="N56" s="20">
        <v>4.5806451612903221</v>
      </c>
      <c r="O56" s="61" t="s">
        <v>66</v>
      </c>
      <c r="P56" s="23">
        <v>4.6400000000000006</v>
      </c>
    </row>
    <row r="57" spans="1:16" ht="24" customHeight="1" thickBot="1">
      <c r="A57" s="90" t="s">
        <v>81</v>
      </c>
      <c r="B57" s="20">
        <v>4.4615384615384617</v>
      </c>
      <c r="C57" s="32">
        <v>4.275862068965516</v>
      </c>
      <c r="D57" s="20">
        <v>4.833333333333333</v>
      </c>
      <c r="E57" s="20">
        <v>5</v>
      </c>
      <c r="F57" s="20">
        <v>4.5</v>
      </c>
      <c r="G57" s="20">
        <v>4.5</v>
      </c>
      <c r="H57" s="61" t="s">
        <v>66</v>
      </c>
      <c r="I57" s="20">
        <v>4.2321428571428577</v>
      </c>
      <c r="J57" s="20">
        <v>4.5874999999999995</v>
      </c>
      <c r="K57" s="75">
        <v>4.8</v>
      </c>
      <c r="L57" s="20">
        <v>4.4814814814814801</v>
      </c>
      <c r="M57" s="20">
        <v>4.4545454545454506</v>
      </c>
      <c r="N57" s="20">
        <v>4.4516129032258069</v>
      </c>
      <c r="O57" s="61" t="s">
        <v>66</v>
      </c>
      <c r="P57" s="23">
        <v>4.6599999999999993</v>
      </c>
    </row>
    <row r="58" spans="1:16" ht="24" customHeight="1" thickBot="1">
      <c r="A58" s="90" t="s">
        <v>82</v>
      </c>
      <c r="B58" s="20">
        <v>4.5</v>
      </c>
      <c r="C58" s="32">
        <v>4.2413793103448265</v>
      </c>
      <c r="D58" s="20">
        <v>4.8888888888888893</v>
      </c>
      <c r="E58" s="20">
        <v>5</v>
      </c>
      <c r="F58" s="20">
        <v>4.5</v>
      </c>
      <c r="G58" s="20">
        <v>4.5</v>
      </c>
      <c r="H58" s="61" t="s">
        <v>66</v>
      </c>
      <c r="I58" s="20">
        <v>4.3392857142857144</v>
      </c>
      <c r="J58" s="20">
        <v>4.6375000000000028</v>
      </c>
      <c r="K58" s="75">
        <v>4.5999999999999996</v>
      </c>
      <c r="L58" s="20">
        <v>4.5370370370370363</v>
      </c>
      <c r="M58" s="20">
        <v>4.5227272727272725</v>
      </c>
      <c r="N58" s="20">
        <v>4.6774193548387091</v>
      </c>
      <c r="O58" s="61" t="s">
        <v>66</v>
      </c>
      <c r="P58" s="23">
        <v>4.6800000000000024</v>
      </c>
    </row>
    <row r="59" spans="1:16" ht="24" customHeight="1" thickBot="1">
      <c r="A59" s="90" t="s">
        <v>83</v>
      </c>
      <c r="B59" s="20">
        <v>4.5384615384615383</v>
      </c>
      <c r="C59" s="32">
        <v>4.2068965517241388</v>
      </c>
      <c r="D59" s="20">
        <v>4.8888888888888893</v>
      </c>
      <c r="E59" s="20">
        <v>4.8888888888888893</v>
      </c>
      <c r="F59" s="20">
        <v>4.5499999999999989</v>
      </c>
      <c r="G59" s="20">
        <v>4.5</v>
      </c>
      <c r="H59" s="61" t="s">
        <v>66</v>
      </c>
      <c r="I59" s="20">
        <v>4.3214285714285712</v>
      </c>
      <c r="J59" s="20">
        <v>4.5874999999999995</v>
      </c>
      <c r="K59" s="75">
        <v>4.5999999999999996</v>
      </c>
      <c r="L59" s="20">
        <v>4.5370370370370372</v>
      </c>
      <c r="M59" s="20">
        <v>4.5454545454545459</v>
      </c>
      <c r="N59" s="20">
        <v>4.6129032258064511</v>
      </c>
      <c r="O59" s="61" t="s">
        <v>66</v>
      </c>
      <c r="P59" s="23">
        <v>4.6399999999999997</v>
      </c>
    </row>
    <row r="60" spans="1:16" ht="24" customHeight="1" thickBot="1">
      <c r="A60" s="90" t="s">
        <v>84</v>
      </c>
      <c r="B60" s="20">
        <v>4.5</v>
      </c>
      <c r="C60" s="32">
        <v>4.2068965517241388</v>
      </c>
      <c r="D60" s="20">
        <v>4.8888888888888893</v>
      </c>
      <c r="E60" s="20">
        <v>5</v>
      </c>
      <c r="F60" s="20">
        <v>4.5499999999999989</v>
      </c>
      <c r="G60" s="20">
        <v>4.3333333333333339</v>
      </c>
      <c r="H60" s="61" t="s">
        <v>66</v>
      </c>
      <c r="I60" s="20">
        <v>4.2678571428571415</v>
      </c>
      <c r="J60" s="20">
        <v>4.6250000000000009</v>
      </c>
      <c r="K60" s="75">
        <v>4.5999999999999996</v>
      </c>
      <c r="L60" s="20">
        <v>4.5370370370370372</v>
      </c>
      <c r="M60" s="20">
        <v>4.6363636363636367</v>
      </c>
      <c r="N60" s="20">
        <v>4.5806451612903221</v>
      </c>
      <c r="O60" s="61" t="s">
        <v>66</v>
      </c>
      <c r="P60" s="23">
        <v>4.68</v>
      </c>
    </row>
    <row r="61" spans="1:16" ht="24" customHeight="1" thickBot="1">
      <c r="A61" s="90" t="s">
        <v>85</v>
      </c>
      <c r="B61" s="20">
        <v>4.4230769230769225</v>
      </c>
      <c r="C61" s="32">
        <v>4.1724137931034493</v>
      </c>
      <c r="D61" s="20">
        <v>4.833333333333333</v>
      </c>
      <c r="E61" s="20">
        <v>5</v>
      </c>
      <c r="F61" s="20">
        <v>4.5999999999999988</v>
      </c>
      <c r="G61" s="20">
        <v>4.5</v>
      </c>
      <c r="H61" s="61" t="s">
        <v>66</v>
      </c>
      <c r="I61" s="20">
        <v>4.2321428571428585</v>
      </c>
      <c r="J61" s="20">
        <v>4.5624999999999991</v>
      </c>
      <c r="K61" s="75">
        <v>4.5999999999999996</v>
      </c>
      <c r="L61" s="20">
        <v>4.555555555555558</v>
      </c>
      <c r="M61" s="20">
        <v>4.4772727272727275</v>
      </c>
      <c r="N61" s="20">
        <v>4.6129032258064511</v>
      </c>
      <c r="O61" s="61" t="s">
        <v>66</v>
      </c>
      <c r="P61" s="23">
        <v>4.5599999999999969</v>
      </c>
    </row>
    <row r="62" spans="1:16" ht="24" customHeight="1" thickBot="1">
      <c r="A62" s="90" t="s">
        <v>86</v>
      </c>
      <c r="B62" s="20">
        <v>4.4230769230769234</v>
      </c>
      <c r="C62" s="32">
        <v>4.1724137931034493</v>
      </c>
      <c r="D62" s="20">
        <v>4.8888888888888893</v>
      </c>
      <c r="E62" s="20">
        <v>5</v>
      </c>
      <c r="F62" s="20">
        <v>4.4499999999999993</v>
      </c>
      <c r="G62" s="20">
        <v>4.3333333333333339</v>
      </c>
      <c r="H62" s="61" t="s">
        <v>66</v>
      </c>
      <c r="I62" s="20">
        <v>4.2500000000000018</v>
      </c>
      <c r="J62" s="20">
        <v>4.5124999999999993</v>
      </c>
      <c r="K62" s="75">
        <v>4.5999999999999996</v>
      </c>
      <c r="L62" s="20">
        <v>4.5740740740740744</v>
      </c>
      <c r="M62" s="20">
        <v>4.5227272727272725</v>
      </c>
      <c r="N62" s="20">
        <v>4.5806451612903221</v>
      </c>
      <c r="O62" s="61" t="s">
        <v>66</v>
      </c>
      <c r="P62" s="23">
        <v>4.6000000000000005</v>
      </c>
    </row>
    <row r="63" spans="1:16" ht="24" customHeight="1" thickBot="1">
      <c r="A63" s="90" t="s">
        <v>87</v>
      </c>
      <c r="B63" s="20">
        <v>4.4230769230769234</v>
      </c>
      <c r="C63" s="32">
        <v>4.2413793103448265</v>
      </c>
      <c r="D63" s="20">
        <v>4.7777777777777777</v>
      </c>
      <c r="E63" s="20">
        <v>4.8888888888888893</v>
      </c>
      <c r="F63" s="20">
        <v>4.3499999999999996</v>
      </c>
      <c r="G63" s="20">
        <v>4.3333333333333339</v>
      </c>
      <c r="H63" s="61" t="s">
        <v>66</v>
      </c>
      <c r="I63" s="20">
        <v>4.3392857142857144</v>
      </c>
      <c r="J63" s="20">
        <v>4.5874999999999986</v>
      </c>
      <c r="K63" s="75">
        <v>4.5999999999999996</v>
      </c>
      <c r="L63" s="20">
        <v>4.5</v>
      </c>
      <c r="M63" s="20">
        <v>4.6363636363636367</v>
      </c>
      <c r="N63" s="20">
        <v>4.5483870967741939</v>
      </c>
      <c r="O63" s="61" t="s">
        <v>66</v>
      </c>
      <c r="P63" s="23">
        <v>4.5</v>
      </c>
    </row>
    <row r="64" spans="1:16" ht="24" customHeight="1" thickBot="1">
      <c r="A64" s="90" t="s">
        <v>88</v>
      </c>
      <c r="B64" s="20">
        <v>4.5</v>
      </c>
      <c r="C64" s="32">
        <v>4.2413793103448265</v>
      </c>
      <c r="D64" s="20">
        <v>4.833333333333333</v>
      </c>
      <c r="E64" s="20">
        <v>4.7777777777777768</v>
      </c>
      <c r="F64" s="20">
        <v>4.4499999999999993</v>
      </c>
      <c r="G64" s="20">
        <v>4.5</v>
      </c>
      <c r="H64" s="61" t="s">
        <v>66</v>
      </c>
      <c r="I64" s="20">
        <v>4.4285714285714279</v>
      </c>
      <c r="J64" s="20">
        <v>4.6250000000000009</v>
      </c>
      <c r="K64" s="75">
        <v>4.5999999999999996</v>
      </c>
      <c r="L64" s="20">
        <v>4.4999999999999991</v>
      </c>
      <c r="M64" s="20">
        <v>4.5454545454545459</v>
      </c>
      <c r="N64" s="20">
        <v>4.612903225806452</v>
      </c>
      <c r="O64" s="61" t="s">
        <v>66</v>
      </c>
      <c r="P64" s="23">
        <v>4.6400000000000006</v>
      </c>
    </row>
    <row r="65" spans="1:16" ht="24" customHeight="1" thickBot="1">
      <c r="A65" s="90" t="s">
        <v>89</v>
      </c>
      <c r="B65" s="20">
        <v>4.5384615384615392</v>
      </c>
      <c r="C65" s="32">
        <v>4.2068965517241388</v>
      </c>
      <c r="D65" s="20">
        <v>4.9444444444444446</v>
      </c>
      <c r="E65" s="20">
        <v>5</v>
      </c>
      <c r="F65" s="20">
        <v>4.4499999999999993</v>
      </c>
      <c r="G65" s="20">
        <v>4.5</v>
      </c>
      <c r="H65" s="61" t="s">
        <v>66</v>
      </c>
      <c r="I65" s="20">
        <v>4.3571428571428568</v>
      </c>
      <c r="J65" s="20">
        <v>4.6875</v>
      </c>
      <c r="K65" s="75">
        <v>4.5999999999999996</v>
      </c>
      <c r="L65" s="20">
        <v>4.5740740740740744</v>
      </c>
      <c r="M65" s="20">
        <v>4.6363636363636349</v>
      </c>
      <c r="N65" s="20">
        <v>4.7096774193548399</v>
      </c>
      <c r="O65" s="61" t="s">
        <v>66</v>
      </c>
      <c r="P65" s="23">
        <v>4.6800000000000015</v>
      </c>
    </row>
    <row r="66" spans="1:16" ht="24" customHeight="1">
      <c r="A66" s="8" t="s">
        <v>9</v>
      </c>
      <c r="B66" s="20">
        <v>4.4879807692307701</v>
      </c>
      <c r="C66" s="74">
        <v>4.2284482758620676</v>
      </c>
      <c r="D66" s="20">
        <v>4.8368055555555545</v>
      </c>
      <c r="E66" s="20">
        <v>4.895833333333333</v>
      </c>
      <c r="F66" s="20">
        <v>4.4968750000000002</v>
      </c>
      <c r="G66" s="20">
        <v>4.395833333333333</v>
      </c>
      <c r="H66" s="61" t="s">
        <v>66</v>
      </c>
      <c r="I66" s="20">
        <v>4.2935267857142865</v>
      </c>
      <c r="J66" s="20">
        <v>4.5914062500000039</v>
      </c>
      <c r="K66" s="75">
        <v>4.6124999999999998</v>
      </c>
      <c r="L66" s="20">
        <v>4.5254629629629637</v>
      </c>
      <c r="M66" s="20">
        <v>4.5468749999999982</v>
      </c>
      <c r="N66" s="20">
        <v>4.5927419354838719</v>
      </c>
      <c r="O66" s="61" t="s">
        <v>66</v>
      </c>
      <c r="P66" s="23">
        <v>4.6099999999999994</v>
      </c>
    </row>
    <row r="67" spans="1:16">
      <c r="A67" s="8" t="s">
        <v>10</v>
      </c>
      <c r="B67" s="63">
        <f t="shared" ref="B67:D67" si="3">B66*20</f>
        <v>89.759615384615401</v>
      </c>
      <c r="C67" s="63">
        <f t="shared" si="3"/>
        <v>84.568965517241352</v>
      </c>
      <c r="D67" s="63">
        <f t="shared" si="3"/>
        <v>96.736111111111086</v>
      </c>
      <c r="E67" s="63">
        <f>E66*20</f>
        <v>97.916666666666657</v>
      </c>
      <c r="F67" s="63">
        <f>F66*20</f>
        <v>89.9375</v>
      </c>
      <c r="G67" s="63">
        <f>G66*20</f>
        <v>87.916666666666657</v>
      </c>
      <c r="H67" s="61" t="s">
        <v>66</v>
      </c>
      <c r="I67" s="63">
        <f t="shared" ref="I67:N67" si="4">I66*20</f>
        <v>85.870535714285722</v>
      </c>
      <c r="J67" s="63">
        <f t="shared" si="4"/>
        <v>91.828125000000085</v>
      </c>
      <c r="K67" s="63">
        <f t="shared" si="4"/>
        <v>92.25</v>
      </c>
      <c r="L67" s="63">
        <f t="shared" si="4"/>
        <v>90.509259259259267</v>
      </c>
      <c r="M67" s="63">
        <f t="shared" si="4"/>
        <v>90.937499999999972</v>
      </c>
      <c r="N67" s="63">
        <f t="shared" si="4"/>
        <v>91.854838709677438</v>
      </c>
      <c r="O67" s="61" t="s">
        <v>66</v>
      </c>
      <c r="P67" s="63">
        <f>P66*20</f>
        <v>92.199999999999989</v>
      </c>
    </row>
    <row r="68" spans="1:16">
      <c r="A68" s="16" t="s">
        <v>44</v>
      </c>
      <c r="B68" s="62">
        <v>100</v>
      </c>
      <c r="C68" s="62">
        <v>100</v>
      </c>
      <c r="D68" s="62">
        <v>100</v>
      </c>
      <c r="E68" s="62">
        <v>100</v>
      </c>
      <c r="F68" s="62">
        <v>100</v>
      </c>
      <c r="G68" s="62">
        <v>100</v>
      </c>
      <c r="H68" s="79" t="s">
        <v>67</v>
      </c>
      <c r="I68" s="62">
        <v>98.21</v>
      </c>
      <c r="J68" s="64">
        <v>100</v>
      </c>
      <c r="K68" s="21">
        <v>80</v>
      </c>
      <c r="L68" s="62">
        <v>98.148148148148152</v>
      </c>
      <c r="M68" s="64">
        <v>100</v>
      </c>
      <c r="N68" s="64">
        <v>100</v>
      </c>
      <c r="O68" s="79" t="s">
        <v>67</v>
      </c>
      <c r="P68" s="64">
        <v>100</v>
      </c>
    </row>
    <row r="70" spans="1:16" ht="24" customHeight="1"/>
    <row r="71" spans="1:16" s="14" customFormat="1" ht="24" customHeight="1">
      <c r="A71" s="7" t="s">
        <v>0</v>
      </c>
      <c r="B71" s="5" t="s">
        <v>92</v>
      </c>
      <c r="C71" s="5" t="s">
        <v>93</v>
      </c>
      <c r="D71" s="5" t="s">
        <v>22</v>
      </c>
      <c r="E71" s="5" t="s">
        <v>23</v>
      </c>
      <c r="F71" s="5" t="s">
        <v>24</v>
      </c>
      <c r="G71" s="9" t="s">
        <v>25</v>
      </c>
      <c r="H71" s="5" t="s">
        <v>26</v>
      </c>
      <c r="I71" s="5" t="s">
        <v>27</v>
      </c>
      <c r="J71" s="5" t="s">
        <v>28</v>
      </c>
      <c r="K71" s="5" t="s">
        <v>29</v>
      </c>
      <c r="L71" s="5" t="s">
        <v>30</v>
      </c>
      <c r="M71" s="5" t="s">
        <v>31</v>
      </c>
      <c r="N71" s="5" t="s">
        <v>32</v>
      </c>
      <c r="O71" s="5" t="s">
        <v>13</v>
      </c>
      <c r="P71" s="5" t="s">
        <v>64</v>
      </c>
    </row>
    <row r="72" spans="1:16" s="26" customFormat="1" ht="24" customHeight="1" thickBot="1">
      <c r="A72" s="8" t="s">
        <v>8</v>
      </c>
      <c r="B72" s="61" t="s">
        <v>66</v>
      </c>
      <c r="C72" s="25">
        <v>78</v>
      </c>
      <c r="D72" s="25">
        <v>92</v>
      </c>
      <c r="E72" s="25">
        <v>39</v>
      </c>
      <c r="F72" s="25">
        <v>41</v>
      </c>
      <c r="G72" s="25">
        <v>33</v>
      </c>
      <c r="H72" s="25">
        <v>69</v>
      </c>
      <c r="I72" s="25">
        <v>25</v>
      </c>
      <c r="J72" s="25">
        <v>84</v>
      </c>
      <c r="K72" s="25">
        <v>52</v>
      </c>
      <c r="L72" s="25">
        <v>38</v>
      </c>
      <c r="M72" s="61" t="s">
        <v>66</v>
      </c>
      <c r="N72" s="61">
        <v>65</v>
      </c>
      <c r="O72" s="18">
        <v>35</v>
      </c>
      <c r="P72" s="61" t="s">
        <v>66</v>
      </c>
    </row>
    <row r="73" spans="1:16" ht="24" customHeight="1" thickBot="1">
      <c r="A73" s="89" t="s">
        <v>74</v>
      </c>
      <c r="B73" s="61" t="s">
        <v>66</v>
      </c>
      <c r="C73" s="20">
        <v>4.3974358974358969</v>
      </c>
      <c r="D73" s="20">
        <v>4.5434782608695672</v>
      </c>
      <c r="E73" s="20">
        <v>4.6666666666666661</v>
      </c>
      <c r="F73" s="20">
        <v>4.6829268292682933</v>
      </c>
      <c r="G73" s="20">
        <v>4.4848484848484853</v>
      </c>
      <c r="H73" s="20">
        <v>4.5652173913043468</v>
      </c>
      <c r="I73" s="20">
        <v>4.3600000000000003</v>
      </c>
      <c r="J73" s="20">
        <v>4.7738095238095246</v>
      </c>
      <c r="K73" s="20">
        <v>4.6923076923076925</v>
      </c>
      <c r="L73" s="20">
        <v>4.6578947368421044</v>
      </c>
      <c r="M73" s="61" t="s">
        <v>66</v>
      </c>
      <c r="N73" s="20">
        <v>4.6000000000000005</v>
      </c>
      <c r="O73" s="20">
        <v>4.5999999999999996</v>
      </c>
      <c r="P73" s="61" t="s">
        <v>66</v>
      </c>
    </row>
    <row r="74" spans="1:16" ht="24" customHeight="1" thickBot="1">
      <c r="A74" s="90" t="s">
        <v>75</v>
      </c>
      <c r="B74" s="61" t="s">
        <v>66</v>
      </c>
      <c r="C74" s="20">
        <v>4.4102564102564106</v>
      </c>
      <c r="D74" s="20">
        <v>4.5543478260869561</v>
      </c>
      <c r="E74" s="20">
        <v>4.5897435897435903</v>
      </c>
      <c r="F74" s="20">
        <v>4.7073170731707323</v>
      </c>
      <c r="G74" s="20">
        <v>4.5151515151515156</v>
      </c>
      <c r="H74" s="20">
        <v>4.5072463768115938</v>
      </c>
      <c r="I74" s="20">
        <v>4.28</v>
      </c>
      <c r="J74" s="20">
        <v>4.75</v>
      </c>
      <c r="K74" s="20">
        <v>4.7499999999999991</v>
      </c>
      <c r="L74" s="20">
        <v>4.6315789473684195</v>
      </c>
      <c r="M74" s="61" t="s">
        <v>66</v>
      </c>
      <c r="N74" s="20">
        <v>4.6461538461538456</v>
      </c>
      <c r="O74" s="20">
        <v>4.6000000000000005</v>
      </c>
      <c r="P74" s="61" t="s">
        <v>66</v>
      </c>
    </row>
    <row r="75" spans="1:16" ht="24" customHeight="1" thickBot="1">
      <c r="A75" s="90" t="s">
        <v>76</v>
      </c>
      <c r="B75" s="61" t="s">
        <v>66</v>
      </c>
      <c r="C75" s="20">
        <v>4.4230769230769216</v>
      </c>
      <c r="D75" s="20">
        <v>4.5217391304347805</v>
      </c>
      <c r="E75" s="20">
        <v>4.5641025641025639</v>
      </c>
      <c r="F75" s="20">
        <v>4.6829268292682933</v>
      </c>
      <c r="G75" s="20">
        <v>4.4545454545454541</v>
      </c>
      <c r="H75" s="20">
        <v>4.5072463768115947</v>
      </c>
      <c r="I75" s="20">
        <v>4.4000000000000004</v>
      </c>
      <c r="J75" s="20">
        <v>4.75</v>
      </c>
      <c r="K75" s="20">
        <v>4.7692307692307692</v>
      </c>
      <c r="L75" s="20">
        <v>4.6578947368421044</v>
      </c>
      <c r="M75" s="61" t="s">
        <v>66</v>
      </c>
      <c r="N75" s="20">
        <v>4.6769230769230772</v>
      </c>
      <c r="O75" s="20">
        <v>4.5142857142857142</v>
      </c>
      <c r="P75" s="61" t="s">
        <v>66</v>
      </c>
    </row>
    <row r="76" spans="1:16" ht="24" customHeight="1" thickBot="1">
      <c r="A76" s="90" t="s">
        <v>77</v>
      </c>
      <c r="B76" s="61" t="s">
        <v>66</v>
      </c>
      <c r="C76" s="20">
        <v>4.3717948717948705</v>
      </c>
      <c r="D76" s="20">
        <v>4.5108695652173898</v>
      </c>
      <c r="E76" s="20">
        <v>4.5641025641025639</v>
      </c>
      <c r="F76" s="20">
        <v>4.6829268292682933</v>
      </c>
      <c r="G76" s="20">
        <v>4.5454545454545459</v>
      </c>
      <c r="H76" s="20">
        <v>4.5072463768115956</v>
      </c>
      <c r="I76" s="20">
        <v>4.32</v>
      </c>
      <c r="J76" s="20">
        <v>4.7261904761904763</v>
      </c>
      <c r="K76" s="20">
        <v>4.7692307692307701</v>
      </c>
      <c r="L76" s="20">
        <v>4.6315789473684195</v>
      </c>
      <c r="M76" s="61" t="s">
        <v>66</v>
      </c>
      <c r="N76" s="20">
        <v>4.7076923076923096</v>
      </c>
      <c r="O76" s="20">
        <v>4.6285714285714281</v>
      </c>
      <c r="P76" s="61" t="s">
        <v>66</v>
      </c>
    </row>
    <row r="77" spans="1:16" ht="24" customHeight="1" thickBot="1">
      <c r="A77" s="90" t="s">
        <v>78</v>
      </c>
      <c r="B77" s="61" t="s">
        <v>66</v>
      </c>
      <c r="C77" s="20">
        <v>4.346153846153844</v>
      </c>
      <c r="D77" s="20">
        <v>4.4891304347826084</v>
      </c>
      <c r="E77" s="20">
        <v>4.5641025641025639</v>
      </c>
      <c r="F77" s="20">
        <v>4.6341463414634152</v>
      </c>
      <c r="G77" s="20">
        <v>4.5757575757575761</v>
      </c>
      <c r="H77" s="20">
        <v>4.4347826086956523</v>
      </c>
      <c r="I77" s="20">
        <v>4.3600000000000003</v>
      </c>
      <c r="J77" s="20">
        <v>4.666666666666667</v>
      </c>
      <c r="K77" s="20">
        <v>4.75</v>
      </c>
      <c r="L77" s="20">
        <v>4.6315789473684195</v>
      </c>
      <c r="M77" s="61" t="s">
        <v>66</v>
      </c>
      <c r="N77" s="20">
        <v>4.7076923076923087</v>
      </c>
      <c r="O77" s="20">
        <v>4.5428571428571427</v>
      </c>
      <c r="P77" s="61" t="s">
        <v>66</v>
      </c>
    </row>
    <row r="78" spans="1:16" ht="24" customHeight="1" thickBot="1">
      <c r="A78" s="90" t="s">
        <v>79</v>
      </c>
      <c r="B78" s="61" t="s">
        <v>66</v>
      </c>
      <c r="C78" s="20">
        <v>4.346153846153844</v>
      </c>
      <c r="D78" s="20">
        <v>4.5217391304347805</v>
      </c>
      <c r="E78" s="20">
        <v>4.6410256410256405</v>
      </c>
      <c r="F78" s="20">
        <v>4.6097560975609744</v>
      </c>
      <c r="G78" s="20">
        <v>4.4848484848484853</v>
      </c>
      <c r="H78" s="20">
        <v>4.478260869565216</v>
      </c>
      <c r="I78" s="20">
        <v>4.3600000000000003</v>
      </c>
      <c r="J78" s="20">
        <v>4.6547619047619078</v>
      </c>
      <c r="K78" s="20">
        <v>4.6730769230769225</v>
      </c>
      <c r="L78" s="20">
        <v>4.6578947368421044</v>
      </c>
      <c r="M78" s="61" t="s">
        <v>66</v>
      </c>
      <c r="N78" s="20">
        <v>4.7076923076923087</v>
      </c>
      <c r="O78" s="20">
        <v>4.5714285714285712</v>
      </c>
      <c r="P78" s="61" t="s">
        <v>66</v>
      </c>
    </row>
    <row r="79" spans="1:16" ht="24" customHeight="1" thickBot="1">
      <c r="A79" s="90" t="s">
        <v>80</v>
      </c>
      <c r="B79" s="61" t="s">
        <v>66</v>
      </c>
      <c r="C79" s="20">
        <v>4.448717948717948</v>
      </c>
      <c r="D79" s="20">
        <v>4.576086956521741</v>
      </c>
      <c r="E79" s="20">
        <v>4.7179487179487163</v>
      </c>
      <c r="F79" s="20">
        <v>4.7073170731707314</v>
      </c>
      <c r="G79" s="20">
        <v>4.5757575757575752</v>
      </c>
      <c r="H79" s="20">
        <v>4.5507246376811583</v>
      </c>
      <c r="I79" s="20">
        <v>4.4400000000000013</v>
      </c>
      <c r="J79" s="20">
        <v>4.7142857142857153</v>
      </c>
      <c r="K79" s="20">
        <v>4.7115384615384617</v>
      </c>
      <c r="L79" s="20">
        <v>4.6578947368421044</v>
      </c>
      <c r="M79" s="61" t="s">
        <v>66</v>
      </c>
      <c r="N79" s="20">
        <v>4.7076923076923087</v>
      </c>
      <c r="O79" s="20">
        <v>4.6571428571428566</v>
      </c>
      <c r="P79" s="61" t="s">
        <v>66</v>
      </c>
    </row>
    <row r="80" spans="1:16" ht="24" customHeight="1" thickBot="1">
      <c r="A80" s="90" t="s">
        <v>81</v>
      </c>
      <c r="B80" s="61" t="s">
        <v>66</v>
      </c>
      <c r="C80" s="20">
        <v>4.2948717948717929</v>
      </c>
      <c r="D80" s="20">
        <v>4.4565217391304355</v>
      </c>
      <c r="E80" s="20">
        <v>4.7948717948717938</v>
      </c>
      <c r="F80" s="20">
        <v>4.6097560975609753</v>
      </c>
      <c r="G80" s="20">
        <v>4.6363636363636358</v>
      </c>
      <c r="H80" s="20">
        <v>4.4927536231884053</v>
      </c>
      <c r="I80" s="20">
        <v>4.5599999999999996</v>
      </c>
      <c r="J80" s="20">
        <v>4.6904761904761898</v>
      </c>
      <c r="K80" s="20">
        <v>4.7115384615384608</v>
      </c>
      <c r="L80" s="20">
        <v>4.6052631578947372</v>
      </c>
      <c r="M80" s="61" t="s">
        <v>66</v>
      </c>
      <c r="N80" s="20">
        <v>4.6307692307692321</v>
      </c>
      <c r="O80" s="20">
        <v>4.5999999999999996</v>
      </c>
      <c r="P80" s="61" t="s">
        <v>66</v>
      </c>
    </row>
    <row r="81" spans="1:16" ht="24" customHeight="1" thickBot="1">
      <c r="A81" s="90" t="s">
        <v>82</v>
      </c>
      <c r="B81" s="61" t="s">
        <v>66</v>
      </c>
      <c r="C81" s="20">
        <v>4.3717948717948723</v>
      </c>
      <c r="D81" s="20">
        <v>4.5434782608695663</v>
      </c>
      <c r="E81" s="20">
        <v>4.8205128205128203</v>
      </c>
      <c r="F81" s="20">
        <v>4.7317073170731714</v>
      </c>
      <c r="G81" s="20">
        <v>4.6060606060606046</v>
      </c>
      <c r="H81" s="20">
        <v>4.579710144927537</v>
      </c>
      <c r="I81" s="20">
        <v>4.5600000000000005</v>
      </c>
      <c r="J81" s="20">
        <v>4.6904761904761898</v>
      </c>
      <c r="K81" s="20">
        <v>4.7692307692307692</v>
      </c>
      <c r="L81" s="20">
        <v>4.6578947368421044</v>
      </c>
      <c r="M81" s="61" t="s">
        <v>66</v>
      </c>
      <c r="N81" s="20">
        <v>4.6769230769230772</v>
      </c>
      <c r="O81" s="20">
        <v>4.6571428571428566</v>
      </c>
      <c r="P81" s="61" t="s">
        <v>66</v>
      </c>
    </row>
    <row r="82" spans="1:16" ht="24" customHeight="1" thickBot="1">
      <c r="A82" s="90" t="s">
        <v>83</v>
      </c>
      <c r="B82" s="61" t="s">
        <v>66</v>
      </c>
      <c r="C82" s="20">
        <v>4.3589743589743595</v>
      </c>
      <c r="D82" s="20">
        <v>4.5000000000000018</v>
      </c>
      <c r="E82" s="20">
        <v>4.7692307692307692</v>
      </c>
      <c r="F82" s="20">
        <v>4.6829268292682933</v>
      </c>
      <c r="G82" s="20">
        <v>4.5151515151515156</v>
      </c>
      <c r="H82" s="20">
        <v>4.5652173913043468</v>
      </c>
      <c r="I82" s="20">
        <v>4.4800000000000004</v>
      </c>
      <c r="J82" s="20">
        <v>4.7261904761904754</v>
      </c>
      <c r="K82" s="20">
        <v>4.7115384615384608</v>
      </c>
      <c r="L82" s="20">
        <v>4.6315789473684195</v>
      </c>
      <c r="M82" s="61" t="s">
        <v>66</v>
      </c>
      <c r="N82" s="20">
        <v>4.6615384615384627</v>
      </c>
      <c r="O82" s="20">
        <v>4.6571428571428566</v>
      </c>
      <c r="P82" s="61" t="s">
        <v>66</v>
      </c>
    </row>
    <row r="83" spans="1:16" ht="24" customHeight="1" thickBot="1">
      <c r="A83" s="90" t="s">
        <v>84</v>
      </c>
      <c r="B83" s="61" t="s">
        <v>66</v>
      </c>
      <c r="C83" s="20">
        <v>4.384615384615385</v>
      </c>
      <c r="D83" s="20">
        <v>4.5217391304347805</v>
      </c>
      <c r="E83" s="20">
        <v>4.7179487179487163</v>
      </c>
      <c r="F83" s="20">
        <v>4.6585365853658542</v>
      </c>
      <c r="G83" s="20">
        <v>4.5757575757575752</v>
      </c>
      <c r="H83" s="20">
        <v>4.6086956521739131</v>
      </c>
      <c r="I83" s="20">
        <v>4.5199999999999996</v>
      </c>
      <c r="J83" s="20">
        <v>4.7142857142857171</v>
      </c>
      <c r="K83" s="20">
        <v>4.7499999999999991</v>
      </c>
      <c r="L83" s="20">
        <v>4.6315789473684195</v>
      </c>
      <c r="M83" s="61" t="s">
        <v>66</v>
      </c>
      <c r="N83" s="20">
        <v>4.6615384615384627</v>
      </c>
      <c r="O83" s="20">
        <v>4.6285714285714281</v>
      </c>
      <c r="P83" s="61" t="s">
        <v>66</v>
      </c>
    </row>
    <row r="84" spans="1:16" ht="24" customHeight="1" thickBot="1">
      <c r="A84" s="90" t="s">
        <v>85</v>
      </c>
      <c r="B84" s="61" t="s">
        <v>66</v>
      </c>
      <c r="C84" s="20">
        <v>4.3205128205128212</v>
      </c>
      <c r="D84" s="20">
        <v>4.5000000000000018</v>
      </c>
      <c r="E84" s="20">
        <v>4.6666666666666661</v>
      </c>
      <c r="F84" s="20">
        <v>4.6097560975609753</v>
      </c>
      <c r="G84" s="20">
        <v>4.6666666666666661</v>
      </c>
      <c r="H84" s="20">
        <v>4.507246376811592</v>
      </c>
      <c r="I84" s="20">
        <v>4.3600000000000003</v>
      </c>
      <c r="J84" s="20">
        <v>4.678571428571427</v>
      </c>
      <c r="K84" s="20">
        <v>4.7884615384615374</v>
      </c>
      <c r="L84" s="20">
        <v>4.6578947368421044</v>
      </c>
      <c r="M84" s="61" t="s">
        <v>66</v>
      </c>
      <c r="N84" s="20">
        <v>4.6461538461538465</v>
      </c>
      <c r="O84" s="20">
        <v>4.6571428571428566</v>
      </c>
      <c r="P84" s="61" t="s">
        <v>66</v>
      </c>
    </row>
    <row r="85" spans="1:16" ht="24" customHeight="1" thickBot="1">
      <c r="A85" s="90" t="s">
        <v>86</v>
      </c>
      <c r="B85" s="61" t="s">
        <v>66</v>
      </c>
      <c r="C85" s="20">
        <v>4.3589743589743604</v>
      </c>
      <c r="D85" s="20">
        <v>4.5217391304347805</v>
      </c>
      <c r="E85" s="20">
        <v>4.6666666666666661</v>
      </c>
      <c r="F85" s="20">
        <v>4.7073170731707323</v>
      </c>
      <c r="G85" s="20">
        <v>4.6060606060606055</v>
      </c>
      <c r="H85" s="20">
        <v>4.5072463768115938</v>
      </c>
      <c r="I85" s="20">
        <v>4.4800000000000004</v>
      </c>
      <c r="J85" s="20">
        <v>4.7142857142857162</v>
      </c>
      <c r="K85" s="20">
        <v>4.7307692307692317</v>
      </c>
      <c r="L85" s="20">
        <v>4.6842105263157894</v>
      </c>
      <c r="M85" s="61" t="s">
        <v>66</v>
      </c>
      <c r="N85" s="20">
        <v>4.6461538461538465</v>
      </c>
      <c r="O85" s="20">
        <v>4.6285714285714281</v>
      </c>
      <c r="P85" s="61" t="s">
        <v>66</v>
      </c>
    </row>
    <row r="86" spans="1:16" ht="24" customHeight="1" thickBot="1">
      <c r="A86" s="90" t="s">
        <v>87</v>
      </c>
      <c r="B86" s="61" t="s">
        <v>66</v>
      </c>
      <c r="C86" s="20">
        <v>4.346153846153844</v>
      </c>
      <c r="D86" s="20">
        <v>4.5543478260869561</v>
      </c>
      <c r="E86" s="20">
        <v>4.6666666666666661</v>
      </c>
      <c r="F86" s="20">
        <v>4.7560975609756113</v>
      </c>
      <c r="G86" s="20">
        <v>4.6363636363636358</v>
      </c>
      <c r="H86" s="20">
        <v>4.5942028985507264</v>
      </c>
      <c r="I86" s="20">
        <v>4.5599999999999987</v>
      </c>
      <c r="J86" s="20">
        <v>4.6785714285714279</v>
      </c>
      <c r="K86" s="20">
        <v>4.7307692307692317</v>
      </c>
      <c r="L86" s="20">
        <v>4.7368421052631584</v>
      </c>
      <c r="M86" s="61" t="s">
        <v>66</v>
      </c>
      <c r="N86" s="20">
        <v>4.5692307692307716</v>
      </c>
      <c r="O86" s="20">
        <v>4.5714285714285721</v>
      </c>
      <c r="P86" s="61" t="s">
        <v>66</v>
      </c>
    </row>
    <row r="87" spans="1:16" ht="24" customHeight="1" thickBot="1">
      <c r="A87" s="90" t="s">
        <v>88</v>
      </c>
      <c r="B87" s="61" t="s">
        <v>66</v>
      </c>
      <c r="C87" s="20">
        <v>4.3974358974358969</v>
      </c>
      <c r="D87" s="20">
        <v>4.5434782608695672</v>
      </c>
      <c r="E87" s="20">
        <v>4.6923076923076925</v>
      </c>
      <c r="F87" s="20">
        <v>4.6585365853658542</v>
      </c>
      <c r="G87" s="20">
        <v>4.6060606060606055</v>
      </c>
      <c r="H87" s="20">
        <v>4.5652173913043468</v>
      </c>
      <c r="I87" s="20">
        <v>4.6000000000000005</v>
      </c>
      <c r="J87" s="20">
        <v>4.7380952380952381</v>
      </c>
      <c r="K87" s="20">
        <v>4.7307692307692317</v>
      </c>
      <c r="L87" s="20">
        <v>4.6842105263157894</v>
      </c>
      <c r="M87" s="61" t="s">
        <v>66</v>
      </c>
      <c r="N87" s="20">
        <v>4.661538461538461</v>
      </c>
      <c r="O87" s="20">
        <v>4.5999999999999996</v>
      </c>
      <c r="P87" s="61" t="s">
        <v>66</v>
      </c>
    </row>
    <row r="88" spans="1:16" ht="24" customHeight="1" thickBot="1">
      <c r="A88" s="90" t="s">
        <v>89</v>
      </c>
      <c r="B88" s="61" t="s">
        <v>66</v>
      </c>
      <c r="C88" s="20">
        <v>4.512820512820511</v>
      </c>
      <c r="D88" s="20">
        <v>4.576086956521741</v>
      </c>
      <c r="E88" s="20">
        <v>4.6410256410256414</v>
      </c>
      <c r="F88" s="20">
        <v>4.6829268292682933</v>
      </c>
      <c r="G88" s="20">
        <v>4.6969696969696964</v>
      </c>
      <c r="H88" s="20">
        <v>4.6231884057971007</v>
      </c>
      <c r="I88" s="20">
        <v>4.6000000000000005</v>
      </c>
      <c r="J88" s="20">
        <v>4.75</v>
      </c>
      <c r="K88" s="20">
        <v>4.75</v>
      </c>
      <c r="L88" s="20">
        <v>4.6578947368421044</v>
      </c>
      <c r="M88" s="61" t="s">
        <v>66</v>
      </c>
      <c r="N88" s="20">
        <v>4.7384615384615385</v>
      </c>
      <c r="O88" s="20">
        <v>4.5714285714285721</v>
      </c>
      <c r="P88" s="61" t="s">
        <v>66</v>
      </c>
    </row>
    <row r="89" spans="1:16" ht="24" customHeight="1">
      <c r="A89" s="8" t="s">
        <v>9</v>
      </c>
      <c r="B89" s="61" t="s">
        <v>66</v>
      </c>
      <c r="C89" s="20">
        <v>4.3806089743589727</v>
      </c>
      <c r="D89" s="20">
        <v>4.5271739130434785</v>
      </c>
      <c r="E89" s="20">
        <v>4.6714743589743595</v>
      </c>
      <c r="F89" s="20">
        <v>4.6753048780487791</v>
      </c>
      <c r="G89" s="20">
        <v>4.5738636363636367</v>
      </c>
      <c r="H89" s="20">
        <v>4.5371376811594208</v>
      </c>
      <c r="I89" s="20">
        <v>4.4525000000000006</v>
      </c>
      <c r="J89" s="20">
        <v>4.7135416666666679</v>
      </c>
      <c r="K89" s="20">
        <v>4.7367788461538458</v>
      </c>
      <c r="L89" s="20">
        <v>4.6546052631578947</v>
      </c>
      <c r="M89" s="61" t="s">
        <v>66</v>
      </c>
      <c r="N89" s="20">
        <v>4.6653846153846175</v>
      </c>
      <c r="O89" s="20">
        <v>4.6053571428571436</v>
      </c>
      <c r="P89" s="61" t="s">
        <v>66</v>
      </c>
    </row>
    <row r="90" spans="1:16" s="66" customFormat="1">
      <c r="A90" s="65" t="s">
        <v>10</v>
      </c>
      <c r="B90" s="61" t="s">
        <v>66</v>
      </c>
      <c r="C90" s="68">
        <f t="shared" ref="C90" si="5">C89*20</f>
        <v>87.612179487179446</v>
      </c>
      <c r="D90" s="68">
        <f>D89*20</f>
        <v>90.543478260869563</v>
      </c>
      <c r="E90" s="63">
        <f>E89*20</f>
        <v>93.429487179487182</v>
      </c>
      <c r="F90" s="63">
        <f>F89*20</f>
        <v>93.506097560975576</v>
      </c>
      <c r="G90" s="63">
        <f t="shared" ref="G90:O90" si="6">G89*20</f>
        <v>91.477272727272734</v>
      </c>
      <c r="H90" s="63">
        <f t="shared" si="6"/>
        <v>90.74275362318842</v>
      </c>
      <c r="I90" s="63">
        <f t="shared" si="6"/>
        <v>89.050000000000011</v>
      </c>
      <c r="J90" s="63">
        <f t="shared" si="6"/>
        <v>94.270833333333357</v>
      </c>
      <c r="K90" s="63">
        <f t="shared" si="6"/>
        <v>94.73557692307692</v>
      </c>
      <c r="L90" s="63">
        <f t="shared" si="6"/>
        <v>93.09210526315789</v>
      </c>
      <c r="M90" s="61" t="s">
        <v>66</v>
      </c>
      <c r="N90" s="63">
        <f t="shared" ref="N90" si="7">N89*20</f>
        <v>93.307692307692349</v>
      </c>
      <c r="O90" s="63">
        <f t="shared" si="6"/>
        <v>92.107142857142875</v>
      </c>
      <c r="P90" s="61" t="s">
        <v>66</v>
      </c>
    </row>
    <row r="91" spans="1:16">
      <c r="A91" s="16" t="s">
        <v>44</v>
      </c>
      <c r="B91" s="79" t="s">
        <v>67</v>
      </c>
      <c r="C91" s="62">
        <v>97.435897435897431</v>
      </c>
      <c r="D91" s="62">
        <v>100</v>
      </c>
      <c r="E91" s="62">
        <v>100</v>
      </c>
      <c r="F91" s="62">
        <v>100</v>
      </c>
      <c r="G91" s="62">
        <v>100</v>
      </c>
      <c r="H91" s="62">
        <v>100</v>
      </c>
      <c r="I91" s="62">
        <v>100</v>
      </c>
      <c r="J91" s="62">
        <v>100</v>
      </c>
      <c r="K91" s="62">
        <v>100</v>
      </c>
      <c r="L91" s="62">
        <v>100</v>
      </c>
      <c r="M91" s="79" t="s">
        <v>67</v>
      </c>
      <c r="N91" s="22">
        <v>100</v>
      </c>
      <c r="O91" s="62">
        <v>97.142857142857139</v>
      </c>
      <c r="P91" s="79" t="s">
        <v>67</v>
      </c>
    </row>
    <row r="92" spans="1:16" ht="24" customHeight="1"/>
    <row r="93" spans="1:16" ht="24" customHeight="1"/>
    <row r="94" spans="1:16">
      <c r="B94" s="3"/>
      <c r="E94" s="10"/>
      <c r="F94" s="10"/>
    </row>
    <row r="95" spans="1:16">
      <c r="B95" s="3"/>
      <c r="E95" s="11"/>
      <c r="F95" s="11"/>
    </row>
    <row r="96" spans="1:16">
      <c r="B96" s="3"/>
      <c r="E96" s="11"/>
      <c r="F96" s="11"/>
    </row>
    <row r="97" spans="2:6">
      <c r="B97" s="3"/>
      <c r="E97" s="11"/>
      <c r="F97" s="11"/>
    </row>
    <row r="98" spans="2:6">
      <c r="B98" s="3"/>
      <c r="E98" s="11"/>
      <c r="F98" s="11"/>
    </row>
    <row r="99" spans="2:6">
      <c r="B99" s="3"/>
      <c r="E99" s="11"/>
      <c r="F99" s="11"/>
    </row>
    <row r="100" spans="2:6">
      <c r="B100" s="3"/>
      <c r="E100" s="11"/>
      <c r="F100" s="11"/>
    </row>
    <row r="101" spans="2:6">
      <c r="B101" s="3"/>
      <c r="E101" s="11"/>
      <c r="F101" s="11"/>
    </row>
    <row r="102" spans="2:6" ht="24" customHeight="1">
      <c r="B102" s="3"/>
      <c r="E102" s="11"/>
      <c r="F102" s="11"/>
    </row>
    <row r="103" spans="2:6" ht="24" customHeight="1">
      <c r="B103" s="3"/>
      <c r="E103" s="11"/>
      <c r="F103" s="11"/>
    </row>
    <row r="104" spans="2:6">
      <c r="B104" s="3"/>
      <c r="E104" s="11"/>
      <c r="F104" s="11"/>
    </row>
    <row r="105" spans="2:6">
      <c r="B105" s="3"/>
      <c r="E105" s="11"/>
      <c r="F105" s="11"/>
    </row>
    <row r="106" spans="2:6">
      <c r="B106" s="3"/>
      <c r="E106" s="11"/>
      <c r="F106" s="11"/>
    </row>
    <row r="107" spans="2:6">
      <c r="B107" s="3"/>
      <c r="E107" s="11"/>
      <c r="F107" s="11"/>
    </row>
    <row r="108" spans="2:6">
      <c r="B108" s="3"/>
      <c r="E108" s="11"/>
      <c r="F108" s="11"/>
    </row>
    <row r="109" spans="2:6">
      <c r="B109" s="3"/>
      <c r="E109" s="11"/>
      <c r="F109" s="11"/>
    </row>
    <row r="110" spans="2:6" ht="24" customHeight="1">
      <c r="B110" s="3"/>
      <c r="E110" s="11"/>
      <c r="F110" s="11"/>
    </row>
    <row r="111" spans="2:6" ht="24" customHeight="1">
      <c r="B111" s="3"/>
      <c r="E111" s="11"/>
      <c r="F111" s="11"/>
    </row>
    <row r="112" spans="2:6">
      <c r="B112" s="3"/>
      <c r="E112" s="12"/>
      <c r="F112" s="12"/>
    </row>
    <row r="113" spans="2:6">
      <c r="B113" s="3"/>
      <c r="E113" s="12"/>
      <c r="F113" s="12"/>
    </row>
    <row r="114" spans="2:6">
      <c r="B114" s="3"/>
    </row>
  </sheetData>
  <mergeCells count="1">
    <mergeCell ref="A1:P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3" max="16383" man="1"/>
    <brk id="46" max="16383" man="1"/>
    <brk id="69" max="16383" man="1"/>
    <brk id="9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2"/>
  <sheetViews>
    <sheetView tabSelected="1" zoomScaleNormal="100" zoomScaleSheetLayoutView="120" workbookViewId="0">
      <selection activeCell="B127" sqref="B102:D127"/>
    </sheetView>
  </sheetViews>
  <sheetFormatPr defaultColWidth="9" defaultRowHeight="21"/>
  <cols>
    <col min="1" max="1" width="4.75" style="34" customWidth="1"/>
    <col min="2" max="2" width="27.625" style="34" customWidth="1"/>
    <col min="3" max="7" width="12" style="34" customWidth="1"/>
    <col min="8" max="8" width="62.875" style="34" customWidth="1"/>
    <col min="9" max="9" width="14.75" style="34" customWidth="1"/>
    <col min="10" max="10" width="7.25" style="34" customWidth="1"/>
    <col min="11" max="16384" width="9" style="34"/>
  </cols>
  <sheetData>
    <row r="1" spans="1:9" s="49" customFormat="1" ht="43.5" customHeight="1">
      <c r="A1" s="96" t="s">
        <v>100</v>
      </c>
      <c r="B1" s="97"/>
      <c r="C1" s="97"/>
      <c r="D1" s="97"/>
      <c r="E1" s="97"/>
      <c r="F1" s="97"/>
      <c r="G1" s="97"/>
      <c r="H1" s="97"/>
      <c r="I1" s="97"/>
    </row>
    <row r="2" spans="1:9" s="49" customFormat="1">
      <c r="A2" s="95" t="s">
        <v>98</v>
      </c>
      <c r="B2" s="95"/>
      <c r="C2" s="95"/>
      <c r="D2" s="95"/>
      <c r="E2" s="95"/>
      <c r="F2" s="95"/>
      <c r="G2" s="95"/>
      <c r="H2" s="95"/>
    </row>
    <row r="3" spans="1:9" s="36" customFormat="1">
      <c r="A3" s="95" t="s">
        <v>99</v>
      </c>
      <c r="B3" s="95"/>
      <c r="C3" s="95"/>
      <c r="D3" s="95"/>
      <c r="E3" s="95"/>
      <c r="F3" s="95"/>
      <c r="G3" s="95"/>
      <c r="H3" s="95"/>
      <c r="I3" s="49"/>
    </row>
    <row r="4" spans="1:9" s="49" customFormat="1">
      <c r="A4" s="51" t="s">
        <v>53</v>
      </c>
      <c r="B4" s="51"/>
      <c r="C4" s="51"/>
      <c r="D4" s="51"/>
      <c r="E4" s="51"/>
      <c r="F4" s="52"/>
      <c r="G4" s="52"/>
      <c r="H4" s="52"/>
      <c r="I4" s="36"/>
    </row>
    <row r="5" spans="1:9" s="49" customFormat="1">
      <c r="B5" s="99" t="s">
        <v>206</v>
      </c>
      <c r="C5" s="99"/>
      <c r="D5" s="99"/>
      <c r="E5" s="99"/>
      <c r="F5" s="99"/>
      <c r="G5" s="99"/>
      <c r="H5" s="99"/>
    </row>
    <row r="6" spans="1:9" s="86" customFormat="1">
      <c r="A6" s="49"/>
      <c r="B6" s="99" t="s">
        <v>217</v>
      </c>
      <c r="C6" s="99"/>
      <c r="D6" s="99"/>
      <c r="E6" s="99"/>
      <c r="F6" s="99"/>
      <c r="G6" s="99"/>
      <c r="H6" s="99"/>
      <c r="I6" s="49"/>
    </row>
    <row r="7" spans="1:9" s="36" customFormat="1" ht="21.75" customHeight="1">
      <c r="A7" s="86"/>
      <c r="B7" s="100" t="s">
        <v>218</v>
      </c>
      <c r="C7" s="100"/>
      <c r="D7" s="100"/>
      <c r="E7" s="100"/>
      <c r="F7" s="100"/>
      <c r="G7" s="100"/>
      <c r="H7" s="100"/>
      <c r="I7" s="86"/>
    </row>
    <row r="8" spans="1:9" s="36" customFormat="1" ht="21.75" customHeight="1">
      <c r="B8" s="53" t="s">
        <v>0</v>
      </c>
      <c r="C8" s="54" t="s">
        <v>33</v>
      </c>
      <c r="D8" s="54" t="s">
        <v>34</v>
      </c>
      <c r="E8" s="54" t="s">
        <v>35</v>
      </c>
      <c r="F8" s="54" t="s">
        <v>36</v>
      </c>
      <c r="G8" s="54" t="s">
        <v>37</v>
      </c>
    </row>
    <row r="9" spans="1:9" s="36" customFormat="1" ht="21.75" customHeight="1">
      <c r="B9" s="55" t="s">
        <v>8</v>
      </c>
      <c r="C9" s="56" t="s">
        <v>96</v>
      </c>
      <c r="D9" s="56" t="s">
        <v>97</v>
      </c>
      <c r="E9" s="67">
        <v>24</v>
      </c>
      <c r="F9" s="57" t="s">
        <v>216</v>
      </c>
      <c r="G9" s="57" t="s">
        <v>66</v>
      </c>
    </row>
    <row r="10" spans="1:9" s="36" customFormat="1" ht="21.75" customHeight="1">
      <c r="B10" s="55" t="s">
        <v>9</v>
      </c>
      <c r="C10" s="29">
        <v>4.4035187287173621</v>
      </c>
      <c r="D10" s="29">
        <v>4.5651645041705278</v>
      </c>
      <c r="E10" s="24">
        <v>4.419270833333333</v>
      </c>
      <c r="F10" s="84">
        <v>4.8899999999999997</v>
      </c>
      <c r="G10" s="57" t="s">
        <v>66</v>
      </c>
    </row>
    <row r="11" spans="1:9" s="36" customFormat="1" ht="21.75" customHeight="1">
      <c r="B11" s="55" t="s">
        <v>10</v>
      </c>
      <c r="C11" s="29">
        <v>88.070374574347198</v>
      </c>
      <c r="D11" s="29">
        <v>91.303290083410559</v>
      </c>
      <c r="E11" s="63">
        <f>E10*20</f>
        <v>88.385416666666657</v>
      </c>
      <c r="F11" s="85">
        <v>97.9</v>
      </c>
      <c r="G11" s="57" t="s">
        <v>66</v>
      </c>
    </row>
    <row r="12" spans="1:9" s="36" customFormat="1" ht="24" customHeight="1">
      <c r="B12" s="59"/>
      <c r="C12" s="60"/>
      <c r="D12" s="60"/>
      <c r="E12" s="60"/>
      <c r="F12" s="72"/>
      <c r="G12" s="72"/>
    </row>
    <row r="13" spans="1:9" s="36" customFormat="1" ht="24" customHeight="1">
      <c r="A13" s="98" t="s">
        <v>38</v>
      </c>
      <c r="B13" s="98"/>
      <c r="H13" s="36" t="s">
        <v>51</v>
      </c>
    </row>
    <row r="14" spans="1:9" s="36" customFormat="1" ht="24" customHeight="1">
      <c r="B14" s="39" t="s">
        <v>39</v>
      </c>
    </row>
    <row r="15" spans="1:9" s="36" customFormat="1" ht="24" customHeight="1">
      <c r="B15" s="92" t="s">
        <v>147</v>
      </c>
    </row>
    <row r="16" spans="1:9" s="36" customFormat="1" ht="24" customHeight="1">
      <c r="B16" s="33" t="s">
        <v>146</v>
      </c>
    </row>
    <row r="17" spans="1:9" s="36" customFormat="1" ht="24" customHeight="1">
      <c r="B17" s="33" t="s">
        <v>145</v>
      </c>
    </row>
    <row r="18" spans="1:9" s="36" customFormat="1" ht="24" customHeight="1">
      <c r="B18" s="92" t="s">
        <v>140</v>
      </c>
    </row>
    <row r="19" spans="1:9" s="36" customFormat="1" ht="24" customHeight="1">
      <c r="B19" s="93" t="s">
        <v>150</v>
      </c>
    </row>
    <row r="20" spans="1:9" s="71" customFormat="1" ht="24" customHeight="1">
      <c r="A20" s="34"/>
      <c r="B20" s="92" t="s">
        <v>130</v>
      </c>
      <c r="C20" s="37"/>
      <c r="D20" s="37"/>
      <c r="E20" s="37"/>
      <c r="F20" s="37"/>
      <c r="G20" s="37"/>
      <c r="H20" s="37"/>
      <c r="I20" s="34"/>
    </row>
    <row r="21" spans="1:9" s="71" customFormat="1" ht="24" customHeight="1">
      <c r="A21" s="34"/>
      <c r="B21" s="92" t="s">
        <v>149</v>
      </c>
      <c r="C21" s="37"/>
      <c r="D21" s="37"/>
      <c r="E21" s="37"/>
      <c r="F21" s="37"/>
      <c r="G21" s="37"/>
      <c r="H21" s="37"/>
      <c r="I21" s="34"/>
    </row>
    <row r="22" spans="1:9" s="71" customFormat="1" ht="24" customHeight="1">
      <c r="A22" s="34"/>
      <c r="B22" s="92" t="s">
        <v>169</v>
      </c>
      <c r="C22" s="37"/>
      <c r="D22" s="37"/>
      <c r="E22" s="37"/>
      <c r="F22" s="37"/>
      <c r="G22" s="37"/>
      <c r="H22" s="37"/>
      <c r="I22" s="34"/>
    </row>
    <row r="23" spans="1:9" s="71" customFormat="1" ht="24" customHeight="1">
      <c r="A23" s="34"/>
      <c r="B23" s="92" t="s">
        <v>127</v>
      </c>
      <c r="C23" s="37"/>
      <c r="D23" s="37"/>
      <c r="E23" s="37"/>
      <c r="F23" s="37"/>
      <c r="G23" s="37"/>
      <c r="H23" s="37"/>
      <c r="I23" s="34"/>
    </row>
    <row r="24" spans="1:9" s="71" customFormat="1" ht="24" customHeight="1">
      <c r="A24" s="34"/>
      <c r="B24" s="92" t="s">
        <v>128</v>
      </c>
      <c r="C24" s="37"/>
      <c r="D24" s="37"/>
      <c r="E24" s="37"/>
      <c r="F24" s="37"/>
      <c r="G24" s="37"/>
      <c r="H24" s="37"/>
      <c r="I24" s="34"/>
    </row>
    <row r="25" spans="1:9" s="71" customFormat="1" ht="24" customHeight="1">
      <c r="A25" s="34"/>
      <c r="B25" s="71" t="s">
        <v>118</v>
      </c>
      <c r="C25" s="37"/>
      <c r="D25" s="37"/>
      <c r="E25" s="37"/>
      <c r="F25" s="37"/>
      <c r="G25" s="37"/>
      <c r="H25" s="37"/>
      <c r="I25" s="34"/>
    </row>
    <row r="26" spans="1:9" s="71" customFormat="1" ht="24" customHeight="1">
      <c r="A26" s="34"/>
      <c r="B26" s="92" t="s">
        <v>120</v>
      </c>
      <c r="C26" s="37"/>
      <c r="D26" s="37"/>
      <c r="E26" s="37"/>
      <c r="F26" s="37"/>
      <c r="G26" s="37"/>
      <c r="H26" s="37"/>
      <c r="I26" s="34"/>
    </row>
    <row r="27" spans="1:9" s="71" customFormat="1" ht="24" customHeight="1">
      <c r="A27" s="34"/>
      <c r="B27" s="92" t="s">
        <v>124</v>
      </c>
      <c r="C27" s="37"/>
      <c r="D27" s="37"/>
      <c r="E27" s="37"/>
      <c r="F27" s="37"/>
      <c r="G27" s="37"/>
      <c r="H27" s="37"/>
      <c r="I27" s="34"/>
    </row>
    <row r="28" spans="1:9" s="71" customFormat="1" ht="24" customHeight="1">
      <c r="A28" s="34"/>
      <c r="B28" s="92" t="s">
        <v>115</v>
      </c>
      <c r="C28" s="37"/>
      <c r="D28" s="37"/>
      <c r="E28" s="37"/>
      <c r="F28" s="37"/>
      <c r="G28" s="37"/>
      <c r="H28" s="37"/>
      <c r="I28" s="34"/>
    </row>
    <row r="29" spans="1:9" s="71" customFormat="1" ht="24" customHeight="1">
      <c r="A29" s="34"/>
      <c r="B29" s="92" t="s">
        <v>113</v>
      </c>
      <c r="C29" s="37"/>
      <c r="D29" s="37"/>
      <c r="E29" s="37"/>
      <c r="F29" s="37"/>
      <c r="G29" s="37"/>
      <c r="H29" s="37"/>
      <c r="I29" s="34"/>
    </row>
    <row r="30" spans="1:9" s="71" customFormat="1" ht="24" customHeight="1">
      <c r="A30" s="34"/>
      <c r="B30" s="92" t="s">
        <v>171</v>
      </c>
      <c r="C30" s="37"/>
      <c r="D30" s="37"/>
      <c r="E30" s="37"/>
      <c r="F30" s="37"/>
      <c r="G30" s="37"/>
      <c r="H30" s="37"/>
      <c r="I30" s="34"/>
    </row>
    <row r="31" spans="1:9" s="71" customFormat="1" ht="24" customHeight="1">
      <c r="A31" s="34"/>
      <c r="B31" s="33" t="s">
        <v>117</v>
      </c>
      <c r="C31" s="37"/>
      <c r="D31" s="37"/>
      <c r="E31" s="37"/>
      <c r="F31" s="37"/>
      <c r="G31" s="37"/>
      <c r="H31" s="37"/>
      <c r="I31" s="34"/>
    </row>
    <row r="32" spans="1:9" s="71" customFormat="1" ht="24" customHeight="1">
      <c r="A32" s="34"/>
      <c r="B32" s="33" t="s">
        <v>141</v>
      </c>
      <c r="C32" s="37"/>
      <c r="D32" s="37"/>
      <c r="E32" s="37"/>
      <c r="F32" s="37"/>
      <c r="G32" s="37"/>
      <c r="H32" s="37"/>
      <c r="I32" s="34"/>
    </row>
    <row r="33" spans="1:9" s="71" customFormat="1" ht="24" customHeight="1">
      <c r="A33" s="34"/>
      <c r="B33" s="92" t="s">
        <v>131</v>
      </c>
      <c r="C33" s="37"/>
      <c r="D33" s="37"/>
      <c r="E33" s="37"/>
      <c r="F33" s="37"/>
      <c r="G33" s="37"/>
      <c r="H33" s="37"/>
      <c r="I33" s="34"/>
    </row>
    <row r="34" spans="1:9" s="71" customFormat="1" ht="24" customHeight="1">
      <c r="A34" s="34"/>
      <c r="B34" s="92" t="s">
        <v>102</v>
      </c>
      <c r="C34" s="37"/>
      <c r="D34" s="37"/>
      <c r="E34" s="37"/>
      <c r="F34" s="37"/>
      <c r="G34" s="37"/>
      <c r="H34" s="37"/>
      <c r="I34" s="34"/>
    </row>
    <row r="35" spans="1:9" s="71" customFormat="1" ht="24" customHeight="1">
      <c r="A35" s="34"/>
      <c r="B35" s="92" t="s">
        <v>101</v>
      </c>
      <c r="C35" s="37"/>
      <c r="D35" s="37"/>
      <c r="E35" s="37"/>
      <c r="F35" s="37"/>
      <c r="G35" s="37"/>
      <c r="H35" s="37"/>
      <c r="I35" s="34"/>
    </row>
    <row r="36" spans="1:9" s="71" customFormat="1" ht="24" customHeight="1">
      <c r="A36" s="34"/>
      <c r="B36" s="33" t="s">
        <v>126</v>
      </c>
      <c r="C36" s="37"/>
      <c r="D36" s="37"/>
      <c r="E36" s="37"/>
      <c r="F36" s="37"/>
      <c r="G36" s="37"/>
      <c r="H36" s="37"/>
      <c r="I36" s="34"/>
    </row>
    <row r="37" spans="1:9" s="71" customFormat="1" ht="24" customHeight="1">
      <c r="A37" s="34"/>
      <c r="B37" s="33" t="s">
        <v>135</v>
      </c>
      <c r="C37" s="37"/>
      <c r="D37" s="37"/>
      <c r="E37" s="37"/>
      <c r="F37" s="37"/>
      <c r="G37" s="37"/>
      <c r="H37" s="37"/>
      <c r="I37" s="34"/>
    </row>
    <row r="38" spans="1:9" s="71" customFormat="1" ht="24" customHeight="1">
      <c r="A38" s="34"/>
      <c r="B38" s="92" t="s">
        <v>114</v>
      </c>
      <c r="C38" s="37"/>
      <c r="D38" s="37"/>
      <c r="E38" s="37"/>
      <c r="F38" s="37"/>
      <c r="G38" s="37"/>
      <c r="H38" s="37"/>
      <c r="I38" s="34"/>
    </row>
    <row r="39" spans="1:9" s="71" customFormat="1" ht="24" customHeight="1">
      <c r="A39" s="34"/>
      <c r="B39" s="92" t="s">
        <v>103</v>
      </c>
      <c r="C39" s="37"/>
      <c r="D39" s="37"/>
      <c r="E39" s="37"/>
      <c r="F39" s="37"/>
      <c r="G39" s="37"/>
      <c r="H39" s="37"/>
      <c r="I39" s="34"/>
    </row>
    <row r="40" spans="1:9" s="71" customFormat="1" ht="24.75" customHeight="1">
      <c r="A40" s="34"/>
      <c r="B40" s="33" t="s">
        <v>104</v>
      </c>
      <c r="C40" s="37"/>
      <c r="D40" s="37"/>
      <c r="E40" s="37"/>
      <c r="F40" s="37"/>
      <c r="G40" s="37"/>
      <c r="H40" s="37"/>
      <c r="I40" s="34"/>
    </row>
    <row r="41" spans="1:9" s="71" customFormat="1" ht="24" customHeight="1">
      <c r="A41" s="34"/>
      <c r="B41" s="33" t="s">
        <v>105</v>
      </c>
      <c r="C41" s="37"/>
      <c r="D41" s="37"/>
      <c r="E41" s="37"/>
      <c r="F41" s="37"/>
      <c r="G41" s="37"/>
      <c r="H41" s="37"/>
      <c r="I41" s="34"/>
    </row>
    <row r="42" spans="1:9" s="71" customFormat="1" ht="24" customHeight="1">
      <c r="A42" s="34"/>
      <c r="B42" s="33" t="s">
        <v>106</v>
      </c>
      <c r="C42" s="37"/>
      <c r="D42" s="37"/>
      <c r="E42" s="37"/>
      <c r="F42" s="37"/>
      <c r="G42" s="37"/>
      <c r="H42" s="37"/>
      <c r="I42" s="34"/>
    </row>
    <row r="43" spans="1:9" s="71" customFormat="1" ht="24" customHeight="1">
      <c r="A43" s="34"/>
      <c r="B43" s="33" t="s">
        <v>212</v>
      </c>
      <c r="C43" s="37"/>
      <c r="D43" s="37"/>
      <c r="E43" s="37"/>
      <c r="F43" s="37"/>
      <c r="G43" s="37"/>
      <c r="H43" s="37"/>
      <c r="I43" s="34"/>
    </row>
    <row r="44" spans="1:9" s="71" customFormat="1" ht="24" customHeight="1">
      <c r="A44" s="34"/>
      <c r="B44" s="33" t="s">
        <v>107</v>
      </c>
      <c r="C44" s="37"/>
      <c r="D44" s="37"/>
      <c r="E44" s="37"/>
      <c r="F44" s="37"/>
      <c r="G44" s="37"/>
      <c r="H44" s="37"/>
      <c r="I44" s="34"/>
    </row>
    <row r="45" spans="1:9" s="71" customFormat="1" ht="24" customHeight="1">
      <c r="A45" s="34"/>
      <c r="B45" s="33" t="s">
        <v>208</v>
      </c>
      <c r="C45" s="37"/>
      <c r="D45" s="37"/>
      <c r="E45" s="37"/>
      <c r="F45" s="37"/>
      <c r="G45" s="37"/>
      <c r="H45" s="37"/>
      <c r="I45" s="34"/>
    </row>
    <row r="46" spans="1:9" s="71" customFormat="1" ht="24" customHeight="1">
      <c r="A46" s="34"/>
      <c r="B46" s="33" t="s">
        <v>108</v>
      </c>
      <c r="C46" s="37"/>
      <c r="D46" s="37"/>
      <c r="E46" s="37"/>
      <c r="F46" s="37"/>
      <c r="G46" s="37"/>
      <c r="H46" s="37"/>
      <c r="I46" s="34"/>
    </row>
    <row r="47" spans="1:9" s="71" customFormat="1" ht="24" customHeight="1">
      <c r="A47" s="34"/>
      <c r="B47" s="33" t="s">
        <v>110</v>
      </c>
      <c r="C47" s="37"/>
      <c r="D47" s="37"/>
      <c r="E47" s="37"/>
      <c r="F47" s="37"/>
      <c r="G47" s="37"/>
      <c r="H47" s="37"/>
      <c r="I47" s="34"/>
    </row>
    <row r="48" spans="1:9" s="71" customFormat="1" ht="24" customHeight="1">
      <c r="A48" s="34"/>
      <c r="B48" s="33" t="s">
        <v>112</v>
      </c>
      <c r="C48" s="37"/>
      <c r="D48" s="37"/>
      <c r="E48" s="37"/>
      <c r="F48" s="37"/>
      <c r="G48" s="37"/>
      <c r="H48" s="37"/>
      <c r="I48" s="34"/>
    </row>
    <row r="49" spans="1:9" s="71" customFormat="1" ht="24" customHeight="1">
      <c r="A49" s="34"/>
      <c r="B49" s="33" t="s">
        <v>111</v>
      </c>
      <c r="C49" s="37"/>
      <c r="D49" s="37"/>
      <c r="E49" s="37"/>
      <c r="F49" s="37"/>
      <c r="G49" s="37"/>
      <c r="H49" s="37"/>
      <c r="I49" s="34"/>
    </row>
    <row r="50" spans="1:9" s="71" customFormat="1" ht="24" customHeight="1">
      <c r="A50" s="34"/>
      <c r="B50" s="33" t="s">
        <v>119</v>
      </c>
      <c r="C50" s="37"/>
      <c r="D50" s="37"/>
      <c r="E50" s="37"/>
      <c r="F50" s="37"/>
      <c r="G50" s="37"/>
      <c r="H50" s="37"/>
      <c r="I50" s="34"/>
    </row>
    <row r="51" spans="1:9" s="71" customFormat="1" ht="24" customHeight="1">
      <c r="A51" s="34"/>
      <c r="B51" s="33" t="s">
        <v>125</v>
      </c>
      <c r="C51" s="37"/>
      <c r="D51" s="37"/>
      <c r="E51" s="37"/>
      <c r="F51" s="37"/>
      <c r="G51" s="37"/>
      <c r="H51" s="37"/>
      <c r="I51" s="34"/>
    </row>
    <row r="52" spans="1:9" s="71" customFormat="1" ht="24" customHeight="1">
      <c r="A52" s="34"/>
      <c r="B52" s="71" t="s">
        <v>132</v>
      </c>
      <c r="C52" s="37"/>
      <c r="D52" s="37"/>
      <c r="E52" s="37"/>
      <c r="F52" s="37"/>
      <c r="G52" s="37"/>
      <c r="H52" s="37"/>
      <c r="I52" s="34"/>
    </row>
    <row r="53" spans="1:9" s="71" customFormat="1" ht="24" customHeight="1">
      <c r="A53" s="34"/>
      <c r="B53" s="33" t="s">
        <v>143</v>
      </c>
      <c r="C53" s="37"/>
      <c r="D53" s="37"/>
      <c r="E53" s="37"/>
      <c r="F53" s="37"/>
      <c r="G53" s="37"/>
      <c r="H53" s="37"/>
      <c r="I53" s="34"/>
    </row>
    <row r="54" spans="1:9" s="71" customFormat="1" ht="24" customHeight="1">
      <c r="A54" s="34"/>
      <c r="B54" s="33" t="s">
        <v>144</v>
      </c>
      <c r="C54" s="37"/>
      <c r="D54" s="37"/>
      <c r="E54" s="37"/>
      <c r="F54" s="37"/>
      <c r="G54" s="37"/>
      <c r="H54" s="37"/>
      <c r="I54" s="34"/>
    </row>
    <row r="55" spans="1:9" s="71" customFormat="1" ht="24" customHeight="1">
      <c r="A55" s="34"/>
      <c r="B55" s="33" t="s">
        <v>151</v>
      </c>
      <c r="C55" s="37"/>
      <c r="D55" s="37"/>
      <c r="E55" s="37"/>
      <c r="F55" s="37"/>
      <c r="G55" s="37"/>
      <c r="H55" s="37"/>
      <c r="I55" s="34"/>
    </row>
    <row r="56" spans="1:9" s="71" customFormat="1" ht="24" customHeight="1">
      <c r="A56" s="34"/>
      <c r="B56" s="33" t="s">
        <v>152</v>
      </c>
      <c r="C56" s="37"/>
      <c r="D56" s="37"/>
      <c r="E56" s="37"/>
      <c r="F56" s="37"/>
      <c r="G56" s="37"/>
      <c r="H56" s="37"/>
      <c r="I56" s="34"/>
    </row>
    <row r="57" spans="1:9" s="71" customFormat="1" ht="24" customHeight="1">
      <c r="A57" s="34"/>
      <c r="B57" s="33" t="s">
        <v>153</v>
      </c>
      <c r="C57" s="37"/>
      <c r="D57" s="37"/>
      <c r="E57" s="37"/>
      <c r="F57" s="37"/>
      <c r="G57" s="37"/>
      <c r="H57" s="37"/>
      <c r="I57" s="34"/>
    </row>
    <row r="58" spans="1:9" s="71" customFormat="1" ht="24" customHeight="1">
      <c r="A58" s="34"/>
      <c r="B58" s="33" t="s">
        <v>154</v>
      </c>
      <c r="C58" s="37"/>
      <c r="D58" s="37"/>
      <c r="E58" s="37"/>
      <c r="F58" s="37"/>
      <c r="G58" s="37"/>
      <c r="H58" s="37"/>
      <c r="I58" s="34"/>
    </row>
    <row r="59" spans="1:9" s="71" customFormat="1" ht="24" customHeight="1">
      <c r="A59" s="34"/>
      <c r="B59" s="33" t="s">
        <v>155</v>
      </c>
      <c r="C59" s="37"/>
      <c r="D59" s="37"/>
      <c r="E59" s="37"/>
      <c r="F59" s="37"/>
      <c r="G59" s="37"/>
      <c r="H59" s="37"/>
      <c r="I59" s="34"/>
    </row>
    <row r="60" spans="1:9" s="71" customFormat="1" ht="24" customHeight="1">
      <c r="A60" s="34"/>
      <c r="B60" s="33" t="s">
        <v>156</v>
      </c>
      <c r="C60" s="37"/>
      <c r="D60" s="37"/>
      <c r="E60" s="37"/>
      <c r="F60" s="37"/>
      <c r="G60" s="37"/>
      <c r="H60" s="37"/>
      <c r="I60" s="34"/>
    </row>
    <row r="61" spans="1:9" s="71" customFormat="1" ht="24" customHeight="1">
      <c r="A61" s="34"/>
      <c r="B61" s="33" t="s">
        <v>157</v>
      </c>
      <c r="C61" s="37"/>
      <c r="D61" s="37"/>
      <c r="E61" s="37"/>
      <c r="F61" s="37"/>
      <c r="G61" s="37"/>
      <c r="H61" s="37"/>
      <c r="I61" s="34"/>
    </row>
    <row r="62" spans="1:9" s="71" customFormat="1" ht="24" customHeight="1">
      <c r="A62" s="34"/>
      <c r="B62" s="33" t="s">
        <v>159</v>
      </c>
      <c r="C62" s="37"/>
      <c r="D62" s="37"/>
      <c r="E62" s="37"/>
      <c r="F62" s="37"/>
      <c r="G62" s="37"/>
      <c r="H62" s="37"/>
      <c r="I62" s="34"/>
    </row>
    <row r="63" spans="1:9" s="71" customFormat="1" ht="24" customHeight="1">
      <c r="A63" s="34"/>
      <c r="B63" s="33" t="s">
        <v>160</v>
      </c>
      <c r="C63" s="37"/>
      <c r="D63" s="37"/>
      <c r="E63" s="37"/>
      <c r="F63" s="37"/>
      <c r="G63" s="37"/>
      <c r="H63" s="37"/>
      <c r="I63" s="34"/>
    </row>
    <row r="64" spans="1:9" s="71" customFormat="1" ht="24" customHeight="1">
      <c r="A64" s="34"/>
      <c r="B64" s="101" t="s">
        <v>161</v>
      </c>
      <c r="C64" s="101"/>
      <c r="D64" s="101"/>
      <c r="E64" s="37"/>
      <c r="F64" s="37"/>
      <c r="G64" s="37"/>
      <c r="H64" s="37"/>
      <c r="I64" s="34"/>
    </row>
    <row r="65" spans="1:9" s="71" customFormat="1" ht="24" customHeight="1">
      <c r="A65" s="34"/>
      <c r="B65" s="102" t="s">
        <v>162</v>
      </c>
      <c r="C65" s="102"/>
      <c r="D65" s="102"/>
      <c r="E65" s="102"/>
      <c r="F65" s="102"/>
      <c r="G65" s="102"/>
      <c r="H65" s="102"/>
      <c r="I65" s="34"/>
    </row>
    <row r="66" spans="1:9" s="71" customFormat="1" ht="24" customHeight="1">
      <c r="A66" s="34"/>
      <c r="B66" s="101" t="s">
        <v>163</v>
      </c>
      <c r="C66" s="101"/>
      <c r="D66" s="101"/>
      <c r="E66" s="101"/>
      <c r="F66" s="101"/>
      <c r="G66" s="101"/>
      <c r="H66" s="101"/>
      <c r="I66" s="34"/>
    </row>
    <row r="67" spans="1:9" s="71" customFormat="1" ht="24" customHeight="1">
      <c r="A67" s="34"/>
      <c r="B67" s="33" t="s">
        <v>215</v>
      </c>
      <c r="C67" s="37"/>
      <c r="D67" s="37"/>
      <c r="E67" s="37"/>
      <c r="F67" s="37"/>
      <c r="G67" s="37"/>
      <c r="H67" s="37"/>
      <c r="I67" s="34"/>
    </row>
    <row r="68" spans="1:9" s="71" customFormat="1" ht="24" customHeight="1">
      <c r="A68" s="34"/>
      <c r="B68" s="33" t="s">
        <v>164</v>
      </c>
      <c r="C68" s="37"/>
      <c r="D68" s="37"/>
      <c r="E68" s="37"/>
      <c r="F68" s="37"/>
      <c r="G68" s="37"/>
      <c r="H68" s="37"/>
      <c r="I68" s="34"/>
    </row>
    <row r="69" spans="1:9" s="71" customFormat="1" ht="24" customHeight="1">
      <c r="A69" s="34"/>
      <c r="B69" s="33" t="s">
        <v>165</v>
      </c>
      <c r="C69" s="37"/>
      <c r="D69" s="37"/>
      <c r="E69" s="37"/>
      <c r="F69" s="37"/>
      <c r="G69" s="37"/>
      <c r="H69" s="37"/>
      <c r="I69" s="34"/>
    </row>
    <row r="70" spans="1:9" s="71" customFormat="1" ht="24" customHeight="1">
      <c r="A70" s="34"/>
      <c r="B70" s="33" t="s">
        <v>170</v>
      </c>
      <c r="C70" s="37"/>
      <c r="D70" s="37"/>
      <c r="E70" s="37"/>
      <c r="F70" s="37"/>
      <c r="G70" s="37"/>
      <c r="H70" s="37"/>
      <c r="I70" s="34"/>
    </row>
    <row r="71" spans="1:9" s="71" customFormat="1" ht="24" customHeight="1">
      <c r="A71" s="34"/>
      <c r="B71" s="33"/>
      <c r="C71" s="37"/>
      <c r="D71" s="37"/>
      <c r="E71" s="37"/>
      <c r="F71" s="37"/>
      <c r="G71" s="37"/>
      <c r="H71" s="37"/>
      <c r="I71" s="34"/>
    </row>
    <row r="72" spans="1:9" s="71" customFormat="1" ht="24" customHeight="1">
      <c r="A72" s="73"/>
      <c r="B72" s="39" t="s">
        <v>40</v>
      </c>
      <c r="C72" s="38"/>
      <c r="D72" s="38"/>
      <c r="E72" s="38"/>
      <c r="F72" s="38"/>
      <c r="G72" s="38"/>
      <c r="H72" s="38"/>
    </row>
    <row r="73" spans="1:9" s="42" customFormat="1" ht="24" customHeight="1">
      <c r="A73" s="34"/>
      <c r="B73" s="34" t="s">
        <v>129</v>
      </c>
      <c r="C73" s="37"/>
      <c r="D73" s="37"/>
      <c r="E73" s="37"/>
      <c r="F73" s="37"/>
      <c r="G73" s="37"/>
      <c r="H73" s="37"/>
      <c r="I73" s="34"/>
    </row>
    <row r="74" spans="1:9" s="42" customFormat="1" ht="24" customHeight="1">
      <c r="A74" s="34"/>
      <c r="B74" s="34" t="s">
        <v>158</v>
      </c>
      <c r="C74" s="37"/>
      <c r="D74" s="37"/>
      <c r="E74" s="37"/>
      <c r="F74" s="37"/>
      <c r="G74" s="37"/>
      <c r="H74" s="37"/>
      <c r="I74" s="34"/>
    </row>
    <row r="75" spans="1:9" s="42" customFormat="1" ht="24" customHeight="1">
      <c r="A75" s="34"/>
      <c r="B75" s="34" t="s">
        <v>122</v>
      </c>
      <c r="C75" s="37"/>
      <c r="D75" s="37"/>
      <c r="E75" s="37"/>
      <c r="F75" s="37"/>
      <c r="G75" s="37"/>
      <c r="H75" s="37"/>
      <c r="I75" s="34"/>
    </row>
    <row r="76" spans="1:9" s="42" customFormat="1" ht="24" customHeight="1">
      <c r="A76" s="34"/>
      <c r="B76" s="34" t="s">
        <v>123</v>
      </c>
      <c r="C76" s="37"/>
      <c r="D76" s="37"/>
      <c r="E76" s="37"/>
      <c r="F76" s="37"/>
      <c r="G76" s="37"/>
      <c r="H76" s="37"/>
      <c r="I76" s="34"/>
    </row>
    <row r="77" spans="1:9" s="42" customFormat="1" ht="24" customHeight="1">
      <c r="A77" s="34"/>
      <c r="B77" s="34" t="s">
        <v>213</v>
      </c>
      <c r="C77" s="37"/>
      <c r="D77" s="37"/>
      <c r="E77" s="37"/>
      <c r="F77" s="37"/>
      <c r="G77" s="37"/>
      <c r="H77" s="37"/>
      <c r="I77" s="34"/>
    </row>
    <row r="78" spans="1:9" s="42" customFormat="1" ht="24" customHeight="1">
      <c r="A78" s="34"/>
      <c r="B78" s="34" t="s">
        <v>214</v>
      </c>
      <c r="C78" s="37"/>
      <c r="D78" s="37"/>
      <c r="E78" s="37"/>
      <c r="F78" s="37"/>
      <c r="G78" s="37"/>
      <c r="H78" s="37"/>
      <c r="I78" s="34"/>
    </row>
    <row r="79" spans="1:9" s="42" customFormat="1" ht="24" customHeight="1">
      <c r="A79" s="34"/>
      <c r="B79" s="34" t="s">
        <v>133</v>
      </c>
      <c r="C79" s="37"/>
      <c r="D79" s="37"/>
      <c r="E79" s="37"/>
      <c r="F79" s="37"/>
      <c r="G79" s="37"/>
      <c r="H79" s="37"/>
      <c r="I79" s="34"/>
    </row>
    <row r="80" spans="1:9" s="42" customFormat="1" ht="24" customHeight="1">
      <c r="A80" s="34"/>
      <c r="B80" s="34" t="s">
        <v>134</v>
      </c>
      <c r="C80" s="37"/>
      <c r="D80" s="37"/>
      <c r="E80" s="37"/>
      <c r="F80" s="37"/>
      <c r="G80" s="37"/>
      <c r="H80" s="37"/>
      <c r="I80" s="34"/>
    </row>
    <row r="81" spans="1:9" s="42" customFormat="1" ht="24" customHeight="1">
      <c r="A81" s="34"/>
      <c r="B81" s="34"/>
      <c r="C81" s="37"/>
      <c r="D81" s="37"/>
      <c r="E81" s="37"/>
      <c r="F81" s="37"/>
      <c r="G81" s="37"/>
      <c r="H81" s="37"/>
      <c r="I81" s="34"/>
    </row>
    <row r="82" spans="1:9" ht="24" customHeight="1">
      <c r="A82" s="58"/>
      <c r="B82" s="50" t="s">
        <v>41</v>
      </c>
      <c r="C82" s="50"/>
      <c r="D82" s="50"/>
      <c r="E82" s="50"/>
      <c r="F82" s="36"/>
      <c r="G82" s="36"/>
      <c r="H82" s="36"/>
      <c r="I82" s="42"/>
    </row>
    <row r="83" spans="1:9" ht="24" customHeight="1">
      <c r="A83" s="58"/>
      <c r="B83" s="33" t="s">
        <v>166</v>
      </c>
      <c r="C83" s="50"/>
      <c r="D83" s="50"/>
      <c r="E83" s="50"/>
      <c r="F83" s="36"/>
      <c r="G83" s="36"/>
      <c r="H83" s="36"/>
      <c r="I83" s="42"/>
    </row>
    <row r="84" spans="1:9" ht="24" customHeight="1">
      <c r="A84" s="58"/>
      <c r="B84" s="33" t="s">
        <v>167</v>
      </c>
      <c r="C84" s="50"/>
      <c r="D84" s="50"/>
      <c r="E84" s="50"/>
      <c r="F84" s="36"/>
      <c r="G84" s="36"/>
      <c r="H84" s="36"/>
      <c r="I84" s="42"/>
    </row>
    <row r="85" spans="1:9" ht="24" customHeight="1">
      <c r="A85" s="58"/>
      <c r="B85" s="33" t="s">
        <v>137</v>
      </c>
      <c r="C85" s="50"/>
      <c r="D85" s="50"/>
      <c r="E85" s="50"/>
      <c r="F85" s="36"/>
      <c r="G85" s="36"/>
      <c r="H85" s="36"/>
      <c r="I85" s="42"/>
    </row>
    <row r="86" spans="1:9" ht="24" customHeight="1">
      <c r="A86" s="58"/>
      <c r="B86" s="33" t="s">
        <v>136</v>
      </c>
      <c r="C86" s="50"/>
      <c r="D86" s="50"/>
      <c r="E86" s="50"/>
      <c r="F86" s="36"/>
      <c r="G86" s="36"/>
      <c r="H86" s="36"/>
      <c r="I86" s="42"/>
    </row>
    <row r="87" spans="1:9" ht="24" customHeight="1">
      <c r="A87" s="71"/>
      <c r="B87" s="33" t="s">
        <v>138</v>
      </c>
      <c r="C87" s="33"/>
      <c r="D87" s="38"/>
      <c r="E87" s="40"/>
      <c r="F87" s="40"/>
      <c r="G87" s="40"/>
      <c r="H87" s="40"/>
      <c r="I87" s="71"/>
    </row>
    <row r="88" spans="1:9" ht="24" customHeight="1">
      <c r="A88" s="71"/>
      <c r="B88" s="33" t="s">
        <v>116</v>
      </c>
      <c r="C88" s="33"/>
      <c r="D88" s="38"/>
      <c r="E88" s="40"/>
      <c r="F88" s="40"/>
      <c r="G88" s="40"/>
      <c r="H88" s="40"/>
      <c r="I88" s="71"/>
    </row>
    <row r="89" spans="1:9" ht="24" customHeight="1">
      <c r="A89" s="71"/>
      <c r="B89" s="33" t="s">
        <v>109</v>
      </c>
      <c r="C89" s="33"/>
      <c r="D89" s="38"/>
      <c r="E89" s="40"/>
      <c r="F89" s="40"/>
      <c r="G89" s="40"/>
      <c r="H89" s="40"/>
      <c r="I89" s="71"/>
    </row>
    <row r="90" spans="1:9" ht="24" customHeight="1">
      <c r="A90" s="71"/>
      <c r="B90" s="33" t="s">
        <v>121</v>
      </c>
      <c r="C90" s="33"/>
      <c r="D90" s="38"/>
      <c r="E90" s="40"/>
      <c r="F90" s="40"/>
      <c r="G90" s="40"/>
      <c r="H90" s="40"/>
      <c r="I90" s="71"/>
    </row>
    <row r="91" spans="1:9" ht="24" customHeight="1">
      <c r="A91" s="71"/>
      <c r="B91" s="33" t="s">
        <v>139</v>
      </c>
      <c r="C91" s="33"/>
      <c r="D91" s="38"/>
      <c r="E91" s="40"/>
      <c r="F91" s="40"/>
      <c r="G91" s="40"/>
      <c r="H91" s="40"/>
      <c r="I91" s="71"/>
    </row>
    <row r="92" spans="1:9" ht="24" customHeight="1">
      <c r="A92" s="71"/>
      <c r="B92" s="33" t="s">
        <v>148</v>
      </c>
      <c r="C92" s="33"/>
      <c r="D92" s="38"/>
      <c r="E92" s="40"/>
      <c r="F92" s="40"/>
      <c r="G92" s="40"/>
      <c r="H92" s="40"/>
      <c r="I92" s="71"/>
    </row>
    <row r="93" spans="1:9" ht="24" customHeight="1">
      <c r="A93" s="71"/>
      <c r="B93" s="33" t="s">
        <v>142</v>
      </c>
      <c r="C93" s="33"/>
      <c r="D93" s="38"/>
      <c r="E93" s="40"/>
      <c r="F93" s="40"/>
      <c r="G93" s="40"/>
      <c r="H93" s="40"/>
      <c r="I93" s="71"/>
    </row>
    <row r="94" spans="1:9" ht="24" customHeight="1">
      <c r="A94" s="71"/>
      <c r="B94" s="33" t="s">
        <v>209</v>
      </c>
      <c r="C94" s="33"/>
      <c r="D94" s="38"/>
      <c r="E94" s="40"/>
      <c r="F94" s="40"/>
      <c r="G94" s="40"/>
      <c r="H94" s="40"/>
      <c r="I94" s="71"/>
    </row>
    <row r="95" spans="1:9" ht="24" customHeight="1">
      <c r="A95" s="71"/>
      <c r="B95" s="33" t="s">
        <v>210</v>
      </c>
      <c r="C95" s="33"/>
      <c r="D95" s="38"/>
      <c r="E95" s="40"/>
      <c r="F95" s="40"/>
      <c r="G95" s="40"/>
      <c r="H95" s="40"/>
      <c r="I95" s="71"/>
    </row>
    <row r="96" spans="1:9" ht="24" customHeight="1">
      <c r="A96" s="71"/>
      <c r="B96" s="33" t="s">
        <v>168</v>
      </c>
      <c r="C96" s="33"/>
      <c r="D96" s="38"/>
      <c r="E96" s="40"/>
      <c r="F96" s="40"/>
      <c r="G96" s="40"/>
      <c r="H96" s="40"/>
      <c r="I96" s="71"/>
    </row>
    <row r="97" spans="1:9" ht="24" customHeight="1">
      <c r="A97" s="71"/>
      <c r="B97" s="33" t="s">
        <v>172</v>
      </c>
      <c r="C97" s="33"/>
      <c r="D97" s="38"/>
      <c r="E97" s="40"/>
      <c r="F97" s="40"/>
      <c r="G97" s="40"/>
      <c r="H97" s="40"/>
      <c r="I97" s="71"/>
    </row>
    <row r="98" spans="1:9" ht="24" customHeight="1">
      <c r="A98" s="71"/>
      <c r="B98" s="34" t="s">
        <v>211</v>
      </c>
      <c r="C98" s="33"/>
      <c r="D98" s="38"/>
      <c r="E98" s="40"/>
      <c r="F98" s="40"/>
      <c r="G98" s="40"/>
      <c r="H98" s="40"/>
      <c r="I98" s="71"/>
    </row>
    <row r="99" spans="1:9" ht="24" customHeight="1">
      <c r="A99" s="71"/>
      <c r="C99" s="33"/>
      <c r="D99" s="38"/>
      <c r="E99" s="40"/>
      <c r="F99" s="40"/>
      <c r="G99" s="40"/>
      <c r="H99" s="40"/>
      <c r="I99" s="71"/>
    </row>
    <row r="100" spans="1:9" ht="24" customHeight="1">
      <c r="A100" s="69" t="s">
        <v>42</v>
      </c>
      <c r="C100" s="36"/>
      <c r="D100" s="36"/>
      <c r="E100" s="36"/>
      <c r="F100" s="36"/>
      <c r="G100" s="36"/>
      <c r="H100" s="36"/>
    </row>
    <row r="101" spans="1:9" ht="24" customHeight="1">
      <c r="B101" s="39" t="s">
        <v>39</v>
      </c>
      <c r="C101" s="41"/>
      <c r="D101" s="41"/>
      <c r="E101" s="41"/>
      <c r="F101" s="41"/>
      <c r="G101" s="41"/>
      <c r="H101" s="41"/>
    </row>
    <row r="102" spans="1:9" ht="24" customHeight="1">
      <c r="B102" s="71" t="s">
        <v>198</v>
      </c>
      <c r="C102" s="41"/>
      <c r="D102" s="41"/>
      <c r="E102" s="41"/>
      <c r="F102" s="41"/>
      <c r="G102" s="41"/>
      <c r="H102" s="41"/>
    </row>
    <row r="103" spans="1:9" ht="24" customHeight="1">
      <c r="B103" s="71" t="s">
        <v>184</v>
      </c>
      <c r="C103" s="41"/>
      <c r="D103" s="41"/>
      <c r="E103" s="41"/>
      <c r="F103" s="41"/>
      <c r="G103" s="41"/>
      <c r="H103" s="41"/>
    </row>
    <row r="104" spans="1:9" ht="24" customHeight="1">
      <c r="B104" s="71" t="s">
        <v>193</v>
      </c>
      <c r="C104" s="41"/>
      <c r="D104" s="41"/>
      <c r="E104" s="41"/>
      <c r="F104" s="41"/>
      <c r="G104" s="41"/>
      <c r="H104" s="41"/>
    </row>
    <row r="105" spans="1:9" ht="24" customHeight="1">
      <c r="B105" s="71" t="s">
        <v>194</v>
      </c>
      <c r="C105" s="41"/>
      <c r="D105" s="41"/>
      <c r="E105" s="41"/>
      <c r="F105" s="41"/>
      <c r="G105" s="41"/>
      <c r="H105" s="41"/>
    </row>
    <row r="106" spans="1:9" ht="24" customHeight="1">
      <c r="B106" s="71" t="s">
        <v>195</v>
      </c>
      <c r="C106" s="41"/>
      <c r="D106" s="41"/>
      <c r="E106" s="41"/>
      <c r="F106" s="41"/>
      <c r="G106" s="41"/>
      <c r="H106" s="41"/>
    </row>
    <row r="107" spans="1:9" ht="24" customHeight="1">
      <c r="B107" s="71" t="s">
        <v>192</v>
      </c>
      <c r="C107" s="41"/>
      <c r="D107" s="41"/>
      <c r="E107" s="41"/>
      <c r="F107" s="41"/>
      <c r="G107" s="41"/>
      <c r="H107" s="41"/>
    </row>
    <row r="108" spans="1:9" ht="24" customHeight="1">
      <c r="B108" s="93" t="s">
        <v>183</v>
      </c>
      <c r="C108" s="41"/>
      <c r="D108" s="41"/>
      <c r="E108" s="41"/>
      <c r="F108" s="41"/>
      <c r="G108" s="41"/>
      <c r="H108" s="41"/>
    </row>
    <row r="109" spans="1:9" ht="24" customHeight="1">
      <c r="B109" s="93" t="s">
        <v>118</v>
      </c>
      <c r="C109" s="41"/>
      <c r="D109" s="41"/>
      <c r="E109" s="41"/>
      <c r="F109" s="41"/>
      <c r="G109" s="41"/>
      <c r="H109" s="41"/>
    </row>
    <row r="110" spans="1:9" ht="24" customHeight="1">
      <c r="B110" s="93" t="s">
        <v>190</v>
      </c>
      <c r="C110" s="41"/>
      <c r="D110" s="41"/>
      <c r="E110" s="41"/>
      <c r="F110" s="41"/>
      <c r="G110" s="41"/>
      <c r="H110" s="41"/>
    </row>
    <row r="111" spans="1:9" ht="24" customHeight="1">
      <c r="B111" s="103" t="s">
        <v>191</v>
      </c>
      <c r="C111" s="103"/>
      <c r="D111" s="103"/>
      <c r="E111" s="41"/>
      <c r="F111" s="41"/>
      <c r="G111" s="41"/>
      <c r="H111" s="41"/>
    </row>
    <row r="112" spans="1:9" s="71" customFormat="1" ht="24" customHeight="1">
      <c r="B112" s="71" t="s">
        <v>173</v>
      </c>
    </row>
    <row r="113" spans="2:2" s="71" customFormat="1" ht="24" customHeight="1">
      <c r="B113" s="71" t="s">
        <v>174</v>
      </c>
    </row>
    <row r="114" spans="2:2" s="71" customFormat="1" ht="24" customHeight="1">
      <c r="B114" s="71" t="s">
        <v>175</v>
      </c>
    </row>
    <row r="115" spans="2:2" s="71" customFormat="1" ht="24" customHeight="1">
      <c r="B115" s="71" t="s">
        <v>176</v>
      </c>
    </row>
    <row r="116" spans="2:2" s="71" customFormat="1" ht="24" customHeight="1">
      <c r="B116" s="71" t="s">
        <v>177</v>
      </c>
    </row>
    <row r="117" spans="2:2" s="71" customFormat="1" ht="24" customHeight="1">
      <c r="B117" s="71" t="s">
        <v>178</v>
      </c>
    </row>
    <row r="118" spans="2:2" s="71" customFormat="1" ht="24" customHeight="1">
      <c r="B118" s="71" t="s">
        <v>180</v>
      </c>
    </row>
    <row r="119" spans="2:2" s="71" customFormat="1" ht="24" customHeight="1">
      <c r="B119" s="71" t="s">
        <v>182</v>
      </c>
    </row>
    <row r="120" spans="2:2" s="71" customFormat="1" ht="24" customHeight="1">
      <c r="B120" s="71" t="s">
        <v>188</v>
      </c>
    </row>
    <row r="121" spans="2:2" s="71" customFormat="1" ht="24" customHeight="1">
      <c r="B121" s="71" t="s">
        <v>186</v>
      </c>
    </row>
    <row r="122" spans="2:2" s="71" customFormat="1" ht="24" customHeight="1">
      <c r="B122" s="71" t="s">
        <v>199</v>
      </c>
    </row>
    <row r="123" spans="2:2" s="71" customFormat="1" ht="24" customHeight="1">
      <c r="B123" s="71" t="s">
        <v>200</v>
      </c>
    </row>
    <row r="124" spans="2:2" s="71" customFormat="1" ht="24" customHeight="1">
      <c r="B124" s="71" t="s">
        <v>202</v>
      </c>
    </row>
    <row r="125" spans="2:2" s="71" customFormat="1" ht="24" customHeight="1">
      <c r="B125" s="71" t="s">
        <v>203</v>
      </c>
    </row>
    <row r="126" spans="2:2" s="71" customFormat="1" ht="24" customHeight="1">
      <c r="B126" s="71" t="s">
        <v>204</v>
      </c>
    </row>
    <row r="127" spans="2:2" s="71" customFormat="1" ht="24" customHeight="1">
      <c r="B127" s="71" t="s">
        <v>205</v>
      </c>
    </row>
    <row r="128" spans="2:2" s="71" customFormat="1" ht="24" customHeight="1"/>
    <row r="129" spans="1:9" ht="24" customHeight="1">
      <c r="A129" s="71"/>
      <c r="B129" s="44" t="s">
        <v>40</v>
      </c>
      <c r="C129" s="40"/>
      <c r="D129" s="40"/>
      <c r="E129" s="40"/>
      <c r="F129" s="40"/>
      <c r="G129" s="40"/>
      <c r="H129" s="40"/>
      <c r="I129" s="71"/>
    </row>
    <row r="130" spans="1:9" s="73" customFormat="1" ht="258" customHeight="1">
      <c r="B130" s="101" t="s">
        <v>207</v>
      </c>
      <c r="C130" s="101"/>
      <c r="D130" s="101"/>
      <c r="E130" s="101"/>
      <c r="F130" s="101"/>
      <c r="G130" s="101"/>
      <c r="H130" s="101"/>
      <c r="I130" s="70"/>
    </row>
    <row r="131" spans="1:9" s="73" customFormat="1" ht="24" customHeight="1">
      <c r="B131" s="33" t="s">
        <v>201</v>
      </c>
      <c r="C131" s="70"/>
      <c r="D131" s="70"/>
      <c r="E131" s="40"/>
      <c r="F131" s="40"/>
      <c r="G131" s="40"/>
      <c r="H131" s="40"/>
      <c r="I131" s="70"/>
    </row>
    <row r="132" spans="1:9" s="73" customFormat="1" ht="24" customHeight="1">
      <c r="B132" s="33"/>
      <c r="C132" s="70"/>
      <c r="D132" s="70"/>
      <c r="E132" s="40"/>
      <c r="F132" s="40"/>
      <c r="G132" s="40"/>
      <c r="H132" s="40"/>
      <c r="I132" s="70"/>
    </row>
    <row r="133" spans="1:9" s="73" customFormat="1" ht="24" customHeight="1">
      <c r="B133" s="47" t="s">
        <v>41</v>
      </c>
      <c r="C133" s="38"/>
      <c r="D133" s="38"/>
      <c r="E133" s="38"/>
      <c r="F133" s="38"/>
      <c r="G133" s="38"/>
      <c r="H133" s="38"/>
    </row>
    <row r="134" spans="1:9" s="73" customFormat="1" ht="24" customHeight="1">
      <c r="B134" s="71" t="s">
        <v>179</v>
      </c>
      <c r="C134" s="38"/>
      <c r="D134" s="38"/>
      <c r="E134" s="38"/>
      <c r="F134" s="38"/>
      <c r="G134" s="38"/>
      <c r="H134" s="38"/>
    </row>
    <row r="135" spans="1:9" s="73" customFormat="1" ht="24" customHeight="1">
      <c r="B135" s="33" t="s">
        <v>181</v>
      </c>
      <c r="C135" s="35"/>
      <c r="D135" s="35"/>
      <c r="E135" s="35"/>
      <c r="F135" s="35"/>
      <c r="G135" s="35"/>
      <c r="H135" s="35"/>
    </row>
    <row r="136" spans="1:9" s="73" customFormat="1" ht="24" customHeight="1">
      <c r="B136" s="36" t="s">
        <v>185</v>
      </c>
      <c r="C136" s="35"/>
      <c r="D136" s="35"/>
      <c r="E136" s="35"/>
      <c r="F136" s="35"/>
      <c r="G136" s="35"/>
      <c r="H136" s="35"/>
    </row>
    <row r="137" spans="1:9" s="73" customFormat="1" ht="24" customHeight="1">
      <c r="B137" s="33" t="s">
        <v>187</v>
      </c>
      <c r="C137" s="38"/>
      <c r="D137" s="38"/>
      <c r="E137" s="38"/>
      <c r="F137" s="38"/>
      <c r="G137" s="38"/>
      <c r="H137" s="38"/>
    </row>
    <row r="138" spans="1:9" s="73" customFormat="1" ht="24" customHeight="1">
      <c r="B138" s="33" t="s">
        <v>189</v>
      </c>
      <c r="C138" s="38"/>
      <c r="D138" s="38"/>
      <c r="E138" s="38"/>
      <c r="F138" s="38"/>
      <c r="G138" s="38"/>
      <c r="H138" s="38"/>
    </row>
    <row r="139" spans="1:9" s="73" customFormat="1" ht="24" customHeight="1">
      <c r="A139" s="71"/>
      <c r="B139" s="33" t="s">
        <v>196</v>
      </c>
      <c r="C139" s="38"/>
      <c r="D139" s="38"/>
      <c r="E139" s="38"/>
      <c r="F139" s="38"/>
      <c r="G139" s="38"/>
      <c r="H139" s="38"/>
    </row>
    <row r="140" spans="1:9" s="73" customFormat="1" ht="24" customHeight="1">
      <c r="A140" s="71"/>
      <c r="B140" s="71" t="s">
        <v>197</v>
      </c>
      <c r="C140" s="38"/>
      <c r="D140" s="38"/>
      <c r="E140" s="38"/>
      <c r="F140" s="38"/>
      <c r="G140" s="38"/>
      <c r="H140" s="38"/>
    </row>
    <row r="141" spans="1:9" ht="24" customHeight="1">
      <c r="A141" s="71"/>
      <c r="B141" s="33"/>
      <c r="C141" s="38"/>
      <c r="D141" s="38"/>
      <c r="E141" s="38"/>
      <c r="F141" s="38"/>
      <c r="G141" s="38"/>
      <c r="H141" s="38"/>
      <c r="I141" s="73"/>
    </row>
    <row r="142" spans="1:9" s="71" customFormat="1" ht="24" customHeight="1">
      <c r="B142" s="34"/>
      <c r="C142" s="45"/>
      <c r="D142" s="45"/>
      <c r="E142" s="48"/>
      <c r="F142" s="48"/>
      <c r="G142" s="48"/>
      <c r="H142" s="45"/>
      <c r="I142" s="34"/>
    </row>
    <row r="143" spans="1:9" s="71" customFormat="1" ht="24" customHeight="1">
      <c r="A143" s="73"/>
      <c r="C143" s="40"/>
      <c r="D143" s="40"/>
      <c r="E143" s="40"/>
      <c r="F143" s="40"/>
      <c r="G143" s="40"/>
      <c r="H143" s="40"/>
    </row>
    <row r="144" spans="1:9" s="73" customFormat="1" ht="24" customHeight="1">
      <c r="A144" s="71"/>
      <c r="B144" s="71"/>
      <c r="C144" s="40"/>
      <c r="D144" s="40"/>
      <c r="E144" s="40"/>
      <c r="F144" s="40"/>
      <c r="G144" s="40"/>
      <c r="H144" s="40"/>
      <c r="I144" s="71"/>
    </row>
    <row r="145" spans="1:9" s="73" customFormat="1" ht="24" customHeight="1">
      <c r="A145" s="71"/>
      <c r="C145" s="38"/>
      <c r="D145" s="38"/>
      <c r="E145" s="38"/>
      <c r="F145" s="38"/>
      <c r="G145" s="38"/>
      <c r="H145" s="38"/>
    </row>
    <row r="146" spans="1:9" s="71" customFormat="1" ht="24" customHeight="1">
      <c r="B146" s="46"/>
      <c r="C146" s="38"/>
      <c r="D146" s="38"/>
      <c r="E146" s="38"/>
      <c r="F146" s="38"/>
      <c r="G146" s="38"/>
      <c r="H146" s="38"/>
      <c r="I146" s="73"/>
    </row>
    <row r="147" spans="1:9" s="71" customFormat="1" ht="24" customHeight="1">
      <c r="B147" s="46"/>
      <c r="C147" s="40"/>
      <c r="D147" s="40"/>
      <c r="E147" s="40"/>
      <c r="F147" s="40"/>
      <c r="G147" s="40"/>
      <c r="H147" s="40"/>
    </row>
    <row r="148" spans="1:9" s="71" customFormat="1" ht="24" customHeight="1">
      <c r="A148" s="73"/>
      <c r="B148" s="46"/>
      <c r="C148" s="40"/>
      <c r="D148" s="40"/>
      <c r="E148" s="40"/>
      <c r="F148" s="40"/>
      <c r="G148" s="40"/>
      <c r="H148" s="40"/>
    </row>
    <row r="149" spans="1:9" s="71" customFormat="1" ht="24" customHeight="1">
      <c r="B149" s="46"/>
      <c r="C149" s="40"/>
      <c r="D149" s="40"/>
      <c r="E149" s="40"/>
      <c r="F149" s="40"/>
      <c r="G149" s="40"/>
      <c r="H149" s="40"/>
    </row>
    <row r="150" spans="1:9" s="73" customFormat="1" ht="24" customHeight="1">
      <c r="A150" s="71"/>
      <c r="B150" s="46"/>
      <c r="C150" s="40"/>
      <c r="D150" s="40"/>
      <c r="E150" s="40"/>
      <c r="F150" s="40"/>
      <c r="G150" s="40"/>
      <c r="H150" s="40"/>
      <c r="I150" s="71"/>
    </row>
    <row r="151" spans="1:9" s="71" customFormat="1" ht="24" customHeight="1">
      <c r="B151" s="43"/>
      <c r="C151" s="38"/>
      <c r="D151" s="38"/>
      <c r="E151" s="38"/>
      <c r="F151" s="38"/>
      <c r="G151" s="38"/>
      <c r="H151" s="38"/>
      <c r="I151" s="73"/>
    </row>
    <row r="152" spans="1:9" s="71" customFormat="1" ht="24" customHeight="1">
      <c r="B152" s="43"/>
      <c r="C152" s="40"/>
      <c r="D152" s="40"/>
      <c r="E152" s="40"/>
      <c r="F152" s="40"/>
      <c r="G152" s="40"/>
      <c r="H152" s="40"/>
    </row>
    <row r="153" spans="1:9" s="71" customFormat="1" ht="24" customHeight="1">
      <c r="B153" s="43"/>
      <c r="C153" s="40"/>
      <c r="D153" s="40"/>
      <c r="E153" s="40"/>
      <c r="F153" s="40"/>
      <c r="G153" s="40"/>
      <c r="H153" s="40"/>
    </row>
    <row r="154" spans="1:9" s="71" customFormat="1" ht="24" customHeight="1">
      <c r="B154" s="43"/>
      <c r="C154" s="40"/>
      <c r="D154" s="40"/>
      <c r="E154" s="40"/>
      <c r="F154" s="40"/>
      <c r="G154" s="40"/>
      <c r="H154" s="40"/>
    </row>
    <row r="155" spans="1:9" s="71" customFormat="1" ht="24" customHeight="1">
      <c r="B155" s="46"/>
      <c r="C155" s="40"/>
      <c r="D155" s="40"/>
      <c r="E155" s="40"/>
      <c r="F155" s="40"/>
      <c r="G155" s="40"/>
      <c r="H155" s="40"/>
    </row>
    <row r="156" spans="1:9" s="71" customFormat="1" ht="24" customHeight="1">
      <c r="B156" s="46"/>
      <c r="C156" s="40"/>
      <c r="D156" s="40"/>
      <c r="E156" s="40"/>
      <c r="F156" s="40"/>
      <c r="G156" s="40"/>
      <c r="H156" s="40"/>
    </row>
    <row r="157" spans="1:9" s="71" customFormat="1" ht="24" customHeight="1">
      <c r="B157" s="46"/>
      <c r="C157" s="40"/>
      <c r="D157" s="40"/>
      <c r="E157" s="40"/>
      <c r="F157" s="40"/>
      <c r="G157" s="40"/>
      <c r="H157" s="40"/>
    </row>
    <row r="158" spans="1:9" s="71" customFormat="1" ht="24" customHeight="1">
      <c r="B158" s="46"/>
      <c r="C158" s="40"/>
      <c r="D158" s="40"/>
      <c r="E158" s="40"/>
      <c r="F158" s="40"/>
      <c r="G158" s="40"/>
      <c r="H158" s="40"/>
    </row>
    <row r="159" spans="1:9" s="71" customFormat="1" ht="24" customHeight="1">
      <c r="B159" s="46"/>
      <c r="C159" s="40"/>
      <c r="D159" s="40"/>
      <c r="E159" s="40"/>
      <c r="F159" s="40"/>
      <c r="G159" s="40"/>
      <c r="H159" s="40"/>
    </row>
    <row r="160" spans="1:9" s="71" customFormat="1" ht="24" customHeight="1">
      <c r="B160" s="46"/>
      <c r="C160" s="40"/>
      <c r="D160" s="40"/>
      <c r="E160" s="40"/>
      <c r="F160" s="40"/>
      <c r="G160" s="40"/>
      <c r="H160" s="40"/>
    </row>
    <row r="161" spans="1:9" s="71" customFormat="1" ht="24" customHeight="1">
      <c r="B161" s="46"/>
      <c r="C161" s="40"/>
      <c r="D161" s="40"/>
      <c r="E161" s="40"/>
      <c r="F161" s="40"/>
      <c r="G161" s="40"/>
      <c r="H161" s="40"/>
    </row>
    <row r="162" spans="1:9" s="71" customFormat="1" ht="24" customHeight="1">
      <c r="B162" s="46"/>
      <c r="C162" s="40"/>
      <c r="D162" s="40"/>
      <c r="E162" s="40"/>
      <c r="F162" s="40"/>
      <c r="G162" s="40"/>
      <c r="H162" s="40"/>
    </row>
    <row r="163" spans="1:9" s="71" customFormat="1" ht="24" customHeight="1">
      <c r="B163" s="46"/>
      <c r="C163" s="40"/>
      <c r="D163" s="40"/>
      <c r="E163" s="40"/>
      <c r="F163" s="40"/>
      <c r="G163" s="40"/>
      <c r="H163" s="40"/>
    </row>
    <row r="164" spans="1:9" s="71" customFormat="1" ht="24" customHeight="1">
      <c r="B164" s="46"/>
      <c r="C164" s="40"/>
      <c r="D164" s="40"/>
      <c r="E164" s="40"/>
      <c r="F164" s="40"/>
      <c r="G164" s="40"/>
      <c r="H164" s="40"/>
    </row>
    <row r="165" spans="1:9" s="71" customFormat="1" ht="24" customHeight="1">
      <c r="B165" s="46"/>
      <c r="C165" s="40"/>
      <c r="D165" s="40"/>
      <c r="E165" s="40"/>
      <c r="F165" s="40"/>
      <c r="G165" s="40"/>
      <c r="H165" s="40"/>
    </row>
    <row r="166" spans="1:9" s="71" customFormat="1" ht="24" customHeight="1">
      <c r="B166" s="34"/>
      <c r="C166" s="40"/>
      <c r="D166" s="40"/>
      <c r="E166" s="40"/>
      <c r="F166" s="40"/>
      <c r="G166" s="40"/>
      <c r="H166" s="40"/>
    </row>
    <row r="167" spans="1:9" s="71" customFormat="1" ht="24" customHeight="1">
      <c r="B167" s="34"/>
      <c r="C167" s="40"/>
      <c r="D167" s="40"/>
      <c r="E167" s="40"/>
      <c r="F167" s="40"/>
      <c r="G167" s="40"/>
      <c r="H167" s="40"/>
    </row>
    <row r="168" spans="1:9" s="71" customFormat="1" ht="24" customHeight="1">
      <c r="B168" s="34"/>
      <c r="C168" s="40"/>
      <c r="D168" s="40"/>
      <c r="E168" s="40"/>
      <c r="F168" s="40"/>
      <c r="G168" s="40"/>
      <c r="H168" s="40"/>
    </row>
    <row r="169" spans="1:9" s="71" customFormat="1" ht="24" customHeight="1">
      <c r="B169" s="34"/>
      <c r="C169" s="40"/>
      <c r="D169" s="40"/>
      <c r="E169" s="40"/>
      <c r="F169" s="40"/>
      <c r="G169" s="40"/>
      <c r="H169" s="40"/>
    </row>
    <row r="170" spans="1:9" s="71" customFormat="1" ht="24" customHeight="1">
      <c r="A170" s="34"/>
      <c r="B170" s="34"/>
      <c r="C170" s="40"/>
      <c r="D170" s="40"/>
      <c r="E170" s="40"/>
      <c r="F170" s="40"/>
      <c r="G170" s="40"/>
      <c r="H170" s="40"/>
    </row>
    <row r="171" spans="1:9" s="71" customFormat="1" ht="24" customHeight="1">
      <c r="A171" s="34"/>
      <c r="B171" s="34"/>
      <c r="C171" s="40"/>
      <c r="D171" s="40"/>
      <c r="E171" s="40"/>
      <c r="F171" s="40"/>
      <c r="G171" s="40"/>
      <c r="H171" s="40"/>
    </row>
    <row r="172" spans="1:9">
      <c r="C172" s="40"/>
      <c r="D172" s="40"/>
      <c r="E172" s="40"/>
      <c r="F172" s="40"/>
      <c r="G172" s="40"/>
      <c r="H172" s="40"/>
      <c r="I172" s="71"/>
    </row>
  </sheetData>
  <mergeCells count="12">
    <mergeCell ref="B64:D64"/>
    <mergeCell ref="B65:H65"/>
    <mergeCell ref="B66:H66"/>
    <mergeCell ref="B130:H130"/>
    <mergeCell ref="B111:D111"/>
    <mergeCell ref="A3:H3"/>
    <mergeCell ref="A1:I1"/>
    <mergeCell ref="A13:B13"/>
    <mergeCell ref="A2:H2"/>
    <mergeCell ref="B5:H5"/>
    <mergeCell ref="B7:H7"/>
    <mergeCell ref="B6:H6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 Table</vt:lpstr>
      <vt:lpstr>Summary</vt:lpstr>
      <vt:lpstr>'Total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maneerat nerwong</cp:lastModifiedBy>
  <cp:lastPrinted>2024-05-20T07:51:08Z</cp:lastPrinted>
  <dcterms:created xsi:type="dcterms:W3CDTF">2023-02-02T03:43:01Z</dcterms:created>
  <dcterms:modified xsi:type="dcterms:W3CDTF">2025-03-03T09:04:56Z</dcterms:modified>
</cp:coreProperties>
</file>