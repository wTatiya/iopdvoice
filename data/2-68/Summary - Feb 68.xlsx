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8\2. Fub 68\"/>
    </mc:Choice>
  </mc:AlternateContent>
  <xr:revisionPtr revIDLastSave="0" documentId="13_ncr:1_{A1ED0720-DA52-4E78-B9B1-BE27C959AA3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0">'Total Table'!$A$1:$N$116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1" i="1" l="1"/>
  <c r="O45" i="1"/>
  <c r="K68" i="1"/>
  <c r="K45" i="1"/>
  <c r="D22" i="1"/>
  <c r="B45" i="1"/>
  <c r="Q22" i="1"/>
  <c r="C45" i="1"/>
  <c r="P22" i="1"/>
  <c r="H45" i="1"/>
  <c r="G68" i="1"/>
  <c r="C91" i="1"/>
  <c r="B91" i="1"/>
  <c r="E68" i="1"/>
  <c r="I22" i="1" l="1"/>
  <c r="G22" i="1"/>
  <c r="F22" i="1"/>
  <c r="E22" i="1"/>
  <c r="K22" i="1"/>
  <c r="L22" i="1"/>
  <c r="M22" i="1"/>
  <c r="N22" i="1"/>
  <c r="O22" i="1"/>
  <c r="F45" i="1"/>
  <c r="B22" i="1"/>
  <c r="C22" i="1"/>
  <c r="N91" i="1" l="1"/>
  <c r="E45" i="1"/>
  <c r="D45" i="1" l="1"/>
  <c r="G45" i="1"/>
  <c r="J45" i="1"/>
  <c r="L45" i="1"/>
  <c r="M45" i="1"/>
  <c r="N45" i="1"/>
  <c r="L68" i="1"/>
  <c r="M68" i="1"/>
  <c r="N68" i="1"/>
  <c r="P68" i="1"/>
  <c r="O91" i="1"/>
  <c r="D91" i="1"/>
  <c r="E91" i="1"/>
  <c r="F91" i="1"/>
  <c r="G91" i="1"/>
  <c r="H91" i="1"/>
  <c r="I91" i="1"/>
  <c r="J91" i="1"/>
  <c r="L91" i="1"/>
  <c r="B68" i="1"/>
  <c r="C68" i="1"/>
  <c r="D68" i="1"/>
  <c r="F68" i="1"/>
  <c r="I68" i="1"/>
  <c r="J68" i="1"/>
</calcChain>
</file>

<file path=xl/sharedStrings.xml><?xml version="1.0" encoding="utf-8"?>
<sst xmlns="http://schemas.openxmlformats.org/spreadsheetml/2006/main" count="488" uniqueCount="217">
  <si>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</si>
  <si>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</si>
  <si>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</si>
  <si>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</si>
  <si>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</si>
  <si>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</si>
  <si>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</si>
  <si>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จักษุ</t>
  </si>
  <si>
    <t>จำนวนใบประเมิน</t>
  </si>
  <si>
    <t>ระดับคะแนนเฉลี่ย</t>
  </si>
  <si>
    <t>คิดเป็นร้อยละ</t>
  </si>
  <si>
    <t>ไตเทียม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</si>
  <si>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</si>
  <si>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</si>
  <si>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</si>
  <si>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</si>
  <si>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</si>
  <si>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</si>
  <si>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</si>
  <si>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</si>
  <si>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</si>
  <si>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</si>
  <si>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</si>
  <si>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</si>
  <si>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</si>
  <si>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</si>
  <si>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</si>
  <si>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</si>
  <si>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</si>
  <si>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</si>
  <si>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</si>
  <si>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</si>
  <si>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</si>
  <si>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</si>
  <si>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</si>
  <si>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</si>
  <si>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</si>
  <si>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</si>
  <si>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</si>
  <si>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</si>
  <si>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</si>
  <si>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</si>
  <si>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</si>
  <si>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</si>
  <si>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</si>
  <si>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</si>
  <si>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</si>
  <si>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</si>
  <si>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</si>
  <si>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</si>
  <si>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</si>
  <si>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</si>
  <si>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</si>
  <si>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</si>
  <si>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</si>
  <si>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</si>
  <si>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</si>
  <si>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</si>
  <si>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</si>
  <si>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</si>
  <si>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</si>
  <si>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</si>
  <si>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</si>
  <si>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</si>
  <si>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</si>
  <si>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</si>
  <si>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</si>
  <si>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</si>
  <si>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</si>
  <si>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</si>
  <si>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</si>
  <si>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หัตถการ</t>
  </si>
  <si>
    <t>ห้องบัตร ชั้น 1</t>
  </si>
  <si>
    <t>HBO</t>
  </si>
  <si>
    <t>1. แพทย์ให้ความสำคัญกับการตรวจร่างกายเพื่อวินิจฉัยโรค</t>
  </si>
  <si>
    <t>2. แพทย์ให้ข้อมูล/แนะนำวิธีการและทางเลือกในการรักษา</t>
  </si>
  <si>
    <t>3. คำถามและข้อสงสัย ได้รับคำตอบที่ชัดเจนจากแพทย์</t>
  </si>
  <si>
    <t>4. แพทย์รับฟัง/พูดคุยให้ท่านคลายความกังวลในอาการเจ็บป่วย</t>
  </si>
  <si>
    <t>5. ท่านได้มีโอกาสพูดคุยกับพยาบาลหรือเจ้าหน้าที่เรื่องอาการเจ็บป่วย</t>
  </si>
  <si>
    <t>6. พยาบาลเจ้าหน้าที่สามารถตอบข้อสงสัยได้ชัดเจน</t>
  </si>
  <si>
    <t>7. ท่านได้รับการดูแลเอาใจใส่</t>
  </si>
  <si>
    <t>8. ท่านมีส่วนร่วมในการตัดสินใจเรื่องการรักษาพยาบาล</t>
  </si>
  <si>
    <t>9. ท่านได้รับการดูแลอย่างเท่าเทียม ไม่เลือกปฏิบัติ</t>
  </si>
  <si>
    <t>10. ท่านได้รับคำแนะนำและขั้นตอนในการรับบริการโรงพยาบาล</t>
  </si>
  <si>
    <t>11. อาการเจ็บป่วยทางกายและใจได้รับการดูแลอย่างดี</t>
  </si>
  <si>
    <t>12. แพทย์เปิดโอกาสให้ผู้ป่วย/ญาติได้ซักถาม</t>
  </si>
  <si>
    <t>13. ผู้ป่วยและญาติได้รับข้อมูลการรักษาที่เป็นประโยชน์ สามารถดูแลตัวเองได้</t>
  </si>
  <si>
    <t>14. ท่านได้รับข้อมูลการใช้ยาและผลข้างเคียงอย่างชัดเจน</t>
  </si>
  <si>
    <t>15. ท่านได้รับคำแนะนำอย่างชัดเจนถึงอาการที่ควรกลับมาพบแพทย์</t>
  </si>
  <si>
    <t>16. ท่านพึงพอใจต่อการบริการของโรงพยาบาลโดยรวมในระดับใด</t>
  </si>
  <si>
    <t>PICU</t>
  </si>
  <si>
    <t>20B</t>
  </si>
  <si>
    <t>20C</t>
  </si>
  <si>
    <t>CCU</t>
  </si>
  <si>
    <t>เคมีบำบัด
และโรคเลือด</t>
  </si>
  <si>
    <t>สรุปการประเมินผล OP-IP VOICE เดือนกุมภาพันธ์ 2568</t>
  </si>
  <si>
    <t xml:space="preserve"> - 	มาแต่เช้าแต่กว่าจะเข้าตรวจ 15.00 น. และแจ้งแค่ว่ากล้ามเนื้ออักเสบ เหมือนจะได้รีบ ๆ จบ</t>
  </si>
  <si>
    <t xml:space="preserve"> - เวลาบริการ คิวเต็มเร็วเกิน ไป เวลา 17.49 น. คิวเต็มแล้ว คนไข้ทำงานเลิกงานก็ 17.00 น. แล้วยาก็หมด จะเอายาที่ไหนกิน น่าจะเผื่อเวลา คิว ให้มากกว่านี้ เงินก็เสียทุกเดือน</t>
  </si>
  <si>
    <t xml:space="preserve"> -	 การสอบถามอาการป่วย และแนะนำแนวทางการรักษา</t>
  </si>
  <si>
    <t xml:space="preserve"> -	 ควรมีรอยยิ้ม</t>
  </si>
  <si>
    <t xml:space="preserve"> -	 ไปตั้งแต่ 9.00 น. ได้กลับบ้าน 21.00 น. อยู่โรงพยาบาลครบ 12 ชั่วโมง รอนานมาก ๆ ขอย้ายสิทธิ์ดีกว่า รอนานเกิน</t>
  </si>
  <si>
    <t xml:space="preserve"> -  	เสียเวลาในการการลงทะเบียนเข้าการรักษาล่าช้า</t>
  </si>
  <si>
    <t xml:space="preserve"> -	 ควรปรับปรุง ให้ยื่นบัตรประชาชนก่อนแล้วสามารถไปวัดความดัน หรือซักประวัติอาการเจ็บป่วย</t>
  </si>
  <si>
    <t xml:space="preserve"> -	 การรอใช้บริการเรียกตรวจช้ามากรอประมาณ 1-2 ชั่วโมง กว่าจะดำเนินการได้ควรใช้เวลาให้น้อยกว่านี้ครับเพราะบางคนอาจจะมีเวลาจำกัดในการมาให้บริการไม่ควรเบรคนานเกินไปเท่า ๆ ที่จับเวลามาใช้บริการนานพอสมควรปรับปรุงเวลาเบรคให้ด้วยครับขอบคุนครับ</t>
  </si>
  <si>
    <t xml:space="preserve"> - แพทย์อาจมีไม่เพียงพอต่อจำคนไข้</t>
  </si>
  <si>
    <t xml:space="preserve"> - 	การเรียกคิวเข้าห้องตรวจ ควรขึ้นลำดับให้ชัดเจน เพราะบางทีเจ้าหน้าที่เรียกเสียงเบา และจะได้ทราบว่าใกล้ถึงคิวหรือยัง</t>
  </si>
  <si>
    <t xml:space="preserve"> - 	ควรยกเลิกการรับบัตรคิว ก่อนเข้าโรงพยาบาลตอนเช้า</t>
  </si>
  <si>
    <t xml:space="preserve"> - 	ทำให้ไวกว่านี้</t>
  </si>
  <si>
    <t xml:space="preserve"> - 	รถเข็น รถนอน ไม่พอให้บริการ</t>
  </si>
  <si>
    <t xml:space="preserve"> - แอร์เย็นไปหน่อย (2)</t>
  </si>
  <si>
    <t xml:space="preserve"> -	 การมารับบริการใหม่ แต่ละครั้งต้องกรอกข้อมูลเยอะมากน่าจะมีประวัติอยู่ในโรงพยาบาล เพื่อความสะดวกในการเช็คสิทธิการรักษาเพียงยื่นบัตรประชาชนใบเดียว แล้วควรมีพยาบาลถามอาการแล้วคีย์ลงในข้อมูลเลย แล้วจำแนกผู้ป่วยได้เลย</t>
  </si>
  <si>
    <t xml:space="preserve"> -	 ความล่าช้าในการรับการรักษา</t>
  </si>
  <si>
    <t xml:space="preserve"> -	 การรอใช้บริการเรียกตรวจช้ามากรอประมาณ 1-2 ชั่วโมง กว่าจะดำเนินการได้ควรใช้เวลาให้น้อยกว่านี้ครับเพราะบางคนบางท่านอาจจะมีเวลาจำกัดในการมาให้บริการไม่ควรเบรคนานเกินไปเท่า ๆ ที่จับเวลามาใช้บริการนานพอสมควรปรับปรุงเวลาเบรคให้ด้วยครับขอบคุณครับ</t>
  </si>
  <si>
    <t xml:space="preserve"> - 	ควรปรับปรุงเรื่องเวลาเรียกผู้ป่วย ค่อนข้างช้าเกินไป บางทีรอนาน</t>
  </si>
  <si>
    <t xml:space="preserve"> - 	การสอบถามอาการป่วย และแนะนำแนวทางการรักษา</t>
  </si>
  <si>
    <t xml:space="preserve"> -	 พูดจาไม่เพราะกับคนไข้</t>
  </si>
  <si>
    <t xml:space="preserve"> -	 ที่จอดรถ (2)</t>
  </si>
  <si>
    <t xml:space="preserve"> - ถ้ามีระบบเรียงคิวก็จะดี นั้งรอไม่รู้ไกล้หรือยัง ไม่กล้าลุกไปไหน</t>
  </si>
  <si>
    <t xml:space="preserve"> -	 เวลาขานชื่อคนไข้เบาไปหน่อย</t>
  </si>
  <si>
    <t xml:space="preserve"> -	 บอกรายละเอียดการพบแพทย์ไม่ชัดเจน</t>
  </si>
  <si>
    <t xml:space="preserve"> - 	ตรวจช้า พูดจาไม่ดี ตะคอกคนไข้</t>
  </si>
  <si>
    <t xml:space="preserve"> -	 จุดเจาะเลือดเดินไกล ควรอยู่ด้วยกันกับจุดตรวจครรภ์</t>
  </si>
  <si>
    <t xml:space="preserve"> -	 ทางขึ้นลงลานจอดรถแคบมาก</t>
  </si>
  <si>
    <t xml:space="preserve"> -	 อาหารชั้น 3 ราคาสูง</t>
  </si>
  <si>
    <t xml:space="preserve"> -	 นัดเวลาจะง่ายต่อคนมาใช้บริการ</t>
  </si>
  <si>
    <t xml:space="preserve"> - รอรับยานาน (5)</t>
  </si>
  <si>
    <t xml:space="preserve"> - 	ความรวดเร็ว (4)</t>
  </si>
  <si>
    <t xml:space="preserve"> -	 ควรจัดระเบียบการเข้าตึกตอนเช้าให้มีระบบที่ดีกว่านี้</t>
  </si>
  <si>
    <t xml:space="preserve"> - 	การจ่ายยังต้องปรับปรุงบ้าง </t>
  </si>
  <si>
    <t xml:space="preserve"> - 	รอคิวนาน (3)</t>
  </si>
  <si>
    <t xml:space="preserve"> -	 การตรงต่อเวลาในการนัดตรวจคนไข้</t>
  </si>
  <si>
    <t xml:space="preserve"> -	 กรณีที่ผู้ป่วยมาไม่ตรงตามนัด ไม่โทรแจ้ง รบกวนให้เจ้าที่หน้าให้คิวไว้ท้ายสุดของการรักษา</t>
  </si>
  <si>
    <t xml:space="preserve"> -	 ลำดับ ขั้นตอน สับสนทุกครั้งที่มาใช้บริการ </t>
  </si>
  <si>
    <t xml:space="preserve"> - เพิ่มเจ้าหน้าที่การดูแลผู้ป่วยที่มาพบแพทย์คนเดียว ในกรณีที่ผู้ป่วยอาการไม่ค่อยไหว</t>
  </si>
  <si>
    <t xml:space="preserve"> -	 รอเจาะเลือดนาน (2) </t>
  </si>
  <si>
    <t xml:space="preserve"> -	 ความชัดเจนในการแจ้งจุดต่าง ๆ ว่าสมควรไปทางไหน หรือจุดใดก่อน</t>
  </si>
  <si>
    <t xml:space="preserve"> -	 เวลาเรียกผู้ป่วยไม่ควรตรงกับเวลาประกาศประชาสัมพันธ์ เพราะเสียงตีกัน ผู้ป่วยไม่ได้ยินเสียงเรียก ขอให้ดูจังหวะสักหน่อยเพื่อป้องกันเสียงทับซ้อน</t>
  </si>
  <si>
    <t xml:space="preserve"> -	 ห้องจ่ายยาชั้น 6 ช้ามาก รอคอยนานมาก เป็นคนไข้รอบบ่ายกว่าจะได้ยาเกือบ 4 โมงเย็น ควรปรับปรุงให้เร็วกว่านี้</t>
  </si>
  <si>
    <t xml:space="preserve"> -	 ไม่ควรทำอะไรที่ทันสมัยเกินไป บางทีคนแก่ก็ตามไม่ทัน นึกถึงคนรุ่นเก่าบ้าง</t>
  </si>
  <si>
    <t xml:space="preserve"> -	 อยากให้มีการเพิ่มเครื่องตรวจวัดความดันตรงคลินิกเบาหวาน เพราะ ณ วันที่ทำการประเมินพบว่า มีเครื่องวัดความดันเครื่องเดียว ด้วยความที่แผนกนี้มีผู้สูงอายุเยอะ และบางครั้งมีคนท้องเลยไม่อยากให้กลุ่มคนเหล่านี้ยืนนาน ๆ</t>
  </si>
  <si>
    <t xml:space="preserve"> -	 ควรปรับปรุง เวลาเปลี่ยนขั้นตอนการรักษาต้องแจ้งให้ละเอียดกว่านี้มาแต่ละทีก็ไม่เหมือนเดิม ผู้ป่วยไม่ทราบถึงระบบ เช่น วันนี้จับบัตรคิวแล้วรอเข้าประตู ปกติเข้ามาจะลงทะเบียนที่ชั้น 6 ได้แต่วันนี้คนไข้ยืนรอนานมาก จนจะถึงคิวลงทะเบียนแล้วแต่กลับบอกว่าให้ไปลงทะเบียนชั้น 7 ต้องเสียเวลามากกับการยืนรอ 2 ที่ แทนที่จะแจ้งว่าครั้งหน้าให้ขึ้นมาลงที่ชั้น 7 เลย ทั้งที่คนไข้ยืนรอครึ่งชั่วโมงจะถึงคิวลงทะเบียนกลับไม่ให้ลงทะเบียน ต้องมาต่อแถวชั้น 7 อีกรอบ </t>
  </si>
  <si>
    <t xml:space="preserve"> -	 ปรับปรุงเรื่องการใช้คำพูด และน้ำเสียง (2)</t>
  </si>
  <si>
    <t xml:space="preserve"> - 	ควรมีร้านอาหารที่หลากหลาย</t>
  </si>
  <si>
    <t xml:space="preserve"> -	 อาหารชั้น 3 ควรมีหลายร้านไม่ควรผูกขาดร้านเดียว มีหลายร้านจะได้แข่งกันขาย คุณภาพกับราคาตอบโจทย์คนรับบริการ </t>
  </si>
  <si>
    <t xml:space="preserve"> -	 การให้บริการเจ้าที่หน้ารับสายเข้าโรงพยาบาลสมเด็จฯ ควรมีความรู้เกี่ยวกับเรื่องทั่วไป เช่น ราคาค่ารักษาวันหยุดเหลือนอกออกเวลาวันทำการ เคยพบว่าเจ้าหน้าที่ไม่ทราบข้อมูลแล้วโอนไปจุดคัดกรอง แล้วจุดคัดกรองไม่มีคนรับสาย </t>
  </si>
  <si>
    <t xml:space="preserve"> - 	การลงทะเบียน ไม่เข้าใจว่าตอนเช้าทำไมต้องมีเจ้าหน้าที่ไล่ให้ไปลงทะเบียนตามชั้นที่รักษาด้วย ทั้ง ๆ ที่ระบบสามารถลงได้ทุกชั้น เกิดกับชั้น 1 บ่อยมาก คือ อยากจะบอกว่าที่ไปลงทะเบียนชั้น 1 เพราะมันมี 5 ช่อง เทียบกับชั้นอื่นมีชั้นละช่อง</t>
  </si>
  <si>
    <t xml:space="preserve"> -	 ควรให้คำแนะนำผู้มาใช้บริการ ในการใช้สมาร์ทโฟน ควรใช้หูฟังหรือลดระดับเสียง เพื่อมิให้รบกวนผู้ใช้บริการท่านอื่น และสร้างบรรยากาศที่ดีในโรงพยาบาล ซึ่งสิ่งเหล่านี้เป็นสิ่งที่พึงปฏิบัติในพื้นที่สาธารณะอยู่แล้ว</t>
  </si>
  <si>
    <t xml:space="preserve"> -	 สถานที่จอดในอาคารควรจอดฟรี เพราะบางครั้งแพทย์นัดบ่ายแต่คนไข้อยู่ไกลมีการเจาะเลือดต้องมาเช้าเสียเวลาทั้งวัน ต้องมาเสียเงินอีก เหมือนซ้ำเดิมคนไข้มาใช้บริการโรงพยาบาล โดนหักเงินหรือเรียกเก็บแล้วยังต้องมาเสียค่าจอดรถ</t>
  </si>
  <si>
    <t xml:space="preserve"> -	 ที่จอดรถหายาก น้อย ไม่เพียงพอ (2)</t>
  </si>
  <si>
    <t xml:space="preserve"> - ลิฟต์นานมาก (2)</t>
  </si>
  <si>
    <t xml:space="preserve"> - 	ที่จอดรถแพง แคบ ทางเลี้ยวขึ้น-ลง</t>
  </si>
  <si>
    <t xml:space="preserve"> -	 ที่จอดรถจักรยานยนต์ควรปรับปรุง</t>
  </si>
  <si>
    <t xml:space="preserve"> -	 เก้าอี้นั่งรอไม่เพียงพอต้องยืนรอ (ห้องผ่าตัด/วิสัญญี)</t>
  </si>
  <si>
    <t xml:space="preserve"> - 	รอนาน (7)</t>
  </si>
  <si>
    <t xml:space="preserve"> - 	รอตรวจนาน (4)</t>
  </si>
  <si>
    <t xml:space="preserve"> -	 รอพบแพทย์นานมาก (5)</t>
  </si>
  <si>
    <t xml:space="preserve"> -	 ข้อมูลการรักษาบางอย่างไม่ค่อยชัดเจน เช่น บอกว่าผลเลือดปกติ ผ่านไปไม่นานมาแจ้งว่าต้องให้เลือด ค่าเลือดต่ำ</t>
  </si>
  <si>
    <t xml:space="preserve"> - 	น่าจะมีรถเข็นของใช้ผู้ป่วย ของใช้เด็กเยอะมาก ถ้ามีร้านค้าในโรงพยาบาลจะดีมาก คนเฝ้าลำบาก ต้องหาญาติซื้อของมาให้</t>
  </si>
  <si>
    <t xml:space="preserve"> - เปิดแอร์อุณหภูมิสูงขึ้นหน่อยค่ะ คนไข้หนาวผ้าห่ม 3 ผืนยังหนาว (18A)</t>
  </si>
  <si>
    <t xml:space="preserve"> -	 เคยมานอนปี 2566 อาหารอร่อยกว่านี้</t>
  </si>
  <si>
    <t xml:space="preserve"> -	 ช่วงเวลานอนพักคนไข้ หลัง 4 ทุ่ม เสียงควรเงียบ</t>
  </si>
  <si>
    <t xml:space="preserve"> -	 เวลาที่แน่นอนของการนัดพบหมอ</t>
  </si>
  <si>
    <t xml:space="preserve"> -	 เอกสารอยากให้มีการตามให้รวดเร็วมากขึ้น</t>
  </si>
  <si>
    <t xml:space="preserve"> - 	ที่นอนรุ่นเก่าน่าจะหมดอายุการใช้งาน เนื่องจากยุบเป็นร่อง คนมีน้ำหนักเยอะลุกขึ้น-ลงลำบาก  (18C)</t>
  </si>
  <si>
    <t xml:space="preserve"> -	 แอร์ในห้องเย็นมาก (18C)</t>
  </si>
  <si>
    <t xml:space="preserve"> -	 อยากให้แพทย์เฉพาะทางเข้ามาดูบ่อยกว่านี้</t>
  </si>
  <si>
    <t xml:space="preserve"> -	 อยากให้มีตู้ขายของกิน-ของใช้ บนชั้นโรงพยาบาลเพราะบางครั้งไม่มีญาติมาส่งของให้</t>
  </si>
  <si>
    <t xml:space="preserve"> - ห้องน้ำควรช่วยดูแลดับไฟเมื่อไม่ได้ใช้งาน  (18C)</t>
  </si>
  <si>
    <t xml:space="preserve"> -	 ความรวดเร็วในการให้บริการ</t>
  </si>
  <si>
    <t xml:space="preserve"> - 	รสชาติอาหารไม่ดีเลย</t>
  </si>
  <si>
    <t xml:space="preserve"> -	 กระดาษทิชชู่</t>
  </si>
  <si>
    <t xml:space="preserve"> -	 อยากให้บริการเร็วกว่านี้ก่อนกลับบ้าน</t>
  </si>
  <si>
    <t xml:space="preserve"> - อาหาร</t>
  </si>
  <si>
    <t xml:space="preserve"> - 	แพทย์เฉพาะทางที่รักษา ควรเข้าหาทำความเข้าใจกับคนไข้ ดูฟิล์ม X-say อย่างเดียวแล้วให้กลับบ้านได้ ไม่น่าจะเหมาะสม</t>
  </si>
  <si>
    <t xml:space="preserve"> - รอนานเรื่องเอกสาร กว่าจะได้ออกจากโรงพยาบาล</t>
  </si>
  <si>
    <t xml:space="preserve"> - 	ห้องน้ำชาย ชั้น 20 ไม่เปิดให้บริการ</t>
  </si>
  <si>
    <t xml:space="preserve"> - กลุ่มญาติบางกลุ่มที่มาเยี่ยมผู้ป่วยเสียงดัง ควรมีป้ายแจ้งเตือนเรื่องการใช้เสียง (20c)</t>
  </si>
  <si>
    <t xml:space="preserve"> - 	เสื้อรุงรังใส่ยาก</t>
  </si>
  <si>
    <t xml:space="preserve"> -	 แอร์หนาว (22A)</t>
  </si>
  <si>
    <t xml:space="preserve"> -	 ความรวดเร็วในการเข้าถึงผู้ป่วย</t>
  </si>
  <si>
    <t xml:space="preserve"> -	 อยากให้มีเก้าอี้ให้ญาตินั่ง 1 ตัว (22B)</t>
  </si>
  <si>
    <t xml:space="preserve"> -	 อาหารผู้ป่วย ไม่มีผลไม้ ของหวาน นม อาหารที่มีพริกเผ็ดเกินไป</t>
  </si>
  <si>
    <t xml:space="preserve"> -	 ทิชชู่ไม่มีทุกห้องน้ำ (22C)</t>
  </si>
  <si>
    <t xml:space="preserve"> -	 อาหารไม่หลากหลาย</t>
  </si>
  <si>
    <t xml:space="preserve"> -	 ให้นอนเตียงเสริมก่อนกลับบ้าน ทำไมไม่ให้คนที่จะมานอน รอก่อน</t>
  </si>
  <si>
    <t xml:space="preserve"> - ห้องน้ำไม่ค่อยสะอาด ทิชชู่น้อย (22D)</t>
  </si>
  <si>
    <t xml:space="preserve"> -	 อยากให้ใส่ใจบริการมากกว่านี้</t>
  </si>
  <si>
    <t xml:space="preserve"> - 	ห้องน้ำ ควรมีการดูแลให้แห้งทุกครั้งที่ทำความสะอาด (23A)</t>
  </si>
  <si>
    <t xml:space="preserve"> - 	น้ำดื่มควรมีมากกว่าวันละ 2 ขวด (23A)</t>
  </si>
  <si>
    <t xml:space="preserve"> -	 คำแนะนำเรื่องน้ำคาวปลา</t>
  </si>
  <si>
    <t xml:space="preserve"> -	 การรอเข้าห้องผู้ป่วยใช้เวลากว่า 7 ชั่วโมง ล่าช้ามาก ต้องนั่งรออยู่บนรถเข็นเป็นเวลานาน เจ้าหน้าที่ควรอธิบายและบอกเหตุผลให้ชัดเจนในการรอ</t>
  </si>
  <si>
    <t xml:space="preserve"> -	 การแจ้งค่าใช้จ่ายก่อนการรักษา</t>
  </si>
  <si>
    <t xml:space="preserve"> -	 อยากให้มีการประทับตรายาง เวลาจอดรถ สำหรับญาติที่มาเฝ้าไข้ เพื่อช่วยลดภาระค่าใช้จ่าย</t>
  </si>
  <si>
    <t xml:space="preserve"> - 	แอร์ปรับอุณหภูมิ ไม่ได้ (25A)</t>
  </si>
  <si>
    <t xml:space="preserve"> -	 อาหารคนเฝ้า ต้องลงไปหาเองปกติที่อื่นมีใบเมนูให้</t>
  </si>
  <si>
    <t xml:space="preserve"> -	 ห้องอาบน้ำพื้นลื่น  (25A)</t>
  </si>
  <si>
    <t xml:space="preserve"> -	 แมลงสาบ  (25A)</t>
  </si>
  <si>
    <t xml:space="preserve"> -	 ควรให้เฝ้าได้ 2 คน</t>
  </si>
  <si>
    <t xml:space="preserve"> -	 แมลงสาบ  (25B)</t>
  </si>
  <si>
    <t xml:space="preserve"> - 	คิวผ่าตัดไม่แน่นอน</t>
  </si>
  <si>
    <t xml:space="preserve"> -	 อยากให้มีรองเท้าใส่ในห้อง (26B)</t>
  </si>
  <si>
    <t xml:space="preserve"> - 	ที่นอนยุบตัวและห่อตัวเวลานอน (26B)</t>
  </si>
  <si>
    <t>อันดับ 3 การทำงานและพฤติกรรมของบุคลากร (OPD : 2 IPD : 1 )</t>
  </si>
  <si>
    <t>อันดับ 2 อุปกรณ์ เครื่องมือ และสถานที่ไม่สมบูรณ์ (OPD : 13  IPD : 22)</t>
  </si>
  <si>
    <t xml:space="preserve"> - 	รู้สึกไม่พอใจกับการทำงานของเจ้าหน้าที่จุดลงทะเบียน เจ้าหน้าที่เคาน์เตอร์ที่ 2 ช่วงเวลาประมาณ 15:00 น. ผู้ป่วยเป็นคนไข้มะเร็งระยะ 3 และมีอาการขาดน้ำ ล้ม และมีภาวะหลงลืมเฉียบพลัน ทานอาหารไม่ได้ จึงรีบนำคนป่วยมาส่งโรงพยาบาลและไม่ได้นำบัตรประชาชนติดมาด้วย มีแต่บัตรข้าราชการ แต่ไม่สามารถลงทะเบียนใช้สิทธิ์สวัสดิการอปท. ได้ ต้องใช้สิทธิ์ชำระเป็นเงินสดเนื่องจากไม่ได้นำบัตรประชาชนมา ทางญาติได้แจ้งเจ้าหน้าที่แล้วว่าได้เดินทางมาจากจังหวัดฉะเชิงเทรา แต่ก็ไม่สามารถจะใช้สิทธิ์ได้ เจ้าหน้าที่แจ้งว่าเป็นนโยบายจากผู้บริหาร เข้าใจค่ะว่าเจ้าหน้าที่ทำตามกฎระเบียบ แต่บางครั้งก็ควรจะเห็นใจและอะลุ่มอล่วยให้บ้างไหมคะในบางกรณี คือน่าจะมีความเห็นอกเห็นใจญาติและคนไข้ หลังจากที่ดำเนินการเสร็จ แพทย์ให้นอนโรงพยาบาลจึงได้ขับรถกลับไปฉะเชิงเทราเพื่อไปนำบัตรประชาชนของคนไข้มา ซึ่งกลับมาถึงโรงพยาบาลช่วงเวลา 22.00 น. อยากขอความกรุณาจากผู้บริหารให้มีการพิจารณาในส่วนนี้นะคะ ขอบคุณมากค่ะ</t>
  </si>
  <si>
    <t xml:space="preserve"> -	 ข้อมูลการรักษาบางอย่างไม่ค่อยชัดเจน เช่น บอกว่าผลเลือดปกติ ผ่านไปไม่นานมาแจ้งว่าต้องให้เลือด ค่าเลือดต่ำ (ห้องคลอด)</t>
  </si>
  <si>
    <t>1099</t>
  </si>
  <si>
    <t>1333</t>
  </si>
  <si>
    <t>ผ่าตัด 
นอกเวลา</t>
  </si>
  <si>
    <t>การเงิน 
และบัญชี</t>
  </si>
  <si>
    <t>35</t>
  </si>
  <si>
    <t xml:space="preserve"> -	 ระบบการจ่ายเงินนอกเวลามีการเปลี่ยนแปลงทำให้ต้องจ่ายเงินมากขึ้น แพทย์บอกแล้วว่าเป็นที่ระบบคอม ไม่เข้าใจว่าเกิดอะไรขึ้นแต่แบบเดิมเรื่องค่าใช้จ่ายดีอยู่แล้วค่ะ</t>
  </si>
  <si>
    <t xml:space="preserve"> -	 เข้าใช้บริการเมื่อวานนี่(13/2/68) คลินิคพรีเมี่ยมนอกเวลา ทำช๊อคเวฟที่ส้นเท้า เคยมาทำแล้ว3ครั้ง ก็จ่ายเงิน1,150 ทุกครั้ง แต่ครั้งล่าสุดนี้ จ่าย1.650 โดยแรกคุณหมอแจ้งไว้ที่1,150(รวมค่าบริการพยาบาลแล้ว) และก็ครั้งที่ 2 และ 3 ก็เป็นราคาเดิม (หลังสุดวันที่30ม.ค68) แต่พอวันที่13ก.พ 68 ทำไมถึงจ่ายไม่เท่าเดิม โดยคุณหมอ และเจ้าหน้าก็งง เลยอยากทราบว่า 
1.การเปลี่ยนแปลงราคา ค่าบริการ ไม่มีการแจ้งเจ้าหน้าที่หน้างานก่อนเหรอคะ? และเปลี่ยนแปลงทุกแผนกทุกหมอหรือเปล่าเพราะมีนัดคลินิกนอกเวลาอีก 2 นัด 2 หมอ 2 แผนกค่ะ
2.ค่าบริการที่เพิ่มมาจาก1,150(2รายกาาร) ของวันที่30ม.ค.68 ดังนี้
o	1. 55021 ค่าบริการคลีนิกนอกเวลาเฉพาะทาง 150 บาท
o	2. ค่าธรรมเนียมแพทย์ คลีนิกพิเศษนอกเวลาเบิกราชการไม่ได้. 1,000 บาท
รวมเป็นเงิน 1,150บาท 
และครั้งล่าสุด13 ก.พ. 68 3รายการ มีดังนี้
o	1. 55021 ค่าบริการคลีนิกนอกเลาเฉพาะทาง. 150 บาท
o	2. ค่าธรรมเนียมแพทย์ คลีนิกพิเศษเฉพาะทางนอกเวลา. 500 บาท
o	3. ค่าทำเนียมแพทย์ทำหัตถการ คลินิกพิเศษนอกเวลา1ตำแหน่ง. 1,000 บาท..
อยากทราบว่าข้อ 3. จากค่าบริการครั้งล่าสุด มาจากอะไร ทำไมก่อนหน้านั้นไม่มี? และถ้าจำเป็นต้องมี ราคานี้แพงไปมั้ยคะ จุดละ1,000 ราคาเท่าเอกชนเลยเหรอคะ คนไข้ที่มาที่นี่ รายได้น้อยกันก็เยอะนะคะ แต่เพราะความอยากหาย และคิวที่รอนานก็ยอมเสียเงินเอง อยากให้ทางโรงพยาบาล ปรับลดราคาค่าบริการลงหน่อยได้ไหมคะ อย่างค่าทำเนียมแพทย์ ครั้งละ500เท่าโรงบาลเอกชนก็พอเข้าใจค่ะ แต่ค่าหัตถการจุดละ1.000นี่สูงไปไหมคะ และจำเป็นต้องมีหรือคะถ้าทำ2จุดนี่ก็2.000เลย รวมค่าหมอค่าพยาบาล2,650เลยนะคะ อยากให้พิจราณาลดลงหน่อยได้ไหมคะ ขอบคุณค่ะ</t>
  </si>
  <si>
    <t xml:space="preserve"> 238 </t>
  </si>
  <si>
    <t xml:space="preserve">ค่าเฉลี่ยความพึงพอใจการใช้บริการของโรงพยาบาล OPD = 87.14 % IPD = 90.95%  </t>
  </si>
  <si>
    <t>ค่าเฉลี่ยการแนะนำญาติหรือคนรู้จักให้มาใช้บริการที่โรงพยาบาล  OPD = 95.72% IPD = 98.35%</t>
  </si>
  <si>
    <t>อันดับ 1 การให้บริการโดยรวม (OPD : 48  IPD : 24 )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</si>
</sst>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.00"/>
  </numFmts>
  <fonts count="32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7" fontId="19" fillId="0" borderId="1" xfId="11" applyNumberFormat="1" applyFont="1" applyBorder="1" applyAlignment="1">
      <alignment horizontal="center" vertical="center"/>
    </xf>
    <xf numFmtId="187" fontId="19" fillId="0" borderId="1" xfId="13" applyNumberFormat="1" applyFont="1" applyBorder="1" applyAlignment="1">
      <alignment horizontal="center" vertical="center"/>
    </xf>
    <xf numFmtId="2" fontId="21" fillId="6" borderId="1" xfId="0" applyNumberFormat="1" applyFont="1" applyFill="1" applyBorder="1" applyAlignment="1">
      <alignment horizontal="center" vertical="center" wrapText="1"/>
    </xf>
    <xf numFmtId="187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87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87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8" fillId="6" borderId="1" xfId="14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87" fontId="27" fillId="0" borderId="1" xfId="11" applyNumberFormat="1" applyFont="1" applyBorder="1" applyAlignment="1">
      <alignment horizontal="center" vertical="center"/>
    </xf>
    <xf numFmtId="187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 wrapText="1"/>
    </xf>
    <xf numFmtId="49" fontId="26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</cellXfs>
  <cellStyles count="18">
    <cellStyle name="Normal" xfId="0" builtinId="0"/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zoomScale="90" zoomScaleNormal="90" zoomScaleSheetLayoutView="80" workbookViewId="0">
      <selection activeCell="H3" sqref="H3"/>
    </sheetView>
  </sheetViews>
  <sheetFormatPr defaultColWidth="9" defaultRowHeight="21"/>
  <cols>
    <col min="1" max="1" width="62.625" style="4" customWidth="1"/>
    <col min="2" max="2" width="10.75" style="4" customWidth="1"/>
    <col min="3" max="18" width="10.75" style="3" customWidth="1"/>
    <col min="19" max="16384" width="9" style="3"/>
  </cols>
  <sheetData>
    <row r="1" spans="1:18" s="13" customFormat="1" ht="49.7" customHeight="1">
      <c r="A1" s="93" t="s">
        <v>95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8" s="13" customFormat="1" ht="49.7" customHeigh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8" s="2" customFormat="1" ht="54.75" customHeight="1">
      <c r="A3" s="6" t="s">
        <v>0</v>
      </c>
      <c r="B3" s="87" t="s">
        <v>70</v>
      </c>
      <c r="C3" s="87" t="s">
        <v>72</v>
      </c>
      <c r="D3" s="87" t="s">
        <v>68</v>
      </c>
      <c r="E3" s="1" t="s">
        <v>2</v>
      </c>
      <c r="F3" s="1" t="s">
        <v>57</v>
      </c>
      <c r="G3" s="1" t="s">
        <v>63</v>
      </c>
      <c r="H3" s="1" t="s">
        <v>58</v>
      </c>
      <c r="I3" s="1" t="s">
        <v>3</v>
      </c>
      <c r="J3" s="1" t="s">
        <v>4</v>
      </c>
      <c r="K3" s="1" t="s">
        <v>60</v>
      </c>
      <c r="L3" s="1" t="s">
        <v>49</v>
      </c>
      <c r="M3" s="1" t="s">
        <v>43</v>
      </c>
      <c r="N3" s="1" t="s">
        <v>5</v>
      </c>
      <c r="O3" s="1" t="s">
        <v>65</v>
      </c>
      <c r="P3" s="1" t="s">
        <v>61</v>
      </c>
      <c r="Q3" s="1" t="s">
        <v>69</v>
      </c>
      <c r="R3" s="1" t="s">
        <v>54</v>
      </c>
    </row>
    <row r="4" spans="1:18" s="83" customFormat="1" ht="24.75" customHeight="1" thickBot="1">
      <c r="A4" s="80" t="s">
        <v>8</v>
      </c>
      <c r="B4" s="25">
        <v>13</v>
      </c>
      <c r="C4" s="81">
        <v>1</v>
      </c>
      <c r="D4" s="62">
        <v>1</v>
      </c>
      <c r="E4" s="82">
        <v>52</v>
      </c>
      <c r="F4" s="91">
        <v>36</v>
      </c>
      <c r="G4" s="91">
        <v>31</v>
      </c>
      <c r="H4" s="62" t="s">
        <v>66</v>
      </c>
      <c r="I4" s="81">
        <v>116</v>
      </c>
      <c r="J4" s="62" t="s">
        <v>66</v>
      </c>
      <c r="K4" s="81">
        <v>135</v>
      </c>
      <c r="L4" s="81">
        <v>45</v>
      </c>
      <c r="M4" s="81">
        <v>87</v>
      </c>
      <c r="N4" s="81">
        <v>73</v>
      </c>
      <c r="O4" s="81">
        <v>39</v>
      </c>
      <c r="P4" s="81">
        <v>4</v>
      </c>
      <c r="Q4" s="81">
        <v>1</v>
      </c>
      <c r="R4" s="62" t="s">
        <v>66</v>
      </c>
    </row>
    <row r="5" spans="1:18" s="2" customFormat="1" ht="24" customHeight="1" thickBot="1">
      <c r="A5" s="89" t="s">
        <v>74</v>
      </c>
      <c r="B5" s="24">
        <v>3.8461538461538463</v>
      </c>
      <c r="C5" s="75">
        <v>5</v>
      </c>
      <c r="D5" s="75">
        <v>1</v>
      </c>
      <c r="E5" s="30">
        <v>4.1538461538461533</v>
      </c>
      <c r="F5" s="75">
        <v>4.5555555555555562</v>
      </c>
      <c r="G5" s="24">
        <v>3.935483870967742</v>
      </c>
      <c r="H5" s="62" t="s">
        <v>66</v>
      </c>
      <c r="I5" s="20">
        <v>4.3706896551724137</v>
      </c>
      <c r="J5" s="62" t="s">
        <v>66</v>
      </c>
      <c r="K5" s="20">
        <v>4.3925925925925906</v>
      </c>
      <c r="L5" s="20">
        <v>4.5111111111111111</v>
      </c>
      <c r="M5" s="20">
        <v>4.4827586206896557</v>
      </c>
      <c r="N5" s="20">
        <v>4.1643835616438354</v>
      </c>
      <c r="O5" s="24">
        <v>4.6923076923076934</v>
      </c>
      <c r="P5" s="75">
        <v>4.75</v>
      </c>
      <c r="Q5" s="75">
        <v>5</v>
      </c>
      <c r="R5" s="62" t="s">
        <v>66</v>
      </c>
    </row>
    <row r="6" spans="1:18" s="2" customFormat="1" ht="24" customHeight="1" thickBot="1">
      <c r="A6" s="90" t="s">
        <v>75</v>
      </c>
      <c r="B6" s="24">
        <v>3.6923076923076921</v>
      </c>
      <c r="C6" s="75">
        <v>5</v>
      </c>
      <c r="D6" s="75">
        <v>2</v>
      </c>
      <c r="E6" s="30">
        <v>4.1923076923076925</v>
      </c>
      <c r="F6" s="75">
        <v>4.4722222222222223</v>
      </c>
      <c r="G6" s="24">
        <v>4.032258064516129</v>
      </c>
      <c r="H6" s="62" t="s">
        <v>66</v>
      </c>
      <c r="I6" s="20">
        <v>4.4051724137931041</v>
      </c>
      <c r="J6" s="62" t="s">
        <v>66</v>
      </c>
      <c r="K6" s="20">
        <v>4.4222222222222198</v>
      </c>
      <c r="L6" s="20">
        <v>4.5333333333333341</v>
      </c>
      <c r="M6" s="20">
        <v>4.5517241379310356</v>
      </c>
      <c r="N6" s="20">
        <v>4.2602739726027403</v>
      </c>
      <c r="O6" s="24">
        <v>4.7948717948717938</v>
      </c>
      <c r="P6" s="75">
        <v>4.75</v>
      </c>
      <c r="Q6" s="75">
        <v>5</v>
      </c>
      <c r="R6" s="62" t="s">
        <v>66</v>
      </c>
    </row>
    <row r="7" spans="1:18" s="2" customFormat="1" ht="24" customHeight="1" thickBot="1">
      <c r="A7" s="90" t="s">
        <v>76</v>
      </c>
      <c r="B7" s="24">
        <v>3.8461538461538458</v>
      </c>
      <c r="C7" s="75">
        <v>5</v>
      </c>
      <c r="D7" s="75">
        <v>2</v>
      </c>
      <c r="E7" s="30">
        <v>4.1923076923076925</v>
      </c>
      <c r="F7" s="75">
        <v>4.416666666666667</v>
      </c>
      <c r="G7" s="24">
        <v>4.0322580645161281</v>
      </c>
      <c r="H7" s="62" t="s">
        <v>66</v>
      </c>
      <c r="I7" s="20">
        <v>4.3362068965517242</v>
      </c>
      <c r="J7" s="62" t="s">
        <v>66</v>
      </c>
      <c r="K7" s="20">
        <v>4.3555555555555525</v>
      </c>
      <c r="L7" s="20">
        <v>4.5555555555555571</v>
      </c>
      <c r="M7" s="20">
        <v>4.5632183908045958</v>
      </c>
      <c r="N7" s="20">
        <v>4.1506849315068495</v>
      </c>
      <c r="O7" s="24">
        <v>4.7948717948717947</v>
      </c>
      <c r="P7" s="75">
        <v>4.75</v>
      </c>
      <c r="Q7" s="75">
        <v>5</v>
      </c>
      <c r="R7" s="62" t="s">
        <v>66</v>
      </c>
    </row>
    <row r="8" spans="1:18" s="2" customFormat="1" ht="24" customHeight="1" thickBot="1">
      <c r="A8" s="90" t="s">
        <v>77</v>
      </c>
      <c r="B8" s="24">
        <v>3.9230769230769234</v>
      </c>
      <c r="C8" s="75">
        <v>5</v>
      </c>
      <c r="D8" s="75">
        <v>2</v>
      </c>
      <c r="E8" s="30">
        <v>4.2307692307692326</v>
      </c>
      <c r="F8" s="75">
        <v>4.333333333333333</v>
      </c>
      <c r="G8" s="24">
        <v>4.1290322580645169</v>
      </c>
      <c r="H8" s="62" t="s">
        <v>66</v>
      </c>
      <c r="I8" s="20">
        <v>4.405172413793105</v>
      </c>
      <c r="J8" s="62" t="s">
        <v>66</v>
      </c>
      <c r="K8" s="20">
        <v>4.3555555555555534</v>
      </c>
      <c r="L8" s="20">
        <v>4.5111111111111111</v>
      </c>
      <c r="M8" s="20">
        <v>4.5172413793103434</v>
      </c>
      <c r="N8" s="20">
        <v>4.178082191780824</v>
      </c>
      <c r="O8" s="24">
        <v>4.7948717948717947</v>
      </c>
      <c r="P8" s="75">
        <v>4.75</v>
      </c>
      <c r="Q8" s="75">
        <v>5</v>
      </c>
      <c r="R8" s="62" t="s">
        <v>66</v>
      </c>
    </row>
    <row r="9" spans="1:18" s="2" customFormat="1" ht="24" customHeight="1" thickBot="1">
      <c r="A9" s="90" t="s">
        <v>78</v>
      </c>
      <c r="B9" s="24">
        <v>3.4615384615384617</v>
      </c>
      <c r="C9" s="75">
        <v>5</v>
      </c>
      <c r="D9" s="75">
        <v>2</v>
      </c>
      <c r="E9" s="30">
        <v>4.0192307692307692</v>
      </c>
      <c r="F9" s="75">
        <v>3.8611111111111107</v>
      </c>
      <c r="G9" s="24">
        <v>3.645161290322581</v>
      </c>
      <c r="H9" s="62" t="s">
        <v>66</v>
      </c>
      <c r="I9" s="20">
        <v>4.1982758620689644</v>
      </c>
      <c r="J9" s="62" t="s">
        <v>66</v>
      </c>
      <c r="K9" s="20">
        <v>4.0888888888888886</v>
      </c>
      <c r="L9" s="20">
        <v>4.3999999999999986</v>
      </c>
      <c r="M9" s="20">
        <v>4.4597701149425255</v>
      </c>
      <c r="N9" s="20">
        <v>4.1369863013698618</v>
      </c>
      <c r="O9" s="24">
        <v>4.4358974358974352</v>
      </c>
      <c r="P9" s="75">
        <v>4.75</v>
      </c>
      <c r="Q9" s="75">
        <v>5</v>
      </c>
      <c r="R9" s="62" t="s">
        <v>66</v>
      </c>
    </row>
    <row r="10" spans="1:18" s="2" customFormat="1" ht="24" customHeight="1" thickBot="1">
      <c r="A10" s="90" t="s">
        <v>79</v>
      </c>
      <c r="B10" s="24">
        <v>3.1538461538461537</v>
      </c>
      <c r="C10" s="75">
        <v>5</v>
      </c>
      <c r="D10" s="75">
        <v>1</v>
      </c>
      <c r="E10" s="30">
        <v>4.1346153846153841</v>
      </c>
      <c r="F10" s="75">
        <v>4.1388888888888884</v>
      </c>
      <c r="G10" s="24">
        <v>3.7096774193548385</v>
      </c>
      <c r="H10" s="62" t="s">
        <v>66</v>
      </c>
      <c r="I10" s="20">
        <v>4.2844827586206904</v>
      </c>
      <c r="J10" s="62" t="s">
        <v>66</v>
      </c>
      <c r="K10" s="20">
        <v>4.2222222222222214</v>
      </c>
      <c r="L10" s="20">
        <v>4.4222222222222234</v>
      </c>
      <c r="M10" s="20">
        <v>4.5057471264367814</v>
      </c>
      <c r="N10" s="20">
        <v>4.2328767123287694</v>
      </c>
      <c r="O10" s="24">
        <v>4.5128205128205119</v>
      </c>
      <c r="P10" s="75">
        <v>4.75</v>
      </c>
      <c r="Q10" s="75">
        <v>5</v>
      </c>
      <c r="R10" s="62" t="s">
        <v>66</v>
      </c>
    </row>
    <row r="11" spans="1:18" s="2" customFormat="1" ht="24" customHeight="1" thickBot="1">
      <c r="A11" s="90" t="s">
        <v>80</v>
      </c>
      <c r="B11" s="24">
        <v>3.6153846153846154</v>
      </c>
      <c r="C11" s="75">
        <v>5</v>
      </c>
      <c r="D11" s="75">
        <v>1</v>
      </c>
      <c r="E11" s="30">
        <v>4.1730769230769225</v>
      </c>
      <c r="F11" s="75">
        <v>4.2500000000000009</v>
      </c>
      <c r="G11" s="24">
        <v>3.6451612903225801</v>
      </c>
      <c r="H11" s="62" t="s">
        <v>66</v>
      </c>
      <c r="I11" s="20">
        <v>4.2758620689655125</v>
      </c>
      <c r="J11" s="62" t="s">
        <v>66</v>
      </c>
      <c r="K11" s="20">
        <v>4.1851851851851869</v>
      </c>
      <c r="L11" s="20">
        <v>4.488888888888888</v>
      </c>
      <c r="M11" s="20">
        <v>4.5402298850574683</v>
      </c>
      <c r="N11" s="20">
        <v>4.1780821917808222</v>
      </c>
      <c r="O11" s="24">
        <v>4.6153846153846159</v>
      </c>
      <c r="P11" s="75">
        <v>4.75</v>
      </c>
      <c r="Q11" s="75">
        <v>5</v>
      </c>
      <c r="R11" s="62" t="s">
        <v>66</v>
      </c>
    </row>
    <row r="12" spans="1:18" s="2" customFormat="1" ht="24" customHeight="1" thickBot="1">
      <c r="A12" s="90" t="s">
        <v>81</v>
      </c>
      <c r="B12" s="24">
        <v>3.6153846153846154</v>
      </c>
      <c r="C12" s="75">
        <v>5</v>
      </c>
      <c r="D12" s="75">
        <v>1</v>
      </c>
      <c r="E12" s="30">
        <v>4.2115384615384608</v>
      </c>
      <c r="F12" s="75">
        <v>4.2777777777777768</v>
      </c>
      <c r="G12" s="24">
        <v>4.064516129032258</v>
      </c>
      <c r="H12" s="62" t="s">
        <v>66</v>
      </c>
      <c r="I12" s="20">
        <v>4.3103448275862046</v>
      </c>
      <c r="J12" s="62" t="s">
        <v>66</v>
      </c>
      <c r="K12" s="20">
        <v>4.2222222222222197</v>
      </c>
      <c r="L12" s="20">
        <v>4.488888888888888</v>
      </c>
      <c r="M12" s="20">
        <v>4.4367816091953998</v>
      </c>
      <c r="N12" s="20">
        <v>4.2054794520547949</v>
      </c>
      <c r="O12" s="24">
        <v>4.6410256410256396</v>
      </c>
      <c r="P12" s="75">
        <v>4.5</v>
      </c>
      <c r="Q12" s="75">
        <v>5</v>
      </c>
      <c r="R12" s="62" t="s">
        <v>66</v>
      </c>
    </row>
    <row r="13" spans="1:18" s="2" customFormat="1" ht="24" customHeight="1" thickBot="1">
      <c r="A13" s="90" t="s">
        <v>82</v>
      </c>
      <c r="B13" s="24">
        <v>3.7692307692307696</v>
      </c>
      <c r="C13" s="75">
        <v>1</v>
      </c>
      <c r="D13" s="75">
        <v>1</v>
      </c>
      <c r="E13" s="30">
        <v>4.25</v>
      </c>
      <c r="F13" s="75">
        <v>4.2777777777777777</v>
      </c>
      <c r="G13" s="24">
        <v>3.9999999999999996</v>
      </c>
      <c r="H13" s="62" t="s">
        <v>66</v>
      </c>
      <c r="I13" s="20">
        <v>4.4051724137931059</v>
      </c>
      <c r="J13" s="62" t="s">
        <v>66</v>
      </c>
      <c r="K13" s="20">
        <v>4.2962962962962932</v>
      </c>
      <c r="L13" s="20">
        <v>4.4888888888888898</v>
      </c>
      <c r="M13" s="20">
        <v>4.5172413793103443</v>
      </c>
      <c r="N13" s="20">
        <v>4.205479452054794</v>
      </c>
      <c r="O13" s="24">
        <v>4.7435897435897454</v>
      </c>
      <c r="P13" s="75">
        <v>4.75</v>
      </c>
      <c r="Q13" s="75">
        <v>5</v>
      </c>
      <c r="R13" s="62" t="s">
        <v>66</v>
      </c>
    </row>
    <row r="14" spans="1:18" s="2" customFormat="1" ht="24" customHeight="1" thickBot="1">
      <c r="A14" s="90" t="s">
        <v>83</v>
      </c>
      <c r="B14" s="24">
        <v>3.4615384615384612</v>
      </c>
      <c r="C14" s="75">
        <v>4</v>
      </c>
      <c r="D14" s="75">
        <v>1</v>
      </c>
      <c r="E14" s="30">
        <v>4.2692307692307674</v>
      </c>
      <c r="F14" s="75">
        <v>4.3055555555555545</v>
      </c>
      <c r="G14" s="24">
        <v>4.129032258064516</v>
      </c>
      <c r="H14" s="62" t="s">
        <v>66</v>
      </c>
      <c r="I14" s="20">
        <v>4.3793103448275872</v>
      </c>
      <c r="J14" s="62" t="s">
        <v>66</v>
      </c>
      <c r="K14" s="20">
        <v>4.3555555555555543</v>
      </c>
      <c r="L14" s="20">
        <v>4.4444444444444464</v>
      </c>
      <c r="M14" s="20">
        <v>4.4827586206896539</v>
      </c>
      <c r="N14" s="20">
        <v>4.2465753424657526</v>
      </c>
      <c r="O14" s="24">
        <v>4.6410256410256405</v>
      </c>
      <c r="P14" s="75">
        <v>4.75</v>
      </c>
      <c r="Q14" s="75">
        <v>4</v>
      </c>
      <c r="R14" s="62" t="s">
        <v>66</v>
      </c>
    </row>
    <row r="15" spans="1:18" s="2" customFormat="1" ht="24" customHeight="1" thickBot="1">
      <c r="A15" s="90" t="s">
        <v>84</v>
      </c>
      <c r="B15" s="24">
        <v>3.6153846153846154</v>
      </c>
      <c r="C15" s="75">
        <v>5</v>
      </c>
      <c r="D15" s="75">
        <v>1</v>
      </c>
      <c r="E15" s="30">
        <v>4.1923076923076925</v>
      </c>
      <c r="F15" s="75">
        <v>4.2499999999999991</v>
      </c>
      <c r="G15" s="24">
        <v>3.935483870967742</v>
      </c>
      <c r="H15" s="62" t="s">
        <v>66</v>
      </c>
      <c r="I15" s="20">
        <v>4.3706896551724137</v>
      </c>
      <c r="J15" s="62" t="s">
        <v>66</v>
      </c>
      <c r="K15" s="20">
        <v>4.3037037037037029</v>
      </c>
      <c r="L15" s="20">
        <v>4.4444444444444464</v>
      </c>
      <c r="M15" s="20">
        <v>4.5172413793103452</v>
      </c>
      <c r="N15" s="20">
        <v>4.2191780821917835</v>
      </c>
      <c r="O15" s="24">
        <v>4.7435897435897454</v>
      </c>
      <c r="P15" s="75">
        <v>4.75</v>
      </c>
      <c r="Q15" s="75">
        <v>4</v>
      </c>
      <c r="R15" s="62" t="s">
        <v>66</v>
      </c>
    </row>
    <row r="16" spans="1:18" s="2" customFormat="1" ht="24" customHeight="1" thickBot="1">
      <c r="A16" s="90" t="s">
        <v>85</v>
      </c>
      <c r="B16" s="24">
        <v>3.6923076923076925</v>
      </c>
      <c r="C16" s="75">
        <v>5</v>
      </c>
      <c r="D16" s="75">
        <v>1</v>
      </c>
      <c r="E16" s="30">
        <v>4.2500000000000009</v>
      </c>
      <c r="F16" s="75">
        <v>4.3055555555555545</v>
      </c>
      <c r="G16" s="24">
        <v>4.1935483870967749</v>
      </c>
      <c r="H16" s="62" t="s">
        <v>66</v>
      </c>
      <c r="I16" s="20">
        <v>4.3965517241379297</v>
      </c>
      <c r="J16" s="62" t="s">
        <v>66</v>
      </c>
      <c r="K16" s="20">
        <v>4.3555555555555525</v>
      </c>
      <c r="L16" s="20">
        <v>4.6666666666666679</v>
      </c>
      <c r="M16" s="20">
        <v>4.4942528735632186</v>
      </c>
      <c r="N16" s="20">
        <v>4.2465753424657535</v>
      </c>
      <c r="O16" s="24">
        <v>4.7692307692307701</v>
      </c>
      <c r="P16" s="75">
        <v>4.75</v>
      </c>
      <c r="Q16" s="75">
        <v>5</v>
      </c>
      <c r="R16" s="62" t="s">
        <v>66</v>
      </c>
    </row>
    <row r="17" spans="1:18" s="2" customFormat="1" ht="24" customHeight="1" thickBot="1">
      <c r="A17" s="90" t="s">
        <v>86</v>
      </c>
      <c r="B17" s="24">
        <v>3.8461538461538463</v>
      </c>
      <c r="C17" s="75">
        <v>5</v>
      </c>
      <c r="D17" s="75">
        <v>5</v>
      </c>
      <c r="E17" s="30">
        <v>4.3076923076923066</v>
      </c>
      <c r="F17" s="75">
        <v>4.2499999999999991</v>
      </c>
      <c r="G17" s="24">
        <v>3.9999999999999996</v>
      </c>
      <c r="H17" s="62" t="s">
        <v>66</v>
      </c>
      <c r="I17" s="20">
        <v>4.3965517241379288</v>
      </c>
      <c r="J17" s="62" t="s">
        <v>66</v>
      </c>
      <c r="K17" s="20">
        <v>4.3555555555555525</v>
      </c>
      <c r="L17" s="20">
        <v>4.5777777777777784</v>
      </c>
      <c r="M17" s="20">
        <v>4.4942528735632168</v>
      </c>
      <c r="N17" s="20">
        <v>4.2739726027397262</v>
      </c>
      <c r="O17" s="24">
        <v>4.717948717948719</v>
      </c>
      <c r="P17" s="75">
        <v>4.75</v>
      </c>
      <c r="Q17" s="75">
        <v>5</v>
      </c>
      <c r="R17" s="62" t="s">
        <v>66</v>
      </c>
    </row>
    <row r="18" spans="1:18" s="2" customFormat="1" ht="24" customHeight="1" thickBot="1">
      <c r="A18" s="90" t="s">
        <v>87</v>
      </c>
      <c r="B18" s="24">
        <v>3.6923076923076925</v>
      </c>
      <c r="C18" s="75">
        <v>5</v>
      </c>
      <c r="D18" s="75">
        <v>5</v>
      </c>
      <c r="E18" s="30">
        <v>4.1730769230769234</v>
      </c>
      <c r="F18" s="75">
        <v>4.083333333333333</v>
      </c>
      <c r="G18" s="24">
        <v>4</v>
      </c>
      <c r="H18" s="62" t="s">
        <v>66</v>
      </c>
      <c r="I18" s="20">
        <v>4.4310344827586183</v>
      </c>
      <c r="J18" s="62" t="s">
        <v>66</v>
      </c>
      <c r="K18" s="20">
        <v>4.3407407407407392</v>
      </c>
      <c r="L18" s="20">
        <v>4.5777777777777784</v>
      </c>
      <c r="M18" s="20">
        <v>4.4942528735632177</v>
      </c>
      <c r="N18" s="20">
        <v>4.2739726027397271</v>
      </c>
      <c r="O18" s="24">
        <v>4.7179487179487181</v>
      </c>
      <c r="P18" s="75">
        <v>5</v>
      </c>
      <c r="Q18" s="75">
        <v>5</v>
      </c>
      <c r="R18" s="62" t="s">
        <v>66</v>
      </c>
    </row>
    <row r="19" spans="1:18" s="2" customFormat="1" ht="24" customHeight="1" thickBot="1">
      <c r="A19" s="90" t="s">
        <v>88</v>
      </c>
      <c r="B19" s="24">
        <v>3.8461538461538463</v>
      </c>
      <c r="C19" s="75">
        <v>5</v>
      </c>
      <c r="D19" s="75">
        <v>5</v>
      </c>
      <c r="E19" s="30">
        <v>4.1730769230769225</v>
      </c>
      <c r="F19" s="75">
        <v>4.2777777777777777</v>
      </c>
      <c r="G19" s="24">
        <v>4.064516129032258</v>
      </c>
      <c r="H19" s="62" t="s">
        <v>66</v>
      </c>
      <c r="I19" s="20">
        <v>4.4655172413793105</v>
      </c>
      <c r="J19" s="62" t="s">
        <v>66</v>
      </c>
      <c r="K19" s="20">
        <v>4.3703703703703711</v>
      </c>
      <c r="L19" s="20">
        <v>4.5555555555555562</v>
      </c>
      <c r="M19" s="20">
        <v>4.5517241379310356</v>
      </c>
      <c r="N19" s="20">
        <v>4.2876712328767104</v>
      </c>
      <c r="O19" s="24">
        <v>4.6923076923076934</v>
      </c>
      <c r="P19" s="75">
        <v>4.75</v>
      </c>
      <c r="Q19" s="75">
        <v>5</v>
      </c>
      <c r="R19" s="62" t="s">
        <v>66</v>
      </c>
    </row>
    <row r="20" spans="1:18" s="2" customFormat="1" ht="24" customHeight="1" thickBot="1">
      <c r="A20" s="90" t="s">
        <v>89</v>
      </c>
      <c r="B20" s="24">
        <v>3.4615384615384617</v>
      </c>
      <c r="C20" s="75">
        <v>1</v>
      </c>
      <c r="D20" s="75">
        <v>1</v>
      </c>
      <c r="E20" s="30">
        <v>4.3076923076923066</v>
      </c>
      <c r="F20" s="75">
        <v>4.333333333333333</v>
      </c>
      <c r="G20" s="24">
        <v>3.935483870967742</v>
      </c>
      <c r="H20" s="62" t="s">
        <v>66</v>
      </c>
      <c r="I20" s="20">
        <v>4.4482758620689644</v>
      </c>
      <c r="J20" s="62" t="s">
        <v>66</v>
      </c>
      <c r="K20" s="20">
        <v>4.3999999999999968</v>
      </c>
      <c r="L20" s="20">
        <v>4.4444444444444464</v>
      </c>
      <c r="M20" s="20">
        <v>4.597701149425288</v>
      </c>
      <c r="N20" s="20">
        <v>4.3424657534246567</v>
      </c>
      <c r="O20" s="24">
        <v>4.717948717948719</v>
      </c>
      <c r="P20" s="75">
        <v>4.75</v>
      </c>
      <c r="Q20" s="75">
        <v>1</v>
      </c>
      <c r="R20" s="62" t="s">
        <v>66</v>
      </c>
    </row>
    <row r="21" spans="1:18" s="2" customFormat="1" ht="24" customHeight="1">
      <c r="A21" s="15" t="s">
        <v>9</v>
      </c>
      <c r="B21" s="24">
        <v>3.6586538461538463</v>
      </c>
      <c r="C21" s="75">
        <v>4.4375</v>
      </c>
      <c r="D21" s="75">
        <v>2</v>
      </c>
      <c r="E21" s="30">
        <v>4.2019230769230775</v>
      </c>
      <c r="F21" s="75">
        <v>4.2743055555555554</v>
      </c>
      <c r="G21" s="24">
        <v>3.9657258064516134</v>
      </c>
      <c r="H21" s="62" t="s">
        <v>66</v>
      </c>
      <c r="I21" s="20">
        <v>4.3674568965517269</v>
      </c>
      <c r="J21" s="62" t="s">
        <v>66</v>
      </c>
      <c r="K21" s="20">
        <v>4.3138888888888864</v>
      </c>
      <c r="L21" s="20">
        <v>4.5069444444444438</v>
      </c>
      <c r="M21" s="20">
        <v>4.512931034482758</v>
      </c>
      <c r="N21" s="20">
        <v>4.2251712328767121</v>
      </c>
      <c r="O21" s="24">
        <v>4.6891025641025639</v>
      </c>
      <c r="P21" s="75">
        <v>4.75</v>
      </c>
      <c r="Q21" s="75">
        <v>4.625</v>
      </c>
      <c r="R21" s="62" t="s">
        <v>66</v>
      </c>
    </row>
    <row r="22" spans="1:18" s="2" customFormat="1" ht="24.75" customHeight="1">
      <c r="A22" s="8" t="s">
        <v>10</v>
      </c>
      <c r="B22" s="64">
        <f t="shared" ref="B22:M22" si="0">B21*20</f>
        <v>73.17307692307692</v>
      </c>
      <c r="C22" s="64">
        <f t="shared" si="0"/>
        <v>88.75</v>
      </c>
      <c r="D22" s="64">
        <f t="shared" si="0"/>
        <v>40</v>
      </c>
      <c r="E22" s="64">
        <f t="shared" si="0"/>
        <v>84.038461538461547</v>
      </c>
      <c r="F22" s="64">
        <f t="shared" si="0"/>
        <v>85.486111111111114</v>
      </c>
      <c r="G22" s="64">
        <f t="shared" si="0"/>
        <v>79.31451612903227</v>
      </c>
      <c r="H22" s="62" t="s">
        <v>66</v>
      </c>
      <c r="I22" s="64">
        <f t="shared" si="0"/>
        <v>87.349137931034534</v>
      </c>
      <c r="J22" s="62" t="s">
        <v>66</v>
      </c>
      <c r="K22" s="64">
        <f t="shared" si="0"/>
        <v>86.277777777777729</v>
      </c>
      <c r="L22" s="64">
        <f t="shared" si="0"/>
        <v>90.138888888888872</v>
      </c>
      <c r="M22" s="64">
        <f t="shared" si="0"/>
        <v>90.25862068965516</v>
      </c>
      <c r="N22" s="64">
        <f t="shared" ref="N22" si="1">N21*20</f>
        <v>84.503424657534239</v>
      </c>
      <c r="O22" s="64">
        <f>O21*20</f>
        <v>93.78205128205127</v>
      </c>
      <c r="P22" s="64">
        <f>P21*20</f>
        <v>95</v>
      </c>
      <c r="Q22" s="64">
        <f>Q21*20</f>
        <v>92.5</v>
      </c>
      <c r="R22" s="62" t="s">
        <v>66</v>
      </c>
    </row>
    <row r="23" spans="1:18">
      <c r="A23" s="16" t="s">
        <v>44</v>
      </c>
      <c r="B23" s="63">
        <v>76.92307692307692</v>
      </c>
      <c r="C23" s="78">
        <v>100</v>
      </c>
      <c r="D23" s="78">
        <v>100</v>
      </c>
      <c r="E23" s="63">
        <v>98.076923076923094</v>
      </c>
      <c r="F23" s="22">
        <v>97.222222222222229</v>
      </c>
      <c r="G23" s="63">
        <v>83.870967741935488</v>
      </c>
      <c r="H23" s="79" t="s">
        <v>67</v>
      </c>
      <c r="I23" s="63">
        <v>99.137931034482762</v>
      </c>
      <c r="J23" s="79" t="s">
        <v>67</v>
      </c>
      <c r="K23" s="63">
        <v>98.518518518518519</v>
      </c>
      <c r="L23" s="63">
        <v>97.777777777777771</v>
      </c>
      <c r="M23" s="63">
        <v>98.850574712643677</v>
      </c>
      <c r="N23" s="63">
        <v>98.630136986301366</v>
      </c>
      <c r="O23" s="77">
        <v>97.435897435897431</v>
      </c>
      <c r="P23" s="78">
        <v>100</v>
      </c>
      <c r="Q23" s="78">
        <v>100</v>
      </c>
      <c r="R23" s="79" t="s">
        <v>67</v>
      </c>
    </row>
    <row r="25" spans="1:18" ht="24" customHeight="1"/>
    <row r="26" spans="1:18" ht="59.25" customHeight="1">
      <c r="A26" s="6" t="s">
        <v>0</v>
      </c>
      <c r="B26" s="1" t="s">
        <v>94</v>
      </c>
      <c r="C26" s="1" t="s">
        <v>6</v>
      </c>
      <c r="D26" s="1" t="s">
        <v>7</v>
      </c>
      <c r="E26" s="1" t="s">
        <v>56</v>
      </c>
      <c r="F26" s="1" t="s">
        <v>62</v>
      </c>
      <c r="G26" s="1" t="s">
        <v>59</v>
      </c>
      <c r="H26" s="1" t="s">
        <v>208</v>
      </c>
      <c r="I26" s="1" t="s">
        <v>11</v>
      </c>
      <c r="J26" s="1" t="s">
        <v>45</v>
      </c>
      <c r="K26" s="1" t="s">
        <v>71</v>
      </c>
      <c r="L26" s="1" t="s">
        <v>50</v>
      </c>
      <c r="M26" s="1" t="s">
        <v>55</v>
      </c>
      <c r="N26" s="1" t="s">
        <v>1</v>
      </c>
      <c r="O26" s="1" t="s">
        <v>35</v>
      </c>
      <c r="P26" s="1" t="s">
        <v>73</v>
      </c>
      <c r="Q26" s="1" t="s">
        <v>209</v>
      </c>
    </row>
    <row r="27" spans="1:18" s="26" customFormat="1" ht="24" customHeight="1" thickBot="1">
      <c r="A27" s="8" t="s">
        <v>8</v>
      </c>
      <c r="B27" s="62">
        <v>10</v>
      </c>
      <c r="C27" s="62">
        <v>215</v>
      </c>
      <c r="D27" s="25">
        <v>24</v>
      </c>
      <c r="E27" s="25">
        <v>100</v>
      </c>
      <c r="F27" s="62">
        <v>2</v>
      </c>
      <c r="G27" s="25">
        <v>35</v>
      </c>
      <c r="H27" s="25">
        <v>6</v>
      </c>
      <c r="I27" s="62" t="s">
        <v>66</v>
      </c>
      <c r="J27" s="25">
        <v>8</v>
      </c>
      <c r="K27" s="62">
        <v>4</v>
      </c>
      <c r="L27" s="25">
        <v>26</v>
      </c>
      <c r="M27" s="25">
        <v>4</v>
      </c>
      <c r="N27" s="25">
        <v>2</v>
      </c>
      <c r="O27" s="25">
        <v>29</v>
      </c>
      <c r="P27" s="62" t="s">
        <v>66</v>
      </c>
      <c r="Q27" s="62" t="s">
        <v>66</v>
      </c>
    </row>
    <row r="28" spans="1:18" ht="24" customHeight="1" thickBot="1">
      <c r="A28" s="89" t="s">
        <v>74</v>
      </c>
      <c r="B28" s="88">
        <v>3.9</v>
      </c>
      <c r="C28" s="75">
        <v>4.2930232558139538</v>
      </c>
      <c r="D28" s="20">
        <v>4.7916666666666679</v>
      </c>
      <c r="E28" s="24">
        <v>4.5900000000000016</v>
      </c>
      <c r="F28" s="88">
        <v>4</v>
      </c>
      <c r="G28" s="20">
        <v>4.5142857142857142</v>
      </c>
      <c r="H28" s="20">
        <v>4.5</v>
      </c>
      <c r="I28" s="62" t="s">
        <v>66</v>
      </c>
      <c r="J28" s="20">
        <v>4.7499999999999991</v>
      </c>
      <c r="K28" s="75">
        <v>4.5</v>
      </c>
      <c r="L28" s="24">
        <v>4.6538461538461542</v>
      </c>
      <c r="M28" s="20">
        <v>4.25</v>
      </c>
      <c r="N28" s="24">
        <v>5</v>
      </c>
      <c r="O28" s="24">
        <v>4.275862068965516</v>
      </c>
      <c r="P28" s="62" t="s">
        <v>66</v>
      </c>
      <c r="Q28" s="62" t="s">
        <v>66</v>
      </c>
    </row>
    <row r="29" spans="1:18" ht="24" customHeight="1" thickBot="1">
      <c r="A29" s="90" t="s">
        <v>75</v>
      </c>
      <c r="B29" s="88">
        <v>3.8999999999999995</v>
      </c>
      <c r="C29" s="75">
        <v>4.325581395348836</v>
      </c>
      <c r="D29" s="20">
        <v>4.708333333333333</v>
      </c>
      <c r="E29" s="24">
        <v>4.5699999999999967</v>
      </c>
      <c r="F29" s="88">
        <v>4</v>
      </c>
      <c r="G29" s="20">
        <v>4.428571428571427</v>
      </c>
      <c r="H29" s="20">
        <v>4.6666666666666661</v>
      </c>
      <c r="I29" s="62" t="s">
        <v>66</v>
      </c>
      <c r="J29" s="20">
        <v>4.7499999999999991</v>
      </c>
      <c r="K29" s="75">
        <v>4.5</v>
      </c>
      <c r="L29" s="24">
        <v>4.6538461538461533</v>
      </c>
      <c r="M29" s="20">
        <v>3.5</v>
      </c>
      <c r="N29" s="24">
        <v>5</v>
      </c>
      <c r="O29" s="24">
        <v>4.206896551724137</v>
      </c>
      <c r="P29" s="62" t="s">
        <v>66</v>
      </c>
      <c r="Q29" s="62" t="s">
        <v>66</v>
      </c>
    </row>
    <row r="30" spans="1:18" ht="24" customHeight="1" thickBot="1">
      <c r="A30" s="90" t="s">
        <v>76</v>
      </c>
      <c r="B30" s="88">
        <v>3.5999999999999996</v>
      </c>
      <c r="C30" s="75">
        <v>4.2790697674418574</v>
      </c>
      <c r="D30" s="20">
        <v>4.7916666666666679</v>
      </c>
      <c r="E30" s="24">
        <v>4.58</v>
      </c>
      <c r="F30" s="88">
        <v>4</v>
      </c>
      <c r="G30" s="20">
        <v>4.5428571428571436</v>
      </c>
      <c r="H30" s="20">
        <v>4.5</v>
      </c>
      <c r="I30" s="62" t="s">
        <v>66</v>
      </c>
      <c r="J30" s="20">
        <v>4.7499999999999991</v>
      </c>
      <c r="K30" s="75">
        <v>4.5</v>
      </c>
      <c r="L30" s="24">
        <v>4.5384615384615383</v>
      </c>
      <c r="M30" s="20">
        <v>4</v>
      </c>
      <c r="N30" s="24">
        <v>5</v>
      </c>
      <c r="O30" s="24">
        <v>4.3103448275862055</v>
      </c>
      <c r="P30" s="62" t="s">
        <v>66</v>
      </c>
      <c r="Q30" s="62" t="s">
        <v>66</v>
      </c>
    </row>
    <row r="31" spans="1:18" ht="24" customHeight="1" thickBot="1">
      <c r="A31" s="90" t="s">
        <v>77</v>
      </c>
      <c r="B31" s="88">
        <v>3.5999999999999996</v>
      </c>
      <c r="C31" s="75">
        <v>4.2604651162790708</v>
      </c>
      <c r="D31" s="20">
        <v>4.708333333333333</v>
      </c>
      <c r="E31" s="24">
        <v>4.59</v>
      </c>
      <c r="F31" s="88">
        <v>4</v>
      </c>
      <c r="G31" s="20">
        <v>4.5142857142857142</v>
      </c>
      <c r="H31" s="20">
        <v>4.5</v>
      </c>
      <c r="I31" s="62" t="s">
        <v>66</v>
      </c>
      <c r="J31" s="20">
        <v>4.7499999999999991</v>
      </c>
      <c r="K31" s="75">
        <v>4.5</v>
      </c>
      <c r="L31" s="24">
        <v>4.615384615384615</v>
      </c>
      <c r="M31" s="20">
        <v>3.75</v>
      </c>
      <c r="N31" s="24">
        <v>5</v>
      </c>
      <c r="O31" s="24">
        <v>4.3793103448275854</v>
      </c>
      <c r="P31" s="62" t="s">
        <v>66</v>
      </c>
      <c r="Q31" s="62" t="s">
        <v>66</v>
      </c>
    </row>
    <row r="32" spans="1:18" ht="24" customHeight="1" thickBot="1">
      <c r="A32" s="90" t="s">
        <v>78</v>
      </c>
      <c r="B32" s="88">
        <v>3.8</v>
      </c>
      <c r="C32" s="75">
        <v>4.1023255813953465</v>
      </c>
      <c r="D32" s="20">
        <v>4.708333333333333</v>
      </c>
      <c r="E32" s="24">
        <v>4.5200000000000005</v>
      </c>
      <c r="F32" s="88">
        <v>4.5</v>
      </c>
      <c r="G32" s="20">
        <v>4.3999999999999977</v>
      </c>
      <c r="H32" s="20">
        <v>4.6666666666666661</v>
      </c>
      <c r="I32" s="62" t="s">
        <v>66</v>
      </c>
      <c r="J32" s="20">
        <v>5</v>
      </c>
      <c r="K32" s="75">
        <v>4.5</v>
      </c>
      <c r="L32" s="24">
        <v>4.3076923076923084</v>
      </c>
      <c r="M32" s="20">
        <v>3</v>
      </c>
      <c r="N32" s="24">
        <v>5</v>
      </c>
      <c r="O32" s="24">
        <v>4.3103448275862055</v>
      </c>
      <c r="P32" s="62" t="s">
        <v>66</v>
      </c>
      <c r="Q32" s="62" t="s">
        <v>66</v>
      </c>
    </row>
    <row r="33" spans="1:17" ht="24" customHeight="1" thickBot="1">
      <c r="A33" s="90" t="s">
        <v>79</v>
      </c>
      <c r="B33" s="88">
        <v>3.9999999999999996</v>
      </c>
      <c r="C33" s="75">
        <v>4.1813953488372109</v>
      </c>
      <c r="D33" s="20">
        <v>4.7916666666666679</v>
      </c>
      <c r="E33" s="24">
        <v>4.5299999999999994</v>
      </c>
      <c r="F33" s="88">
        <v>4</v>
      </c>
      <c r="G33" s="20">
        <v>4.428571428571427</v>
      </c>
      <c r="H33" s="20">
        <v>4.6666666666666661</v>
      </c>
      <c r="I33" s="62" t="s">
        <v>66</v>
      </c>
      <c r="J33" s="20">
        <v>5</v>
      </c>
      <c r="K33" s="75">
        <v>4.75</v>
      </c>
      <c r="L33" s="24">
        <v>4.3846153846153841</v>
      </c>
      <c r="M33" s="20">
        <v>3</v>
      </c>
      <c r="N33" s="24">
        <v>5</v>
      </c>
      <c r="O33" s="24">
        <v>4.3103448275862055</v>
      </c>
      <c r="P33" s="62" t="s">
        <v>66</v>
      </c>
      <c r="Q33" s="62" t="s">
        <v>66</v>
      </c>
    </row>
    <row r="34" spans="1:17" ht="24" customHeight="1" thickBot="1">
      <c r="A34" s="90" t="s">
        <v>80</v>
      </c>
      <c r="B34" s="88">
        <v>3.6999999999999997</v>
      </c>
      <c r="C34" s="75">
        <v>4.195348837209302</v>
      </c>
      <c r="D34" s="20">
        <v>4.7916666666666679</v>
      </c>
      <c r="E34" s="24">
        <v>4.5699999999999967</v>
      </c>
      <c r="F34" s="88">
        <v>4</v>
      </c>
      <c r="G34" s="20">
        <v>4.6571428571428566</v>
      </c>
      <c r="H34" s="20">
        <v>4.6666666666666661</v>
      </c>
      <c r="I34" s="62" t="s">
        <v>66</v>
      </c>
      <c r="J34" s="20">
        <v>4.875</v>
      </c>
      <c r="K34" s="75">
        <v>4.5</v>
      </c>
      <c r="L34" s="24">
        <v>4.4615384615384608</v>
      </c>
      <c r="M34" s="20">
        <v>3</v>
      </c>
      <c r="N34" s="24">
        <v>5</v>
      </c>
      <c r="O34" s="24">
        <v>4.4482758620689662</v>
      </c>
      <c r="P34" s="62" t="s">
        <v>66</v>
      </c>
      <c r="Q34" s="62" t="s">
        <v>66</v>
      </c>
    </row>
    <row r="35" spans="1:17" ht="24" customHeight="1" thickBot="1">
      <c r="A35" s="90" t="s">
        <v>81</v>
      </c>
      <c r="B35" s="88">
        <v>3.8</v>
      </c>
      <c r="C35" s="75">
        <v>4.1348837209302287</v>
      </c>
      <c r="D35" s="20">
        <v>4.708333333333333</v>
      </c>
      <c r="E35" s="24">
        <v>4.4700000000000006</v>
      </c>
      <c r="F35" s="88">
        <v>4</v>
      </c>
      <c r="G35" s="20">
        <v>4.5142857142857142</v>
      </c>
      <c r="H35" s="20">
        <v>4.6666666666666661</v>
      </c>
      <c r="I35" s="62" t="s">
        <v>66</v>
      </c>
      <c r="J35" s="20">
        <v>4.7499999999999991</v>
      </c>
      <c r="K35" s="75">
        <v>4.5</v>
      </c>
      <c r="L35" s="24">
        <v>4.5384615384615383</v>
      </c>
      <c r="M35" s="20">
        <v>3.75</v>
      </c>
      <c r="N35" s="24">
        <v>5</v>
      </c>
      <c r="O35" s="24">
        <v>4.275862068965516</v>
      </c>
      <c r="P35" s="62" t="s">
        <v>66</v>
      </c>
      <c r="Q35" s="62" t="s">
        <v>66</v>
      </c>
    </row>
    <row r="36" spans="1:17" ht="24" customHeight="1" thickBot="1">
      <c r="A36" s="90" t="s">
        <v>82</v>
      </c>
      <c r="B36" s="88">
        <v>3.8</v>
      </c>
      <c r="C36" s="75">
        <v>4.2697674418604654</v>
      </c>
      <c r="D36" s="20">
        <v>4.833333333333333</v>
      </c>
      <c r="E36" s="24">
        <v>4.5599999999999987</v>
      </c>
      <c r="F36" s="88">
        <v>4</v>
      </c>
      <c r="G36" s="20">
        <v>4.6285714285714281</v>
      </c>
      <c r="H36" s="20">
        <v>4.5</v>
      </c>
      <c r="I36" s="62" t="s">
        <v>66</v>
      </c>
      <c r="J36" s="20">
        <v>4.875</v>
      </c>
      <c r="K36" s="75">
        <v>4.25</v>
      </c>
      <c r="L36" s="24">
        <v>4.5769230769230784</v>
      </c>
      <c r="M36" s="20">
        <v>3.25</v>
      </c>
      <c r="N36" s="24">
        <v>5</v>
      </c>
      <c r="O36" s="24">
        <v>4.3793103448275854</v>
      </c>
      <c r="P36" s="62" t="s">
        <v>66</v>
      </c>
      <c r="Q36" s="62" t="s">
        <v>66</v>
      </c>
    </row>
    <row r="37" spans="1:17" ht="24" customHeight="1" thickBot="1">
      <c r="A37" s="90" t="s">
        <v>83</v>
      </c>
      <c r="B37" s="88">
        <v>3.9</v>
      </c>
      <c r="C37" s="75">
        <v>4.2697674418604628</v>
      </c>
      <c r="D37" s="20">
        <v>4.666666666666667</v>
      </c>
      <c r="E37" s="24">
        <v>4.5599999999999996</v>
      </c>
      <c r="F37" s="88">
        <v>4</v>
      </c>
      <c r="G37" s="20">
        <v>4.5428571428571436</v>
      </c>
      <c r="H37" s="20">
        <v>4.5</v>
      </c>
      <c r="I37" s="62" t="s">
        <v>66</v>
      </c>
      <c r="J37" s="20">
        <v>4.625</v>
      </c>
      <c r="K37" s="75">
        <v>4.25</v>
      </c>
      <c r="L37" s="24">
        <v>4.4230769230769234</v>
      </c>
      <c r="M37" s="20">
        <v>3</v>
      </c>
      <c r="N37" s="24">
        <v>5</v>
      </c>
      <c r="O37" s="24">
        <v>4.3103448275862055</v>
      </c>
      <c r="P37" s="62" t="s">
        <v>66</v>
      </c>
      <c r="Q37" s="62" t="s">
        <v>66</v>
      </c>
    </row>
    <row r="38" spans="1:17" ht="24" customHeight="1" thickBot="1">
      <c r="A38" s="90" t="s">
        <v>84</v>
      </c>
      <c r="B38" s="88">
        <v>3.8</v>
      </c>
      <c r="C38" s="75">
        <v>4.2558139534883708</v>
      </c>
      <c r="D38" s="20">
        <v>4.7916666666666679</v>
      </c>
      <c r="E38" s="24">
        <v>4.5699999999999967</v>
      </c>
      <c r="F38" s="88">
        <v>4</v>
      </c>
      <c r="G38" s="20">
        <v>4.5999999999999988</v>
      </c>
      <c r="H38" s="20">
        <v>4.5</v>
      </c>
      <c r="I38" s="62" t="s">
        <v>66</v>
      </c>
      <c r="J38" s="20">
        <v>4.7499999999999991</v>
      </c>
      <c r="K38" s="75">
        <v>4.5</v>
      </c>
      <c r="L38" s="24">
        <v>4.5769230769230775</v>
      </c>
      <c r="M38" s="20">
        <v>3.75</v>
      </c>
      <c r="N38" s="24">
        <v>5</v>
      </c>
      <c r="O38" s="24">
        <v>4.3793103448275854</v>
      </c>
      <c r="P38" s="62" t="s">
        <v>66</v>
      </c>
      <c r="Q38" s="62" t="s">
        <v>66</v>
      </c>
    </row>
    <row r="39" spans="1:17" ht="24" customHeight="1" thickBot="1">
      <c r="A39" s="90" t="s">
        <v>85</v>
      </c>
      <c r="B39" s="88">
        <v>3.6999999999999997</v>
      </c>
      <c r="C39" s="75">
        <v>4.2465116279069797</v>
      </c>
      <c r="D39" s="20">
        <v>4.7500000000000018</v>
      </c>
      <c r="E39" s="24">
        <v>4.5400000000000018</v>
      </c>
      <c r="F39" s="88">
        <v>4</v>
      </c>
      <c r="G39" s="20">
        <v>4.5142857142857142</v>
      </c>
      <c r="H39" s="20">
        <v>4.6666666666666661</v>
      </c>
      <c r="I39" s="62" t="s">
        <v>66</v>
      </c>
      <c r="J39" s="20">
        <v>4.7499999999999991</v>
      </c>
      <c r="K39" s="75">
        <v>4.5</v>
      </c>
      <c r="L39" s="24">
        <v>4.5384615384615374</v>
      </c>
      <c r="M39" s="20">
        <v>3.75</v>
      </c>
      <c r="N39" s="24">
        <v>5</v>
      </c>
      <c r="O39" s="24">
        <v>4.3448275862068959</v>
      </c>
      <c r="P39" s="62" t="s">
        <v>66</v>
      </c>
      <c r="Q39" s="62" t="s">
        <v>66</v>
      </c>
    </row>
    <row r="40" spans="1:17" ht="24" customHeight="1" thickBot="1">
      <c r="A40" s="90" t="s">
        <v>86</v>
      </c>
      <c r="B40" s="88">
        <v>3.5999999999999996</v>
      </c>
      <c r="C40" s="75">
        <v>4.2744186046511636</v>
      </c>
      <c r="D40" s="20">
        <v>4.7916666666666679</v>
      </c>
      <c r="E40" s="24">
        <v>4.5299999999999994</v>
      </c>
      <c r="F40" s="88">
        <v>4</v>
      </c>
      <c r="G40" s="20">
        <v>4.5428571428571436</v>
      </c>
      <c r="H40" s="20">
        <v>4.6666666666666661</v>
      </c>
      <c r="I40" s="62" t="s">
        <v>66</v>
      </c>
      <c r="J40" s="20">
        <v>4.7499999999999991</v>
      </c>
      <c r="K40" s="75">
        <v>4.5</v>
      </c>
      <c r="L40" s="24">
        <v>4.4999999999999991</v>
      </c>
      <c r="M40" s="20">
        <v>3.75</v>
      </c>
      <c r="N40" s="24">
        <v>5</v>
      </c>
      <c r="O40" s="24">
        <v>4.4137931034482758</v>
      </c>
      <c r="P40" s="62" t="s">
        <v>66</v>
      </c>
      <c r="Q40" s="62" t="s">
        <v>66</v>
      </c>
    </row>
    <row r="41" spans="1:17" ht="24" customHeight="1" thickBot="1">
      <c r="A41" s="90" t="s">
        <v>87</v>
      </c>
      <c r="B41" s="88">
        <v>3.5</v>
      </c>
      <c r="C41" s="75">
        <v>4.2930232558139556</v>
      </c>
      <c r="D41" s="20">
        <v>4.7916666666666679</v>
      </c>
      <c r="E41" s="24">
        <v>4.5100000000000016</v>
      </c>
      <c r="F41" s="88">
        <v>4</v>
      </c>
      <c r="G41" s="20">
        <v>4.4571428571428555</v>
      </c>
      <c r="H41" s="20">
        <v>4.6666666666666661</v>
      </c>
      <c r="I41" s="62" t="s">
        <v>66</v>
      </c>
      <c r="J41" s="20">
        <v>4.7499999999999991</v>
      </c>
      <c r="K41" s="75">
        <v>4.5</v>
      </c>
      <c r="L41" s="24">
        <v>4.5384615384615392</v>
      </c>
      <c r="M41" s="20">
        <v>3</v>
      </c>
      <c r="N41" s="24">
        <v>5</v>
      </c>
      <c r="O41" s="24">
        <v>4.2413793103448265</v>
      </c>
      <c r="P41" s="62" t="s">
        <v>66</v>
      </c>
      <c r="Q41" s="62" t="s">
        <v>66</v>
      </c>
    </row>
    <row r="42" spans="1:17" ht="24" customHeight="1" thickBot="1">
      <c r="A42" s="90" t="s">
        <v>88</v>
      </c>
      <c r="B42" s="88">
        <v>3.5999999999999996</v>
      </c>
      <c r="C42" s="75">
        <v>4.3069767441860485</v>
      </c>
      <c r="D42" s="20">
        <v>4.8333333333333339</v>
      </c>
      <c r="E42" s="24">
        <v>4.5900000000000016</v>
      </c>
      <c r="F42" s="88">
        <v>4</v>
      </c>
      <c r="G42" s="20">
        <v>4.5428571428571436</v>
      </c>
      <c r="H42" s="20">
        <v>4.6666666666666661</v>
      </c>
      <c r="I42" s="62" t="s">
        <v>66</v>
      </c>
      <c r="J42" s="20">
        <v>4.875</v>
      </c>
      <c r="K42" s="75">
        <v>4.5</v>
      </c>
      <c r="L42" s="24">
        <v>4.5384615384615383</v>
      </c>
      <c r="M42" s="20">
        <v>4.25</v>
      </c>
      <c r="N42" s="24">
        <v>5</v>
      </c>
      <c r="O42" s="24">
        <v>4.3448275862068959</v>
      </c>
      <c r="P42" s="62" t="s">
        <v>66</v>
      </c>
      <c r="Q42" s="62" t="s">
        <v>66</v>
      </c>
    </row>
    <row r="43" spans="1:17" ht="24" customHeight="1" thickBot="1">
      <c r="A43" s="90" t="s">
        <v>89</v>
      </c>
      <c r="B43" s="88">
        <v>4</v>
      </c>
      <c r="C43" s="75">
        <v>4.3488372093023289</v>
      </c>
      <c r="D43" s="20">
        <v>4.7916666666666679</v>
      </c>
      <c r="E43" s="24">
        <v>4.6200000000000037</v>
      </c>
      <c r="F43" s="88">
        <v>4</v>
      </c>
      <c r="G43" s="20">
        <v>4.6000000000000005</v>
      </c>
      <c r="H43" s="20">
        <v>4.5</v>
      </c>
      <c r="I43" s="62" t="s">
        <v>66</v>
      </c>
      <c r="J43" s="20">
        <v>4.875</v>
      </c>
      <c r="K43" s="75">
        <v>4.5</v>
      </c>
      <c r="L43" s="24">
        <v>4.6538461538461515</v>
      </c>
      <c r="M43" s="20">
        <v>3</v>
      </c>
      <c r="N43" s="24">
        <v>5</v>
      </c>
      <c r="O43" s="24">
        <v>4.3793103448275854</v>
      </c>
      <c r="P43" s="62" t="s">
        <v>66</v>
      </c>
      <c r="Q43" s="62" t="s">
        <v>66</v>
      </c>
    </row>
    <row r="44" spans="1:17" ht="24" customHeight="1">
      <c r="A44" s="8" t="s">
        <v>9</v>
      </c>
      <c r="B44" s="88">
        <v>3.7625000000000002</v>
      </c>
      <c r="C44" s="75">
        <v>4.252325581395346</v>
      </c>
      <c r="D44" s="20">
        <v>4.765625</v>
      </c>
      <c r="E44" s="24">
        <v>4.5562499999999995</v>
      </c>
      <c r="F44" s="88">
        <v>4.03125</v>
      </c>
      <c r="G44" s="20">
        <v>4.5267857142857144</v>
      </c>
      <c r="H44" s="20">
        <v>4.59375</v>
      </c>
      <c r="I44" s="62" t="s">
        <v>66</v>
      </c>
      <c r="J44" s="20">
        <v>4.8046875</v>
      </c>
      <c r="K44" s="75">
        <v>4.484375</v>
      </c>
      <c r="L44" s="24">
        <v>4.53125</v>
      </c>
      <c r="M44" s="20">
        <v>3.5</v>
      </c>
      <c r="N44" s="24">
        <v>5</v>
      </c>
      <c r="O44" s="24">
        <v>4.331896551724137</v>
      </c>
      <c r="P44" s="62" t="s">
        <v>66</v>
      </c>
      <c r="Q44" s="62" t="s">
        <v>66</v>
      </c>
    </row>
    <row r="45" spans="1:17">
      <c r="A45" s="8" t="s">
        <v>10</v>
      </c>
      <c r="B45" s="64">
        <f t="shared" ref="B45:H45" si="2">B44*20</f>
        <v>75.25</v>
      </c>
      <c r="C45" s="64">
        <f t="shared" si="2"/>
        <v>85.046511627906924</v>
      </c>
      <c r="D45" s="64">
        <f t="shared" si="2"/>
        <v>95.3125</v>
      </c>
      <c r="E45" s="64">
        <f t="shared" si="2"/>
        <v>91.124999999999986</v>
      </c>
      <c r="F45" s="64">
        <f t="shared" si="2"/>
        <v>80.625</v>
      </c>
      <c r="G45" s="64">
        <f t="shared" si="2"/>
        <v>90.535714285714292</v>
      </c>
      <c r="H45" s="64">
        <f t="shared" si="2"/>
        <v>91.875</v>
      </c>
      <c r="I45" s="62" t="s">
        <v>66</v>
      </c>
      <c r="J45" s="64">
        <f t="shared" ref="J45" si="3">J44*20</f>
        <v>96.09375</v>
      </c>
      <c r="K45" s="64">
        <f>K44*20</f>
        <v>89.6875</v>
      </c>
      <c r="L45" s="64">
        <f>L44*20</f>
        <v>90.625</v>
      </c>
      <c r="M45" s="64">
        <f>M44*20</f>
        <v>70</v>
      </c>
      <c r="N45" s="64">
        <f>N44*20</f>
        <v>100</v>
      </c>
      <c r="O45" s="64">
        <f>O44*20</f>
        <v>86.637931034482733</v>
      </c>
      <c r="P45" s="62" t="s">
        <v>66</v>
      </c>
      <c r="Q45" s="62" t="s">
        <v>66</v>
      </c>
    </row>
    <row r="46" spans="1:17">
      <c r="A46" s="76" t="s">
        <v>44</v>
      </c>
      <c r="B46" s="77">
        <v>100</v>
      </c>
      <c r="C46" s="78">
        <v>89.302325581395351</v>
      </c>
      <c r="D46" s="77">
        <v>100</v>
      </c>
      <c r="E46" s="77">
        <v>98</v>
      </c>
      <c r="F46" s="77">
        <v>100</v>
      </c>
      <c r="G46" s="77">
        <v>94.285714285714292</v>
      </c>
      <c r="H46" s="77">
        <v>100</v>
      </c>
      <c r="I46" s="79" t="s">
        <v>67</v>
      </c>
      <c r="J46" s="77">
        <v>100</v>
      </c>
      <c r="K46" s="78">
        <v>100</v>
      </c>
      <c r="L46" s="78">
        <v>96.153846153846203</v>
      </c>
      <c r="M46" s="77">
        <v>75</v>
      </c>
      <c r="N46" s="78">
        <v>100</v>
      </c>
      <c r="O46" s="78">
        <v>100</v>
      </c>
      <c r="P46" s="79" t="s">
        <v>67</v>
      </c>
      <c r="Q46" s="79" t="s">
        <v>67</v>
      </c>
    </row>
    <row r="48" spans="1:17" ht="24" customHeight="1"/>
    <row r="49" spans="1:16" s="14" customFormat="1" ht="24" customHeight="1">
      <c r="A49" s="6" t="s">
        <v>0</v>
      </c>
      <c r="B49" s="5" t="s">
        <v>46</v>
      </c>
      <c r="C49" s="5" t="s">
        <v>12</v>
      </c>
      <c r="D49" s="5" t="s">
        <v>48</v>
      </c>
      <c r="E49" s="5" t="s">
        <v>90</v>
      </c>
      <c r="F49" s="5" t="s">
        <v>14</v>
      </c>
      <c r="G49" s="5" t="s">
        <v>93</v>
      </c>
      <c r="H49" s="17" t="s">
        <v>52</v>
      </c>
      <c r="I49" s="5" t="s">
        <v>15</v>
      </c>
      <c r="J49" s="5" t="s">
        <v>16</v>
      </c>
      <c r="K49" s="5" t="s">
        <v>17</v>
      </c>
      <c r="L49" s="5" t="s">
        <v>18</v>
      </c>
      <c r="M49" s="5" t="s">
        <v>19</v>
      </c>
      <c r="N49" s="5" t="s">
        <v>47</v>
      </c>
      <c r="O49" s="5" t="s">
        <v>20</v>
      </c>
      <c r="P49" s="5" t="s">
        <v>21</v>
      </c>
    </row>
    <row r="50" spans="1:16" s="26" customFormat="1" ht="24" customHeight="1" thickBot="1">
      <c r="A50" s="8" t="s">
        <v>8</v>
      </c>
      <c r="B50" s="25">
        <v>38</v>
      </c>
      <c r="C50" s="31">
        <v>52</v>
      </c>
      <c r="D50" s="25">
        <v>18</v>
      </c>
      <c r="E50" s="25">
        <v>11</v>
      </c>
      <c r="F50" s="25">
        <v>19</v>
      </c>
      <c r="G50" s="25">
        <v>11</v>
      </c>
      <c r="H50" s="62" t="s">
        <v>66</v>
      </c>
      <c r="I50" s="25">
        <v>74</v>
      </c>
      <c r="J50" s="25">
        <v>82</v>
      </c>
      <c r="K50" s="62">
        <v>45</v>
      </c>
      <c r="L50" s="27">
        <v>40</v>
      </c>
      <c r="M50" s="28">
        <v>75</v>
      </c>
      <c r="N50" s="25">
        <v>35</v>
      </c>
      <c r="O50" s="62" t="s">
        <v>66</v>
      </c>
      <c r="P50" s="25">
        <v>44</v>
      </c>
    </row>
    <row r="51" spans="1:16" ht="24" customHeight="1" thickBot="1">
      <c r="A51" s="89" t="s">
        <v>74</v>
      </c>
      <c r="B51" s="21">
        <v>4.7368421052631575</v>
      </c>
      <c r="C51" s="32">
        <v>4.2884615384615383</v>
      </c>
      <c r="D51" s="21">
        <v>4.666666666666667</v>
      </c>
      <c r="E51" s="21">
        <v>4.7272727272727275</v>
      </c>
      <c r="F51" s="21">
        <v>4.3684210526315788</v>
      </c>
      <c r="G51" s="21">
        <v>4.454545454545455</v>
      </c>
      <c r="H51" s="62" t="s">
        <v>66</v>
      </c>
      <c r="I51" s="21">
        <v>4.3648648648648658</v>
      </c>
      <c r="J51" s="21">
        <v>4.7073170731707323</v>
      </c>
      <c r="K51" s="75">
        <v>4.68888888888889</v>
      </c>
      <c r="L51" s="21">
        <v>4.375</v>
      </c>
      <c r="M51" s="21">
        <v>4.6266666666666652</v>
      </c>
      <c r="N51" s="21">
        <v>4.742857142857142</v>
      </c>
      <c r="O51" s="62" t="s">
        <v>66</v>
      </c>
      <c r="P51" s="23">
        <v>4.6363636363636402</v>
      </c>
    </row>
    <row r="52" spans="1:16" ht="24" customHeight="1" thickBot="1">
      <c r="A52" s="90" t="s">
        <v>75</v>
      </c>
      <c r="B52" s="21">
        <v>4.6578947368421044</v>
      </c>
      <c r="C52" s="32">
        <v>4.2884615384615383</v>
      </c>
      <c r="D52" s="21">
        <v>4.6111111111111107</v>
      </c>
      <c r="E52" s="21">
        <v>4.6363636363636367</v>
      </c>
      <c r="F52" s="21">
        <v>4.3157894736842106</v>
      </c>
      <c r="G52" s="21">
        <v>4.5454545454545459</v>
      </c>
      <c r="H52" s="62" t="s">
        <v>66</v>
      </c>
      <c r="I52" s="21">
        <v>4.3918918918918903</v>
      </c>
      <c r="J52" s="21">
        <v>4.5731707317073171</v>
      </c>
      <c r="K52" s="75">
        <v>4.5777777777777784</v>
      </c>
      <c r="L52" s="21">
        <v>4.3749999999999991</v>
      </c>
      <c r="M52" s="21">
        <v>4.5600000000000005</v>
      </c>
      <c r="N52" s="21">
        <v>4.6000000000000005</v>
      </c>
      <c r="O52" s="62" t="s">
        <v>66</v>
      </c>
      <c r="P52" s="23">
        <v>4.5681818181818192</v>
      </c>
    </row>
    <row r="53" spans="1:16" ht="24" customHeight="1" thickBot="1">
      <c r="A53" s="90" t="s">
        <v>76</v>
      </c>
      <c r="B53" s="21">
        <v>4.7368421052631575</v>
      </c>
      <c r="C53" s="32">
        <v>4.2500000000000009</v>
      </c>
      <c r="D53" s="21">
        <v>4.5000000000000009</v>
      </c>
      <c r="E53" s="21">
        <v>4.7272727272727275</v>
      </c>
      <c r="F53" s="21">
        <v>4.3157894736842115</v>
      </c>
      <c r="G53" s="21">
        <v>4.3636363636363642</v>
      </c>
      <c r="H53" s="62" t="s">
        <v>66</v>
      </c>
      <c r="I53" s="21">
        <v>4.4054054054054044</v>
      </c>
      <c r="J53" s="21">
        <v>4.5487804878048772</v>
      </c>
      <c r="K53" s="75">
        <v>4.5555555555555562</v>
      </c>
      <c r="L53" s="21">
        <v>4.3249999999999993</v>
      </c>
      <c r="M53" s="21">
        <v>4.5466666666666669</v>
      </c>
      <c r="N53" s="21">
        <v>4.6571428571428575</v>
      </c>
      <c r="O53" s="62" t="s">
        <v>66</v>
      </c>
      <c r="P53" s="23">
        <v>4.6136363636363642</v>
      </c>
    </row>
    <row r="54" spans="1:16" ht="24" customHeight="1" thickBot="1">
      <c r="A54" s="90" t="s">
        <v>77</v>
      </c>
      <c r="B54" s="21">
        <v>4.6578947368421044</v>
      </c>
      <c r="C54" s="32">
        <v>4.2500000000000009</v>
      </c>
      <c r="D54" s="21">
        <v>4.3888888888888884</v>
      </c>
      <c r="E54" s="21">
        <v>4.6363636363636358</v>
      </c>
      <c r="F54" s="21">
        <v>4.4736842105263159</v>
      </c>
      <c r="G54" s="21">
        <v>4.454545454545455</v>
      </c>
      <c r="H54" s="62" t="s">
        <v>66</v>
      </c>
      <c r="I54" s="21">
        <v>4.3378378378378368</v>
      </c>
      <c r="J54" s="21">
        <v>4.6219512195121943</v>
      </c>
      <c r="K54" s="75">
        <v>4.5999999999999988</v>
      </c>
      <c r="L54" s="21">
        <v>4.4250000000000007</v>
      </c>
      <c r="M54" s="21">
        <v>4.5199999999999996</v>
      </c>
      <c r="N54" s="21">
        <v>4.6571428571428566</v>
      </c>
      <c r="O54" s="62" t="s">
        <v>66</v>
      </c>
      <c r="P54" s="23">
        <v>4.6136363636363642</v>
      </c>
    </row>
    <row r="55" spans="1:16" ht="24" customHeight="1" thickBot="1">
      <c r="A55" s="90" t="s">
        <v>78</v>
      </c>
      <c r="B55" s="21">
        <v>4.6842105263157894</v>
      </c>
      <c r="C55" s="32">
        <v>4.2500000000000009</v>
      </c>
      <c r="D55" s="21">
        <v>4.4444444444444455</v>
      </c>
      <c r="E55" s="21">
        <v>4.6363636363636358</v>
      </c>
      <c r="F55" s="21">
        <v>4.3157894736842106</v>
      </c>
      <c r="G55" s="21">
        <v>4.3636363636363642</v>
      </c>
      <c r="H55" s="62" t="s">
        <v>66</v>
      </c>
      <c r="I55" s="21">
        <v>4.2297297297297316</v>
      </c>
      <c r="J55" s="21">
        <v>4.5121951219512209</v>
      </c>
      <c r="K55" s="75">
        <v>4.7333333333333343</v>
      </c>
      <c r="L55" s="21">
        <v>4.375</v>
      </c>
      <c r="M55" s="21">
        <v>4.4800000000000004</v>
      </c>
      <c r="N55" s="21">
        <v>4.5714285714285721</v>
      </c>
      <c r="O55" s="62" t="s">
        <v>66</v>
      </c>
      <c r="P55" s="23">
        <v>4.6136363636363642</v>
      </c>
    </row>
    <row r="56" spans="1:16" ht="24" customHeight="1" thickBot="1">
      <c r="A56" s="90" t="s">
        <v>79</v>
      </c>
      <c r="B56" s="21">
        <v>4.7368421052631575</v>
      </c>
      <c r="C56" s="32">
        <v>4.2692307692307674</v>
      </c>
      <c r="D56" s="21">
        <v>4.5000000000000009</v>
      </c>
      <c r="E56" s="21">
        <v>4.7272727272727266</v>
      </c>
      <c r="F56" s="21">
        <v>4.3684210526315796</v>
      </c>
      <c r="G56" s="21">
        <v>4.3636363636363642</v>
      </c>
      <c r="H56" s="62" t="s">
        <v>66</v>
      </c>
      <c r="I56" s="21">
        <v>4.4189189189189184</v>
      </c>
      <c r="J56" s="21">
        <v>4.4878048780487783</v>
      </c>
      <c r="K56" s="75">
        <v>4.5777777777777784</v>
      </c>
      <c r="L56" s="21">
        <v>4.3249999999999993</v>
      </c>
      <c r="M56" s="21">
        <v>4.5333333333333323</v>
      </c>
      <c r="N56" s="21">
        <v>4.5428571428571436</v>
      </c>
      <c r="O56" s="62" t="s">
        <v>66</v>
      </c>
      <c r="P56" s="23">
        <v>4.6136363636363642</v>
      </c>
    </row>
    <row r="57" spans="1:16" ht="24" customHeight="1" thickBot="1">
      <c r="A57" s="90" t="s">
        <v>80</v>
      </c>
      <c r="B57" s="21">
        <v>4.7631578947368425</v>
      </c>
      <c r="C57" s="32">
        <v>4.3076923076923075</v>
      </c>
      <c r="D57" s="21">
        <v>4.5555555555555554</v>
      </c>
      <c r="E57" s="21">
        <v>4.8181818181818183</v>
      </c>
      <c r="F57" s="21">
        <v>4.4736842105263168</v>
      </c>
      <c r="G57" s="21">
        <v>4.454545454545455</v>
      </c>
      <c r="H57" s="62" t="s">
        <v>66</v>
      </c>
      <c r="I57" s="21">
        <v>4.4054054054054044</v>
      </c>
      <c r="J57" s="21">
        <v>4.6585365853658525</v>
      </c>
      <c r="K57" s="75">
        <v>4.8222222222222211</v>
      </c>
      <c r="L57" s="21">
        <v>4.3500000000000014</v>
      </c>
      <c r="M57" s="21">
        <v>4.613333333333336</v>
      </c>
      <c r="N57" s="21">
        <v>4.6571428571428566</v>
      </c>
      <c r="O57" s="62" t="s">
        <v>66</v>
      </c>
      <c r="P57" s="23">
        <v>4.6363636363636349</v>
      </c>
    </row>
    <row r="58" spans="1:16" ht="24" customHeight="1" thickBot="1">
      <c r="A58" s="90" t="s">
        <v>81</v>
      </c>
      <c r="B58" s="21">
        <v>4.7631578947368416</v>
      </c>
      <c r="C58" s="32">
        <v>4.2884615384615383</v>
      </c>
      <c r="D58" s="21">
        <v>4.4444444444444446</v>
      </c>
      <c r="E58" s="21">
        <v>4.545454545454545</v>
      </c>
      <c r="F58" s="21">
        <v>4.3684210526315788</v>
      </c>
      <c r="G58" s="21">
        <v>4.3636363636363633</v>
      </c>
      <c r="H58" s="62" t="s">
        <v>66</v>
      </c>
      <c r="I58" s="21">
        <v>4.3378378378378368</v>
      </c>
      <c r="J58" s="21">
        <v>4.5731707317073145</v>
      </c>
      <c r="K58" s="75">
        <v>4.5333333333333332</v>
      </c>
      <c r="L58" s="21">
        <v>4.299999999999998</v>
      </c>
      <c r="M58" s="21">
        <v>4.4799999999999995</v>
      </c>
      <c r="N58" s="21">
        <v>4.4857142857142849</v>
      </c>
      <c r="O58" s="62" t="s">
        <v>66</v>
      </c>
      <c r="P58" s="23">
        <v>4.5909090909090899</v>
      </c>
    </row>
    <row r="59" spans="1:16" ht="24" customHeight="1" thickBot="1">
      <c r="A59" s="90" t="s">
        <v>82</v>
      </c>
      <c r="B59" s="21">
        <v>4.7631578947368425</v>
      </c>
      <c r="C59" s="32">
        <v>4.2884615384615383</v>
      </c>
      <c r="D59" s="21">
        <v>4.3888888888888884</v>
      </c>
      <c r="E59" s="21">
        <v>4.8181818181818183</v>
      </c>
      <c r="F59" s="21">
        <v>4.3684210526315796</v>
      </c>
      <c r="G59" s="21">
        <v>4.5454545454545459</v>
      </c>
      <c r="H59" s="62" t="s">
        <v>66</v>
      </c>
      <c r="I59" s="21">
        <v>4.5135135135135123</v>
      </c>
      <c r="J59" s="21">
        <v>4.6585365853658525</v>
      </c>
      <c r="K59" s="75">
        <v>4.7333333333333334</v>
      </c>
      <c r="L59" s="21">
        <v>4.3999999999999995</v>
      </c>
      <c r="M59" s="21">
        <v>4.5866666666666678</v>
      </c>
      <c r="N59" s="21">
        <v>4.6571428571428566</v>
      </c>
      <c r="O59" s="62" t="s">
        <v>66</v>
      </c>
      <c r="P59" s="23">
        <v>4.6136363636363642</v>
      </c>
    </row>
    <row r="60" spans="1:16" ht="24" customHeight="1" thickBot="1">
      <c r="A60" s="90" t="s">
        <v>83</v>
      </c>
      <c r="B60" s="21">
        <v>4.7894736842105265</v>
      </c>
      <c r="C60" s="32">
        <v>4.2500000000000009</v>
      </c>
      <c r="D60" s="21">
        <v>4.5</v>
      </c>
      <c r="E60" s="21">
        <v>4.7272727272727275</v>
      </c>
      <c r="F60" s="21">
        <v>4.4210526315789469</v>
      </c>
      <c r="G60" s="21">
        <v>4.454545454545455</v>
      </c>
      <c r="H60" s="62" t="s">
        <v>66</v>
      </c>
      <c r="I60" s="21">
        <v>4.4324324324324325</v>
      </c>
      <c r="J60" s="21">
        <v>4.6707317073170715</v>
      </c>
      <c r="K60" s="75">
        <v>4.6444444444444439</v>
      </c>
      <c r="L60" s="21">
        <v>4.3749999999999991</v>
      </c>
      <c r="M60" s="21">
        <v>4.5600000000000005</v>
      </c>
      <c r="N60" s="21">
        <v>4.6571428571428566</v>
      </c>
      <c r="O60" s="62" t="s">
        <v>66</v>
      </c>
      <c r="P60" s="23">
        <v>4.6136363636363642</v>
      </c>
    </row>
    <row r="61" spans="1:16" ht="24" customHeight="1" thickBot="1">
      <c r="A61" s="90" t="s">
        <v>84</v>
      </c>
      <c r="B61" s="21">
        <v>4.7631578947368425</v>
      </c>
      <c r="C61" s="32">
        <v>4.2500000000000009</v>
      </c>
      <c r="D61" s="21">
        <v>4.5000000000000009</v>
      </c>
      <c r="E61" s="21">
        <v>4.7272727272727275</v>
      </c>
      <c r="F61" s="21">
        <v>4.4736842105263168</v>
      </c>
      <c r="G61" s="21">
        <v>4.6363636363636358</v>
      </c>
      <c r="H61" s="62" t="s">
        <v>66</v>
      </c>
      <c r="I61" s="21">
        <v>4.4459459459459465</v>
      </c>
      <c r="J61" s="21">
        <v>4.6219512195121943</v>
      </c>
      <c r="K61" s="75">
        <v>4.7777777777777795</v>
      </c>
      <c r="L61" s="21">
        <v>4.3999999999999995</v>
      </c>
      <c r="M61" s="21">
        <v>4.5866666666666669</v>
      </c>
      <c r="N61" s="21">
        <v>4.5428571428571436</v>
      </c>
      <c r="O61" s="62" t="s">
        <v>66</v>
      </c>
      <c r="P61" s="23">
        <v>4.704545454545455</v>
      </c>
    </row>
    <row r="62" spans="1:16" ht="24" customHeight="1" thickBot="1">
      <c r="A62" s="90" t="s">
        <v>85</v>
      </c>
      <c r="B62" s="21">
        <v>4.8157894736842106</v>
      </c>
      <c r="C62" s="32">
        <v>4.2884615384615383</v>
      </c>
      <c r="D62" s="21">
        <v>4.4444444444444455</v>
      </c>
      <c r="E62" s="21">
        <v>4.6363636363636358</v>
      </c>
      <c r="F62" s="21">
        <v>4.4736842105263159</v>
      </c>
      <c r="G62" s="21">
        <v>4.6363636363636358</v>
      </c>
      <c r="H62" s="62" t="s">
        <v>66</v>
      </c>
      <c r="I62" s="21">
        <v>4.4459459459459456</v>
      </c>
      <c r="J62" s="21">
        <v>4.5731707317073162</v>
      </c>
      <c r="K62" s="75">
        <v>4.6666666666666661</v>
      </c>
      <c r="L62" s="21">
        <v>4.4499999999999993</v>
      </c>
      <c r="M62" s="21">
        <v>4.5466666666666686</v>
      </c>
      <c r="N62" s="21">
        <v>4.6000000000000005</v>
      </c>
      <c r="O62" s="62" t="s">
        <v>66</v>
      </c>
      <c r="P62" s="23">
        <v>4.6818181818181808</v>
      </c>
    </row>
    <row r="63" spans="1:16" ht="24" customHeight="1" thickBot="1">
      <c r="A63" s="90" t="s">
        <v>86</v>
      </c>
      <c r="B63" s="21">
        <v>4.7894736842105257</v>
      </c>
      <c r="C63" s="32">
        <v>4.2884615384615383</v>
      </c>
      <c r="D63" s="21">
        <v>4.5000000000000009</v>
      </c>
      <c r="E63" s="21">
        <v>4.6363636363636358</v>
      </c>
      <c r="F63" s="21">
        <v>4.4210526315789469</v>
      </c>
      <c r="G63" s="21">
        <v>4.2727272727272725</v>
      </c>
      <c r="H63" s="62" t="s">
        <v>66</v>
      </c>
      <c r="I63" s="21">
        <v>4.4324324324324333</v>
      </c>
      <c r="J63" s="21">
        <v>4.5609756097560954</v>
      </c>
      <c r="K63" s="75">
        <v>4.5777777777777784</v>
      </c>
      <c r="L63" s="21">
        <v>4.375</v>
      </c>
      <c r="M63" s="21">
        <v>4.5066666666666668</v>
      </c>
      <c r="N63" s="21">
        <v>4.4857142857142858</v>
      </c>
      <c r="O63" s="62" t="s">
        <v>66</v>
      </c>
      <c r="P63" s="23">
        <v>4.6590909090909083</v>
      </c>
    </row>
    <row r="64" spans="1:16" ht="24" customHeight="1" thickBot="1">
      <c r="A64" s="90" t="s">
        <v>87</v>
      </c>
      <c r="B64" s="21">
        <v>4.6842105263157894</v>
      </c>
      <c r="C64" s="32">
        <v>4.3269230769230749</v>
      </c>
      <c r="D64" s="21">
        <v>4.4444444444444455</v>
      </c>
      <c r="E64" s="21">
        <v>4.7272727272727275</v>
      </c>
      <c r="F64" s="21">
        <v>4.4210526315789469</v>
      </c>
      <c r="G64" s="21">
        <v>4.454545454545455</v>
      </c>
      <c r="H64" s="62" t="s">
        <v>66</v>
      </c>
      <c r="I64" s="21">
        <v>4.3918918918918903</v>
      </c>
      <c r="J64" s="21">
        <v>4.6463414634146343</v>
      </c>
      <c r="K64" s="75">
        <v>4.6888888888888891</v>
      </c>
      <c r="L64" s="21">
        <v>4.3500000000000005</v>
      </c>
      <c r="M64" s="21">
        <v>4.5599999999999996</v>
      </c>
      <c r="N64" s="21">
        <v>4.6000000000000005</v>
      </c>
      <c r="O64" s="62" t="s">
        <v>66</v>
      </c>
      <c r="P64" s="23">
        <v>4.6363636363636358</v>
      </c>
    </row>
    <row r="65" spans="1:16" ht="24" customHeight="1" thickBot="1">
      <c r="A65" s="90" t="s">
        <v>88</v>
      </c>
      <c r="B65" s="21">
        <v>4.7894736842105265</v>
      </c>
      <c r="C65" s="32">
        <v>4.2500000000000009</v>
      </c>
      <c r="D65" s="21">
        <v>4.4444444444444455</v>
      </c>
      <c r="E65" s="21">
        <v>4.7272727272727275</v>
      </c>
      <c r="F65" s="21">
        <v>4.2631578947368425</v>
      </c>
      <c r="G65" s="21">
        <v>4.6363636363636358</v>
      </c>
      <c r="H65" s="62" t="s">
        <v>66</v>
      </c>
      <c r="I65" s="21">
        <v>4.4324324324324333</v>
      </c>
      <c r="J65" s="21">
        <v>4.6829268292682951</v>
      </c>
      <c r="K65" s="75">
        <v>4.6222222222222227</v>
      </c>
      <c r="L65" s="21">
        <v>4.4499999999999993</v>
      </c>
      <c r="M65" s="21">
        <v>4.5733333333333333</v>
      </c>
      <c r="N65" s="21">
        <v>4.6000000000000005</v>
      </c>
      <c r="O65" s="62" t="s">
        <v>66</v>
      </c>
      <c r="P65" s="23">
        <v>4.6136363636363633</v>
      </c>
    </row>
    <row r="66" spans="1:16" ht="24" customHeight="1" thickBot="1">
      <c r="A66" s="90" t="s">
        <v>89</v>
      </c>
      <c r="B66" s="21">
        <v>4.8684210526315788</v>
      </c>
      <c r="C66" s="32">
        <v>4.2884615384615383</v>
      </c>
      <c r="D66" s="21">
        <v>4.4444444444444464</v>
      </c>
      <c r="E66" s="21">
        <v>4.9090909090909092</v>
      </c>
      <c r="F66" s="21">
        <v>4.4736842105263159</v>
      </c>
      <c r="G66" s="21">
        <v>4.5454545454545459</v>
      </c>
      <c r="H66" s="62" t="s">
        <v>66</v>
      </c>
      <c r="I66" s="21">
        <v>4.4999999999999991</v>
      </c>
      <c r="J66" s="21">
        <v>4.7317073170731723</v>
      </c>
      <c r="K66" s="75">
        <v>4.8000000000000007</v>
      </c>
      <c r="L66" s="21">
        <v>4.4499999999999993</v>
      </c>
      <c r="M66" s="21">
        <v>4.6133333333333351</v>
      </c>
      <c r="N66" s="21">
        <v>4.8000000000000007</v>
      </c>
      <c r="O66" s="62" t="s">
        <v>66</v>
      </c>
      <c r="P66" s="23">
        <v>4.6363636363636367</v>
      </c>
    </row>
    <row r="67" spans="1:16" ht="24" customHeight="1">
      <c r="A67" s="8" t="s">
        <v>9</v>
      </c>
      <c r="B67" s="21">
        <v>4.75</v>
      </c>
      <c r="C67" s="74">
        <v>4.2764423076923075</v>
      </c>
      <c r="D67" s="21">
        <v>4.4861111111111125</v>
      </c>
      <c r="E67" s="21">
        <v>4.7102272727272725</v>
      </c>
      <c r="F67" s="21">
        <v>4.3947368421052628</v>
      </c>
      <c r="G67" s="21">
        <v>4.4715909090909092</v>
      </c>
      <c r="H67" s="62" t="s">
        <v>66</v>
      </c>
      <c r="I67" s="21">
        <v>4.4054054054054061</v>
      </c>
      <c r="J67" s="21">
        <v>4.6143292682926829</v>
      </c>
      <c r="K67" s="75">
        <v>4.6624999999999996</v>
      </c>
      <c r="L67" s="21">
        <v>4.3812500000000014</v>
      </c>
      <c r="M67" s="21">
        <v>4.555833333333335</v>
      </c>
      <c r="N67" s="21">
        <v>4.6160714285714279</v>
      </c>
      <c r="O67" s="62" t="s">
        <v>66</v>
      </c>
      <c r="P67" s="23">
        <v>4.6278409090909074</v>
      </c>
    </row>
    <row r="68" spans="1:16">
      <c r="A68" s="8" t="s">
        <v>10</v>
      </c>
      <c r="B68" s="64">
        <f t="shared" ref="B68:D68" si="4">B67*20</f>
        <v>95</v>
      </c>
      <c r="C68" s="64">
        <f t="shared" si="4"/>
        <v>85.528846153846146</v>
      </c>
      <c r="D68" s="64">
        <f t="shared" si="4"/>
        <v>89.722222222222257</v>
      </c>
      <c r="E68" s="64">
        <f t="shared" ref="E68" si="5">E67*20</f>
        <v>94.204545454545453</v>
      </c>
      <c r="F68" s="64">
        <f>F67*20</f>
        <v>87.89473684210526</v>
      </c>
      <c r="G68" s="64">
        <f>G67*20</f>
        <v>89.431818181818187</v>
      </c>
      <c r="H68" s="62" t="s">
        <v>66</v>
      </c>
      <c r="I68" s="64">
        <f t="shared" ref="I68:N68" si="6">I67*20</f>
        <v>88.108108108108127</v>
      </c>
      <c r="J68" s="64">
        <f t="shared" si="6"/>
        <v>92.286585365853654</v>
      </c>
      <c r="K68" s="64">
        <f t="shared" si="6"/>
        <v>93.25</v>
      </c>
      <c r="L68" s="64">
        <f t="shared" si="6"/>
        <v>87.625000000000028</v>
      </c>
      <c r="M68" s="64">
        <f t="shared" si="6"/>
        <v>91.116666666666703</v>
      </c>
      <c r="N68" s="64">
        <f t="shared" si="6"/>
        <v>92.321428571428555</v>
      </c>
      <c r="O68" s="62" t="s">
        <v>66</v>
      </c>
      <c r="P68" s="64">
        <f>P67*20</f>
        <v>92.556818181818144</v>
      </c>
    </row>
    <row r="69" spans="1:16">
      <c r="A69" s="16" t="s">
        <v>44</v>
      </c>
      <c r="B69" s="77">
        <v>100</v>
      </c>
      <c r="C69" s="77">
        <v>100</v>
      </c>
      <c r="D69" s="77">
        <v>100</v>
      </c>
      <c r="E69" s="77">
        <v>100</v>
      </c>
      <c r="F69" s="77">
        <v>100</v>
      </c>
      <c r="G69" s="77">
        <v>100</v>
      </c>
      <c r="H69" s="79" t="s">
        <v>67</v>
      </c>
      <c r="I69" s="63">
        <v>82.432432432432435</v>
      </c>
      <c r="J69" s="77">
        <v>100</v>
      </c>
      <c r="K69" s="77">
        <v>100</v>
      </c>
      <c r="L69" s="77">
        <v>100</v>
      </c>
      <c r="M69" s="77">
        <v>100</v>
      </c>
      <c r="N69" s="63">
        <v>97.142857142857139</v>
      </c>
      <c r="O69" s="79" t="s">
        <v>67</v>
      </c>
      <c r="P69" s="77">
        <v>100</v>
      </c>
    </row>
    <row r="71" spans="1:16" ht="24" customHeight="1"/>
    <row r="72" spans="1:16" s="14" customFormat="1" ht="24" customHeight="1">
      <c r="A72" s="7" t="s">
        <v>0</v>
      </c>
      <c r="B72" s="5" t="s">
        <v>91</v>
      </c>
      <c r="C72" s="5" t="s">
        <v>92</v>
      </c>
      <c r="D72" s="5" t="s">
        <v>22</v>
      </c>
      <c r="E72" s="5" t="s">
        <v>23</v>
      </c>
      <c r="F72" s="5" t="s">
        <v>24</v>
      </c>
      <c r="G72" s="9" t="s">
        <v>25</v>
      </c>
      <c r="H72" s="5" t="s">
        <v>26</v>
      </c>
      <c r="I72" s="5" t="s">
        <v>27</v>
      </c>
      <c r="J72" s="5" t="s">
        <v>28</v>
      </c>
      <c r="K72" s="5" t="s">
        <v>29</v>
      </c>
      <c r="L72" s="5" t="s">
        <v>30</v>
      </c>
      <c r="M72" s="5" t="s">
        <v>31</v>
      </c>
      <c r="N72" s="5" t="s">
        <v>32</v>
      </c>
      <c r="O72" s="5" t="s">
        <v>13</v>
      </c>
      <c r="P72" s="5" t="s">
        <v>64</v>
      </c>
    </row>
    <row r="73" spans="1:16" s="26" customFormat="1" ht="24" customHeight="1" thickBot="1">
      <c r="A73" s="8" t="s">
        <v>8</v>
      </c>
      <c r="B73" s="25">
        <v>18</v>
      </c>
      <c r="C73" s="25">
        <v>86</v>
      </c>
      <c r="D73" s="25">
        <v>46</v>
      </c>
      <c r="E73" s="25">
        <v>26</v>
      </c>
      <c r="F73" s="25">
        <v>59</v>
      </c>
      <c r="G73" s="25">
        <v>46</v>
      </c>
      <c r="H73" s="25">
        <v>93</v>
      </c>
      <c r="I73" s="25">
        <v>65</v>
      </c>
      <c r="J73" s="25">
        <v>98</v>
      </c>
      <c r="K73" s="25">
        <v>84</v>
      </c>
      <c r="L73" s="25">
        <v>53</v>
      </c>
      <c r="M73" s="62" t="s">
        <v>66</v>
      </c>
      <c r="N73" s="62">
        <v>85</v>
      </c>
      <c r="O73" s="19">
        <v>30</v>
      </c>
      <c r="P73" s="62" t="s">
        <v>66</v>
      </c>
    </row>
    <row r="74" spans="1:16" ht="24" customHeight="1" thickBot="1">
      <c r="A74" s="89" t="s">
        <v>74</v>
      </c>
      <c r="B74" s="21">
        <v>4.5555555555555554</v>
      </c>
      <c r="C74" s="21">
        <v>4.4651162790697692</v>
      </c>
      <c r="D74" s="21">
        <v>4.6739130434782608</v>
      </c>
      <c r="E74" s="21">
        <v>3.7307692307692313</v>
      </c>
      <c r="F74" s="21">
        <v>4.6440677966101696</v>
      </c>
      <c r="G74" s="21">
        <v>4.5434782608695663</v>
      </c>
      <c r="H74" s="21">
        <v>4.4946236559139781</v>
      </c>
      <c r="I74" s="21">
        <v>4.5846153846153834</v>
      </c>
      <c r="J74" s="21">
        <v>4.5714285714285703</v>
      </c>
      <c r="K74" s="21">
        <v>4.7738095238095228</v>
      </c>
      <c r="L74" s="21">
        <v>4.6603773584905666</v>
      </c>
      <c r="M74" s="62" t="s">
        <v>66</v>
      </c>
      <c r="N74" s="21">
        <v>4.5882352941176467</v>
      </c>
      <c r="O74" s="21">
        <v>4.4666666666666659</v>
      </c>
      <c r="P74" s="62" t="s">
        <v>66</v>
      </c>
    </row>
    <row r="75" spans="1:16" ht="24" customHeight="1" thickBot="1">
      <c r="A75" s="90" t="s">
        <v>75</v>
      </c>
      <c r="B75" s="21">
        <v>4.7777777777777777</v>
      </c>
      <c r="C75" s="21">
        <v>4.4302325581395339</v>
      </c>
      <c r="D75" s="21">
        <v>4.6739130434782608</v>
      </c>
      <c r="E75" s="21">
        <v>3.884615384615385</v>
      </c>
      <c r="F75" s="21">
        <v>4.6610169491525433</v>
      </c>
      <c r="G75" s="21">
        <v>4.5217391304347831</v>
      </c>
      <c r="H75" s="21">
        <v>4.43010752688172</v>
      </c>
      <c r="I75" s="21">
        <v>4.5538461538461528</v>
      </c>
      <c r="J75" s="21">
        <v>4.5816326530612246</v>
      </c>
      <c r="K75" s="21">
        <v>4.6785714285714279</v>
      </c>
      <c r="L75" s="21">
        <v>4.7358490566037741</v>
      </c>
      <c r="M75" s="62" t="s">
        <v>66</v>
      </c>
      <c r="N75" s="21">
        <v>4.5764705882352921</v>
      </c>
      <c r="O75" s="21">
        <v>4.5666666666666673</v>
      </c>
      <c r="P75" s="62" t="s">
        <v>66</v>
      </c>
    </row>
    <row r="76" spans="1:16" ht="24" customHeight="1" thickBot="1">
      <c r="A76" s="90" t="s">
        <v>76</v>
      </c>
      <c r="B76" s="21">
        <v>4.5555555555555554</v>
      </c>
      <c r="C76" s="21">
        <v>4.4069767441860455</v>
      </c>
      <c r="D76" s="21">
        <v>4.6956521739130439</v>
      </c>
      <c r="E76" s="21">
        <v>3.9230769230769238</v>
      </c>
      <c r="F76" s="21">
        <v>4.4576271186440675</v>
      </c>
      <c r="G76" s="21">
        <v>4.4999999999999982</v>
      </c>
      <c r="H76" s="21">
        <v>4.4838709677419333</v>
      </c>
      <c r="I76" s="21">
        <v>4.523076923076923</v>
      </c>
      <c r="J76" s="21">
        <v>4.5918367346938753</v>
      </c>
      <c r="K76" s="21">
        <v>4.666666666666667</v>
      </c>
      <c r="L76" s="21">
        <v>4.6981132075471681</v>
      </c>
      <c r="M76" s="62" t="s">
        <v>66</v>
      </c>
      <c r="N76" s="21">
        <v>4.5294117647058796</v>
      </c>
      <c r="O76" s="21">
        <v>4.5</v>
      </c>
      <c r="P76" s="62" t="s">
        <v>66</v>
      </c>
    </row>
    <row r="77" spans="1:16" ht="24" customHeight="1" thickBot="1">
      <c r="A77" s="90" t="s">
        <v>77</v>
      </c>
      <c r="B77" s="21">
        <v>4.5</v>
      </c>
      <c r="C77" s="21">
        <v>4.3372093023255793</v>
      </c>
      <c r="D77" s="21">
        <v>4.6956521739130439</v>
      </c>
      <c r="E77" s="21">
        <v>3.9230769230769238</v>
      </c>
      <c r="F77" s="21">
        <v>4.5762711864406764</v>
      </c>
      <c r="G77" s="21">
        <v>4.5217391304347823</v>
      </c>
      <c r="H77" s="21">
        <v>4.4193548387096779</v>
      </c>
      <c r="I77" s="21">
        <v>4.5384615384615392</v>
      </c>
      <c r="J77" s="21">
        <v>4.6224489795918382</v>
      </c>
      <c r="K77" s="21">
        <v>4.7023809523809526</v>
      </c>
      <c r="L77" s="21">
        <v>4.698113207547169</v>
      </c>
      <c r="M77" s="62" t="s">
        <v>66</v>
      </c>
      <c r="N77" s="21">
        <v>4.6000000000000005</v>
      </c>
      <c r="O77" s="21">
        <v>4.6333333333333337</v>
      </c>
      <c r="P77" s="62" t="s">
        <v>66</v>
      </c>
    </row>
    <row r="78" spans="1:16" ht="24" customHeight="1" thickBot="1">
      <c r="A78" s="90" t="s">
        <v>78</v>
      </c>
      <c r="B78" s="21">
        <v>4.6111111111111116</v>
      </c>
      <c r="C78" s="21">
        <v>4.4999999999999973</v>
      </c>
      <c r="D78" s="21">
        <v>4.6304347826086962</v>
      </c>
      <c r="E78" s="21">
        <v>3.7307692307692308</v>
      </c>
      <c r="F78" s="21">
        <v>4.5423728813559343</v>
      </c>
      <c r="G78" s="21">
        <v>4.4565217391304355</v>
      </c>
      <c r="H78" s="21">
        <v>4.3655913978494638</v>
      </c>
      <c r="I78" s="21">
        <v>4.6000000000000014</v>
      </c>
      <c r="J78" s="21">
        <v>4.5306122448979629</v>
      </c>
      <c r="K78" s="21">
        <v>4.6547619047619069</v>
      </c>
      <c r="L78" s="21">
        <v>4.6792452830188687</v>
      </c>
      <c r="M78" s="62" t="s">
        <v>66</v>
      </c>
      <c r="N78" s="21">
        <v>4.6117647058823508</v>
      </c>
      <c r="O78" s="21">
        <v>4.4333333333333327</v>
      </c>
      <c r="P78" s="62" t="s">
        <v>66</v>
      </c>
    </row>
    <row r="79" spans="1:16" ht="24" customHeight="1" thickBot="1">
      <c r="A79" s="90" t="s">
        <v>79</v>
      </c>
      <c r="B79" s="21">
        <v>4.833333333333333</v>
      </c>
      <c r="C79" s="21">
        <v>4.430232558139533</v>
      </c>
      <c r="D79" s="21">
        <v>4.6086956521739122</v>
      </c>
      <c r="E79" s="21">
        <v>3.6923076923076925</v>
      </c>
      <c r="F79" s="21">
        <v>4.5932203389830502</v>
      </c>
      <c r="G79" s="21">
        <v>4.4565217391304364</v>
      </c>
      <c r="H79" s="21">
        <v>4.3978494623655919</v>
      </c>
      <c r="I79" s="21">
        <v>4.6461538461538465</v>
      </c>
      <c r="J79" s="21">
        <v>4.5714285714285721</v>
      </c>
      <c r="K79" s="21">
        <v>4.6666666666666687</v>
      </c>
      <c r="L79" s="21">
        <v>4.6415094339622636</v>
      </c>
      <c r="M79" s="62" t="s">
        <v>66</v>
      </c>
      <c r="N79" s="21">
        <v>4.5882352941176485</v>
      </c>
      <c r="O79" s="21">
        <v>4.4666666666666659</v>
      </c>
      <c r="P79" s="62" t="s">
        <v>66</v>
      </c>
    </row>
    <row r="80" spans="1:16" ht="24" customHeight="1" thickBot="1">
      <c r="A80" s="90" t="s">
        <v>80</v>
      </c>
      <c r="B80" s="21">
        <v>4.7777777777777768</v>
      </c>
      <c r="C80" s="21">
        <v>4.5348837209302317</v>
      </c>
      <c r="D80" s="21">
        <v>4.6956521739130439</v>
      </c>
      <c r="E80" s="21">
        <v>3.7307692307692308</v>
      </c>
      <c r="F80" s="21">
        <v>4.6610169491525424</v>
      </c>
      <c r="G80" s="21">
        <v>4.5434782608695654</v>
      </c>
      <c r="H80" s="21">
        <v>4.5376344086021492</v>
      </c>
      <c r="I80" s="21">
        <v>4.6307692307692312</v>
      </c>
      <c r="J80" s="21">
        <v>4.6632653061224483</v>
      </c>
      <c r="K80" s="21">
        <v>4.7261904761904763</v>
      </c>
      <c r="L80" s="21">
        <v>4.7169811320754711</v>
      </c>
      <c r="M80" s="62" t="s">
        <v>66</v>
      </c>
      <c r="N80" s="21">
        <v>4.6588235294117668</v>
      </c>
      <c r="O80" s="21">
        <v>4.4999999999999991</v>
      </c>
      <c r="P80" s="62" t="s">
        <v>66</v>
      </c>
    </row>
    <row r="81" spans="1:16" ht="24" customHeight="1" thickBot="1">
      <c r="A81" s="90" t="s">
        <v>81</v>
      </c>
      <c r="B81" s="21">
        <v>4.7222222222222223</v>
      </c>
      <c r="C81" s="21">
        <v>4.3953488372093039</v>
      </c>
      <c r="D81" s="21">
        <v>4.6304347826086962</v>
      </c>
      <c r="E81" s="21">
        <v>3.7692307692307692</v>
      </c>
      <c r="F81" s="21">
        <v>4.4915254237288131</v>
      </c>
      <c r="G81" s="21">
        <v>4.4565217391304355</v>
      </c>
      <c r="H81" s="21">
        <v>4.3870967741935463</v>
      </c>
      <c r="I81" s="21">
        <v>4.5384615384615392</v>
      </c>
      <c r="J81" s="21">
        <v>4.5510204081632653</v>
      </c>
      <c r="K81" s="21">
        <v>4.6428571428571441</v>
      </c>
      <c r="L81" s="21">
        <v>4.6226415094339623</v>
      </c>
      <c r="M81" s="62" t="s">
        <v>66</v>
      </c>
      <c r="N81" s="21">
        <v>4.5529411764705898</v>
      </c>
      <c r="O81" s="21">
        <v>4.6333333333333337</v>
      </c>
      <c r="P81" s="62" t="s">
        <v>66</v>
      </c>
    </row>
    <row r="82" spans="1:16" ht="24" customHeight="1" thickBot="1">
      <c r="A82" s="90" t="s">
        <v>82</v>
      </c>
      <c r="B82" s="21">
        <v>4.6666666666666661</v>
      </c>
      <c r="C82" s="21">
        <v>4.5116279069767433</v>
      </c>
      <c r="D82" s="21">
        <v>4.6304347826086962</v>
      </c>
      <c r="E82" s="21">
        <v>3.7307692307692313</v>
      </c>
      <c r="F82" s="21">
        <v>4.6271186440677976</v>
      </c>
      <c r="G82" s="21">
        <v>4.6304347826086971</v>
      </c>
      <c r="H82" s="21">
        <v>4.4731182795698929</v>
      </c>
      <c r="I82" s="21">
        <v>4.6000000000000005</v>
      </c>
      <c r="J82" s="21">
        <v>4.6632653061224483</v>
      </c>
      <c r="K82" s="21">
        <v>4.7142857142857144</v>
      </c>
      <c r="L82" s="21">
        <v>4.7169811320754711</v>
      </c>
      <c r="M82" s="62" t="s">
        <v>66</v>
      </c>
      <c r="N82" s="21">
        <v>4.6352941176470575</v>
      </c>
      <c r="O82" s="21">
        <v>4.6000000000000005</v>
      </c>
      <c r="P82" s="62" t="s">
        <v>66</v>
      </c>
    </row>
    <row r="83" spans="1:16" ht="24" customHeight="1" thickBot="1">
      <c r="A83" s="90" t="s">
        <v>83</v>
      </c>
      <c r="B83" s="21">
        <v>4.8888888888888893</v>
      </c>
      <c r="C83" s="21">
        <v>4.4418604651162799</v>
      </c>
      <c r="D83" s="21">
        <v>4.6739130434782616</v>
      </c>
      <c r="E83" s="21">
        <v>3.6923076923076925</v>
      </c>
      <c r="F83" s="21">
        <v>4.5762711864406764</v>
      </c>
      <c r="G83" s="21">
        <v>4.5869565217391308</v>
      </c>
      <c r="H83" s="21">
        <v>4.5483870967741957</v>
      </c>
      <c r="I83" s="21">
        <v>4.5538461538461537</v>
      </c>
      <c r="J83" s="21">
        <v>4.5918367346938753</v>
      </c>
      <c r="K83" s="21">
        <v>4.6785714285714288</v>
      </c>
      <c r="L83" s="21">
        <v>4.6037735849056594</v>
      </c>
      <c r="M83" s="62" t="s">
        <v>66</v>
      </c>
      <c r="N83" s="21">
        <v>4.576470588235293</v>
      </c>
      <c r="O83" s="21">
        <v>4.5666666666666664</v>
      </c>
      <c r="P83" s="62" t="s">
        <v>66</v>
      </c>
    </row>
    <row r="84" spans="1:16" ht="24" customHeight="1" thickBot="1">
      <c r="A84" s="90" t="s">
        <v>84</v>
      </c>
      <c r="B84" s="21">
        <v>4.7222222222222223</v>
      </c>
      <c r="C84" s="21">
        <v>4.5348837209302308</v>
      </c>
      <c r="D84" s="21">
        <v>4.6521739130434785</v>
      </c>
      <c r="E84" s="21">
        <v>3.6923076923076925</v>
      </c>
      <c r="F84" s="21">
        <v>4.6271186440677967</v>
      </c>
      <c r="G84" s="21">
        <v>4.6521739130434794</v>
      </c>
      <c r="H84" s="21">
        <v>4.5161290322580649</v>
      </c>
      <c r="I84" s="21">
        <v>4.5538461538461528</v>
      </c>
      <c r="J84" s="21">
        <v>4.6326530612244898</v>
      </c>
      <c r="K84" s="21">
        <v>4.7023809523809526</v>
      </c>
      <c r="L84" s="21">
        <v>4.735849056603775</v>
      </c>
      <c r="M84" s="62" t="s">
        <v>66</v>
      </c>
      <c r="N84" s="21">
        <v>4.5647058823529401</v>
      </c>
      <c r="O84" s="21">
        <v>4.6000000000000005</v>
      </c>
      <c r="P84" s="62" t="s">
        <v>66</v>
      </c>
    </row>
    <row r="85" spans="1:16" ht="24" customHeight="1" thickBot="1">
      <c r="A85" s="90" t="s">
        <v>85</v>
      </c>
      <c r="B85" s="21">
        <v>4.6111111111111116</v>
      </c>
      <c r="C85" s="21">
        <v>4.4069767441860455</v>
      </c>
      <c r="D85" s="21">
        <v>4.6521739130434785</v>
      </c>
      <c r="E85" s="21">
        <v>3.8461538461538463</v>
      </c>
      <c r="F85" s="21">
        <v>4.6271186440677967</v>
      </c>
      <c r="G85" s="21">
        <v>4.5652173913043486</v>
      </c>
      <c r="H85" s="21">
        <v>4.4193548387096779</v>
      </c>
      <c r="I85" s="21">
        <v>4.5384615384615392</v>
      </c>
      <c r="J85" s="21">
        <v>4.6836734693877542</v>
      </c>
      <c r="K85" s="21">
        <v>4.6666666666666679</v>
      </c>
      <c r="L85" s="21">
        <v>4.6792452830188687</v>
      </c>
      <c r="M85" s="62" t="s">
        <v>66</v>
      </c>
      <c r="N85" s="21">
        <v>4.6000000000000005</v>
      </c>
      <c r="O85" s="21">
        <v>4.4666666666666668</v>
      </c>
      <c r="P85" s="62" t="s">
        <v>66</v>
      </c>
    </row>
    <row r="86" spans="1:16" ht="24" customHeight="1" thickBot="1">
      <c r="A86" s="90" t="s">
        <v>86</v>
      </c>
      <c r="B86" s="21">
        <v>4.666666666666667</v>
      </c>
      <c r="C86" s="21">
        <v>4.4651162790697692</v>
      </c>
      <c r="D86" s="21">
        <v>4.6521739130434785</v>
      </c>
      <c r="E86" s="21">
        <v>3.7307692307692313</v>
      </c>
      <c r="F86" s="21">
        <v>4.5593220338983027</v>
      </c>
      <c r="G86" s="21">
        <v>4.478260869565216</v>
      </c>
      <c r="H86" s="21">
        <v>4.4516129032258069</v>
      </c>
      <c r="I86" s="21">
        <v>4.4923076923076932</v>
      </c>
      <c r="J86" s="21">
        <v>4.6326530612244907</v>
      </c>
      <c r="K86" s="21">
        <v>4.7380952380952372</v>
      </c>
      <c r="L86" s="21">
        <v>4.7169811320754738</v>
      </c>
      <c r="M86" s="62" t="s">
        <v>66</v>
      </c>
      <c r="N86" s="21">
        <v>4.647058823529413</v>
      </c>
      <c r="O86" s="21">
        <v>4.4666666666666659</v>
      </c>
      <c r="P86" s="62" t="s">
        <v>66</v>
      </c>
    </row>
    <row r="87" spans="1:16" ht="24" customHeight="1" thickBot="1">
      <c r="A87" s="90" t="s">
        <v>87</v>
      </c>
      <c r="B87" s="21">
        <v>4.6666666666666661</v>
      </c>
      <c r="C87" s="21">
        <v>4.4767441860465116</v>
      </c>
      <c r="D87" s="21">
        <v>4.6956521739130448</v>
      </c>
      <c r="E87" s="21">
        <v>3.7307692307692313</v>
      </c>
      <c r="F87" s="21">
        <v>4.71186440677966</v>
      </c>
      <c r="G87" s="21">
        <v>4.6304347826086971</v>
      </c>
      <c r="H87" s="21">
        <v>4.4731182795698947</v>
      </c>
      <c r="I87" s="21">
        <v>4.5846153846153861</v>
      </c>
      <c r="J87" s="21">
        <v>4.6224489795918391</v>
      </c>
      <c r="K87" s="21">
        <v>4.7380952380952381</v>
      </c>
      <c r="L87" s="21">
        <v>4.716981132075472</v>
      </c>
      <c r="M87" s="62" t="s">
        <v>66</v>
      </c>
      <c r="N87" s="21">
        <v>4.5764705882352947</v>
      </c>
      <c r="O87" s="21">
        <v>4.4666666666666659</v>
      </c>
      <c r="P87" s="62" t="s">
        <v>66</v>
      </c>
    </row>
    <row r="88" spans="1:16" ht="24" customHeight="1" thickBot="1">
      <c r="A88" s="90" t="s">
        <v>88</v>
      </c>
      <c r="B88" s="21">
        <v>4.7777777777777777</v>
      </c>
      <c r="C88" s="21">
        <v>4.5232558139534893</v>
      </c>
      <c r="D88" s="21">
        <v>4.6521739130434785</v>
      </c>
      <c r="E88" s="21">
        <v>3.8461538461538454</v>
      </c>
      <c r="F88" s="21">
        <v>4.6271186440677985</v>
      </c>
      <c r="G88" s="21">
        <v>4.5652173913043486</v>
      </c>
      <c r="H88" s="21">
        <v>4.4838709677419324</v>
      </c>
      <c r="I88" s="21">
        <v>4.615384615384615</v>
      </c>
      <c r="J88" s="21">
        <v>4.612244897959183</v>
      </c>
      <c r="K88" s="21">
        <v>4.7380952380952399</v>
      </c>
      <c r="L88" s="21">
        <v>4.7169811320754711</v>
      </c>
      <c r="M88" s="62" t="s">
        <v>66</v>
      </c>
      <c r="N88" s="21">
        <v>4.6235294117647046</v>
      </c>
      <c r="O88" s="21">
        <v>4.5666666666666664</v>
      </c>
      <c r="P88" s="62" t="s">
        <v>66</v>
      </c>
    </row>
    <row r="89" spans="1:16" ht="24" customHeight="1" thickBot="1">
      <c r="A89" s="90" t="s">
        <v>89</v>
      </c>
      <c r="B89" s="21">
        <v>4.8333333333333339</v>
      </c>
      <c r="C89" s="21">
        <v>4.5813953488372103</v>
      </c>
      <c r="D89" s="21">
        <v>4.6521739130434785</v>
      </c>
      <c r="E89" s="21">
        <v>3.8076923076923079</v>
      </c>
      <c r="F89" s="21">
        <v>4.7288135593220355</v>
      </c>
      <c r="G89" s="21">
        <v>4.6304347826086971</v>
      </c>
      <c r="H89" s="21">
        <v>4.5376344086021501</v>
      </c>
      <c r="I89" s="21">
        <v>4.6615384615384627</v>
      </c>
      <c r="J89" s="21">
        <v>4.6938775510204094</v>
      </c>
      <c r="K89" s="21">
        <v>4.7142857142857144</v>
      </c>
      <c r="L89" s="21">
        <v>4.6981132075471681</v>
      </c>
      <c r="M89" s="62" t="s">
        <v>66</v>
      </c>
      <c r="N89" s="21">
        <v>4.6823529411764699</v>
      </c>
      <c r="O89" s="21">
        <v>4.4999999999999991</v>
      </c>
      <c r="P89" s="62" t="s">
        <v>66</v>
      </c>
    </row>
    <row r="90" spans="1:16" ht="24" customHeight="1">
      <c r="A90" s="8" t="s">
        <v>9</v>
      </c>
      <c r="B90" s="21">
        <v>4.6979166666666661</v>
      </c>
      <c r="C90" s="21">
        <v>4.46511627906977</v>
      </c>
      <c r="D90" s="21">
        <v>4.6603260869565215</v>
      </c>
      <c r="E90" s="21">
        <v>3.7788461538461533</v>
      </c>
      <c r="F90" s="21">
        <v>4.6069915254237293</v>
      </c>
      <c r="G90" s="21">
        <v>4.5461956521739113</v>
      </c>
      <c r="H90" s="21">
        <v>4.4637096774193541</v>
      </c>
      <c r="I90" s="21">
        <v>4.575961538461538</v>
      </c>
      <c r="J90" s="21">
        <v>4.6135204081632644</v>
      </c>
      <c r="K90" s="21">
        <v>4.7001488095238111</v>
      </c>
      <c r="L90" s="21">
        <v>4.6898584905660377</v>
      </c>
      <c r="M90" s="62" t="s">
        <v>66</v>
      </c>
      <c r="N90" s="21">
        <v>4.6007352941176451</v>
      </c>
      <c r="O90" s="21">
        <v>4.5270833333333336</v>
      </c>
      <c r="P90" s="62" t="s">
        <v>66</v>
      </c>
    </row>
    <row r="91" spans="1:16" s="66" customFormat="1">
      <c r="A91" s="65" t="s">
        <v>10</v>
      </c>
      <c r="B91" s="68">
        <f t="shared" ref="B91:C91" si="7">B90*20</f>
        <v>93.958333333333314</v>
      </c>
      <c r="C91" s="68">
        <f t="shared" si="7"/>
        <v>89.302325581395394</v>
      </c>
      <c r="D91" s="68">
        <f>D90*20</f>
        <v>93.206521739130437</v>
      </c>
      <c r="E91" s="64">
        <f>E90*20</f>
        <v>75.576923076923066</v>
      </c>
      <c r="F91" s="64">
        <f>F90*20</f>
        <v>92.139830508474589</v>
      </c>
      <c r="G91" s="64">
        <f t="shared" ref="G91:O91" si="8">G90*20</f>
        <v>90.923913043478223</v>
      </c>
      <c r="H91" s="64">
        <f t="shared" si="8"/>
        <v>89.274193548387075</v>
      </c>
      <c r="I91" s="64">
        <f t="shared" si="8"/>
        <v>91.519230769230759</v>
      </c>
      <c r="J91" s="64">
        <f t="shared" si="8"/>
        <v>92.270408163265287</v>
      </c>
      <c r="K91" s="64">
        <f t="shared" si="8"/>
        <v>94.002976190476218</v>
      </c>
      <c r="L91" s="64">
        <f t="shared" si="8"/>
        <v>93.797169811320757</v>
      </c>
      <c r="M91" s="62" t="s">
        <v>66</v>
      </c>
      <c r="N91" s="64">
        <f t="shared" ref="N91" si="9">N90*20</f>
        <v>92.014705882352899</v>
      </c>
      <c r="O91" s="64">
        <f t="shared" si="8"/>
        <v>90.541666666666671</v>
      </c>
      <c r="P91" s="62" t="s">
        <v>66</v>
      </c>
    </row>
    <row r="92" spans="1:16">
      <c r="A92" s="16" t="s">
        <v>44</v>
      </c>
      <c r="B92" s="77">
        <v>100</v>
      </c>
      <c r="C92" s="63">
        <v>98.837209302325576</v>
      </c>
      <c r="D92" s="77">
        <v>100</v>
      </c>
      <c r="E92" s="63">
        <v>84.615384615384613</v>
      </c>
      <c r="F92" s="77">
        <v>100</v>
      </c>
      <c r="G92" s="77">
        <v>100</v>
      </c>
      <c r="H92" s="77">
        <v>100</v>
      </c>
      <c r="I92" s="77">
        <v>100</v>
      </c>
      <c r="J92" s="77">
        <v>100</v>
      </c>
      <c r="K92" s="77">
        <v>100</v>
      </c>
      <c r="L92" s="77">
        <v>100</v>
      </c>
      <c r="M92" s="79" t="s">
        <v>67</v>
      </c>
      <c r="N92" s="22">
        <v>98.82352941176471</v>
      </c>
      <c r="O92" s="63">
        <v>93.3333333333333</v>
      </c>
      <c r="P92" s="79" t="s">
        <v>67</v>
      </c>
    </row>
    <row r="93" spans="1:16" ht="24" customHeight="1"/>
    <row r="94" spans="1:16" ht="24" customHeight="1"/>
    <row r="95" spans="1:16">
      <c r="B95" s="3"/>
      <c r="E95" s="10"/>
      <c r="F95" s="10"/>
    </row>
    <row r="96" spans="1:16">
      <c r="B96" s="3"/>
      <c r="E96" s="11"/>
      <c r="F96" s="11"/>
    </row>
    <row r="97" spans="2:6">
      <c r="B97" s="3"/>
      <c r="E97" s="11"/>
      <c r="F97" s="11"/>
    </row>
    <row r="98" spans="2:6">
      <c r="B98" s="3"/>
      <c r="E98" s="11"/>
      <c r="F98" s="11"/>
    </row>
    <row r="99" spans="2:6">
      <c r="B99" s="3"/>
      <c r="E99" s="11"/>
      <c r="F99" s="11"/>
    </row>
    <row r="100" spans="2:6">
      <c r="B100" s="3"/>
      <c r="E100" s="11"/>
      <c r="F100" s="11"/>
    </row>
    <row r="101" spans="2:6">
      <c r="B101" s="3"/>
      <c r="E101" s="11"/>
      <c r="F101" s="11"/>
    </row>
    <row r="102" spans="2:6">
      <c r="B102" s="3"/>
      <c r="E102" s="11"/>
      <c r="F102" s="11"/>
    </row>
    <row r="103" spans="2:6" ht="24" customHeight="1">
      <c r="B103" s="3"/>
      <c r="E103" s="11"/>
      <c r="F103" s="11"/>
    </row>
    <row r="104" spans="2:6" ht="24" customHeight="1">
      <c r="B104" s="3"/>
      <c r="E104" s="11"/>
      <c r="F104" s="11"/>
    </row>
    <row r="105" spans="2:6">
      <c r="B105" s="3"/>
      <c r="E105" s="11"/>
      <c r="F105" s="11"/>
    </row>
    <row r="106" spans="2:6">
      <c r="B106" s="3"/>
      <c r="E106" s="11"/>
      <c r="F106" s="11"/>
    </row>
    <row r="107" spans="2:6">
      <c r="B107" s="3"/>
      <c r="E107" s="11"/>
      <c r="F107" s="11"/>
    </row>
    <row r="108" spans="2:6">
      <c r="B108" s="3"/>
      <c r="E108" s="11"/>
      <c r="F108" s="11"/>
    </row>
    <row r="109" spans="2:6">
      <c r="B109" s="3"/>
      <c r="E109" s="11"/>
      <c r="F109" s="11"/>
    </row>
    <row r="110" spans="2:6">
      <c r="B110" s="3"/>
      <c r="E110" s="11"/>
      <c r="F110" s="11"/>
    </row>
    <row r="111" spans="2:6" ht="24" customHeight="1">
      <c r="B111" s="3"/>
      <c r="E111" s="11"/>
      <c r="F111" s="11"/>
    </row>
    <row r="112" spans="2:6" ht="24" customHeight="1">
      <c r="B112" s="3"/>
      <c r="E112" s="11"/>
      <c r="F112" s="11"/>
    </row>
    <row r="113" spans="2:6">
      <c r="B113" s="3"/>
      <c r="E113" s="12"/>
      <c r="F113" s="12"/>
    </row>
    <row r="114" spans="2:6">
      <c r="B114" s="3"/>
      <c r="E114" s="12"/>
      <c r="F114" s="12"/>
    </row>
    <row r="115" spans="2:6">
      <c r="B115" s="3"/>
    </row>
  </sheetData>
  <mergeCells count="1">
    <mergeCell ref="A1:R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4"/>
  <sheetViews>
    <sheetView tabSelected="1" topLeftCell="A118" zoomScaleNormal="100" zoomScaleSheetLayoutView="120" workbookViewId="0">
      <selection activeCell="B61" sqref="B61:H61"/>
    </sheetView>
  </sheetViews>
  <sheetFormatPr defaultColWidth="9" defaultRowHeight="21"/>
  <cols>
    <col min="1" max="1" width="4.75" style="34" customWidth="1"/>
    <col min="2" max="2" width="27.625" style="34" customWidth="1"/>
    <col min="3" max="7" width="12" style="34" customWidth="1"/>
    <col min="8" max="8" width="60.625" style="34" customWidth="1"/>
    <col min="9" max="9" width="14.75" style="34" customWidth="1"/>
    <col min="10" max="10" width="7.25" style="34" customWidth="1"/>
    <col min="11" max="16384" width="9" style="34"/>
  </cols>
  <sheetData>
    <row r="1" spans="1:9" s="49" customFormat="1" ht="43.5" customHeight="1">
      <c r="A1" s="97" t="s">
        <v>95</v>
      </c>
      <c r="B1" s="98"/>
      <c r="C1" s="98"/>
      <c r="D1" s="98"/>
      <c r="E1" s="98"/>
      <c r="F1" s="98"/>
      <c r="G1" s="98"/>
      <c r="H1" s="98"/>
      <c r="I1" s="98"/>
    </row>
    <row r="2" spans="1:9" s="49" customFormat="1">
      <c r="A2" s="96" t="s">
        <v>214</v>
      </c>
      <c r="B2" s="96"/>
      <c r="C2" s="96"/>
      <c r="D2" s="96"/>
      <c r="E2" s="96"/>
      <c r="F2" s="96"/>
      <c r="G2" s="96"/>
      <c r="H2" s="96"/>
    </row>
    <row r="3" spans="1:9" s="36" customFormat="1">
      <c r="A3" s="96" t="s">
        <v>215</v>
      </c>
      <c r="B3" s="96"/>
      <c r="C3" s="96"/>
      <c r="D3" s="96"/>
      <c r="E3" s="96"/>
      <c r="F3" s="96"/>
      <c r="G3" s="96"/>
      <c r="H3" s="96"/>
      <c r="I3" s="49"/>
    </row>
    <row r="4" spans="1:9" s="49" customFormat="1">
      <c r="A4" s="51" t="s">
        <v>53</v>
      </c>
      <c r="B4" s="51"/>
      <c r="C4" s="51"/>
      <c r="D4" s="51"/>
      <c r="E4" s="51"/>
      <c r="F4" s="52"/>
      <c r="G4" s="52"/>
      <c r="H4" s="52"/>
      <c r="I4" s="36"/>
    </row>
    <row r="5" spans="1:9" s="49" customFormat="1">
      <c r="B5" s="100" t="s">
        <v>216</v>
      </c>
      <c r="C5" s="100"/>
      <c r="D5" s="100"/>
      <c r="E5" s="100"/>
      <c r="F5" s="100"/>
      <c r="G5" s="100"/>
      <c r="H5" s="100"/>
    </row>
    <row r="6" spans="1:9" s="86" customFormat="1">
      <c r="A6" s="49"/>
      <c r="B6" s="100" t="s">
        <v>203</v>
      </c>
      <c r="C6" s="100"/>
      <c r="D6" s="100"/>
      <c r="E6" s="100"/>
      <c r="F6" s="100"/>
      <c r="G6" s="100"/>
      <c r="H6" s="100"/>
      <c r="I6" s="49"/>
    </row>
    <row r="7" spans="1:9" s="36" customFormat="1" ht="21.75" customHeight="1">
      <c r="A7" s="86"/>
      <c r="B7" s="101" t="s">
        <v>202</v>
      </c>
      <c r="C7" s="101"/>
      <c r="D7" s="101"/>
      <c r="E7" s="101"/>
      <c r="F7" s="101"/>
      <c r="G7" s="101"/>
      <c r="H7" s="101"/>
      <c r="I7" s="86"/>
    </row>
    <row r="8" spans="1:9" s="36" customFormat="1" ht="21.75" customHeight="1">
      <c r="B8" s="53" t="s">
        <v>0</v>
      </c>
      <c r="C8" s="54" t="s">
        <v>33</v>
      </c>
      <c r="D8" s="54" t="s">
        <v>34</v>
      </c>
      <c r="E8" s="54" t="s">
        <v>35</v>
      </c>
      <c r="F8" s="54" t="s">
        <v>36</v>
      </c>
      <c r="G8" s="54" t="s">
        <v>37</v>
      </c>
    </row>
    <row r="9" spans="1:9" s="36" customFormat="1" ht="21.75" customHeight="1">
      <c r="B9" s="55" t="s">
        <v>8</v>
      </c>
      <c r="C9" s="56" t="s">
        <v>206</v>
      </c>
      <c r="D9" s="56" t="s">
        <v>207</v>
      </c>
      <c r="E9" s="67">
        <v>29</v>
      </c>
      <c r="F9" s="57" t="s">
        <v>213</v>
      </c>
      <c r="G9" s="57" t="s">
        <v>210</v>
      </c>
    </row>
    <row r="10" spans="1:9" s="36" customFormat="1" ht="21.75" customHeight="1">
      <c r="B10" s="55" t="s">
        <v>9</v>
      </c>
      <c r="C10" s="29">
        <v>4.3570859872611543</v>
      </c>
      <c r="D10" s="29">
        <v>4.5472618154538686</v>
      </c>
      <c r="E10" s="18">
        <v>4.331896551724137</v>
      </c>
      <c r="F10" s="84">
        <v>4.8899999999999997</v>
      </c>
      <c r="G10" s="84">
        <v>4.5267857142857144</v>
      </c>
    </row>
    <row r="11" spans="1:9" s="36" customFormat="1" ht="21.75" customHeight="1">
      <c r="B11" s="55" t="s">
        <v>10</v>
      </c>
      <c r="C11" s="29">
        <v>87.141719745223085</v>
      </c>
      <c r="D11" s="29">
        <v>90.945236309077373</v>
      </c>
      <c r="E11" s="29">
        <v>86.637931034482733</v>
      </c>
      <c r="F11" s="85">
        <v>97.81</v>
      </c>
      <c r="G11" s="85">
        <v>90.535714285714292</v>
      </c>
    </row>
    <row r="12" spans="1:9" s="36" customFormat="1" ht="24" customHeight="1">
      <c r="B12" s="59"/>
      <c r="C12" s="60"/>
      <c r="D12" s="60"/>
      <c r="E12" s="60"/>
      <c r="F12" s="72"/>
      <c r="G12" s="72"/>
    </row>
    <row r="13" spans="1:9" s="36" customFormat="1" ht="24" customHeight="1">
      <c r="A13" s="99" t="s">
        <v>38</v>
      </c>
      <c r="B13" s="99"/>
      <c r="H13" s="36" t="s">
        <v>51</v>
      </c>
    </row>
    <row r="14" spans="1:9" s="36" customFormat="1" ht="24" customHeight="1">
      <c r="B14" s="39" t="s">
        <v>39</v>
      </c>
    </row>
    <row r="15" spans="1:9" s="36" customFormat="1" ht="24" customHeight="1">
      <c r="B15" s="92" t="s">
        <v>126</v>
      </c>
    </row>
    <row r="16" spans="1:9" s="36" customFormat="1" ht="24" customHeight="1">
      <c r="B16" s="92" t="s">
        <v>153</v>
      </c>
    </row>
    <row r="17" spans="1:9" s="36" customFormat="1" ht="24" customHeight="1">
      <c r="B17" s="92" t="s">
        <v>155</v>
      </c>
    </row>
    <row r="18" spans="1:9" s="36" customFormat="1" ht="24" customHeight="1">
      <c r="B18" s="92" t="s">
        <v>129</v>
      </c>
    </row>
    <row r="19" spans="1:9" s="36" customFormat="1" ht="24" customHeight="1">
      <c r="B19" s="92" t="s">
        <v>154</v>
      </c>
    </row>
    <row r="20" spans="1:9" s="36" customFormat="1" ht="24" customHeight="1">
      <c r="B20" s="92" t="s">
        <v>125</v>
      </c>
    </row>
    <row r="21" spans="1:9" s="36" customFormat="1" ht="24" customHeight="1">
      <c r="B21" s="92" t="s">
        <v>134</v>
      </c>
    </row>
    <row r="22" spans="1:9" s="36" customFormat="1" ht="24" customHeight="1">
      <c r="B22" s="92" t="s">
        <v>111</v>
      </c>
    </row>
    <row r="23" spans="1:9" s="36" customFormat="1" ht="23.25" customHeight="1">
      <c r="B23" s="92" t="s">
        <v>107</v>
      </c>
    </row>
    <row r="24" spans="1:9" s="36" customFormat="1" ht="24" customHeight="1">
      <c r="B24" s="94" t="s">
        <v>141</v>
      </c>
      <c r="C24" s="94"/>
      <c r="D24" s="94"/>
      <c r="E24" s="94"/>
    </row>
    <row r="25" spans="1:9" s="36" customFormat="1" ht="24" customHeight="1">
      <c r="B25" s="94" t="s">
        <v>113</v>
      </c>
      <c r="C25" s="94"/>
      <c r="D25" s="94"/>
      <c r="E25" s="94"/>
      <c r="F25" s="94"/>
    </row>
    <row r="26" spans="1:9" s="36" customFormat="1" ht="24" customHeight="1">
      <c r="B26" s="94" t="s">
        <v>101</v>
      </c>
      <c r="C26" s="94"/>
      <c r="D26" s="94"/>
      <c r="E26" s="94"/>
    </row>
    <row r="27" spans="1:9" s="71" customFormat="1" ht="24" customHeight="1">
      <c r="A27" s="36"/>
      <c r="B27" s="33" t="s">
        <v>96</v>
      </c>
      <c r="C27" s="37"/>
      <c r="D27" s="37"/>
      <c r="E27" s="37"/>
      <c r="F27" s="37"/>
      <c r="G27" s="37"/>
      <c r="H27" s="37"/>
      <c r="I27" s="34"/>
    </row>
    <row r="28" spans="1:9" s="71" customFormat="1" ht="24" customHeight="1">
      <c r="A28" s="34"/>
      <c r="B28" s="33" t="s">
        <v>97</v>
      </c>
      <c r="C28" s="37"/>
      <c r="D28" s="37"/>
      <c r="E28" s="37"/>
      <c r="F28" s="37"/>
      <c r="G28" s="37"/>
      <c r="H28" s="37"/>
      <c r="I28" s="34"/>
    </row>
    <row r="29" spans="1:9" s="71" customFormat="1" ht="24" customHeight="1">
      <c r="A29" s="34"/>
      <c r="B29" s="33" t="s">
        <v>98</v>
      </c>
      <c r="C29" s="37"/>
      <c r="D29" s="37"/>
      <c r="E29" s="37"/>
      <c r="F29" s="37"/>
      <c r="G29" s="37"/>
      <c r="H29" s="37"/>
      <c r="I29" s="34"/>
    </row>
    <row r="30" spans="1:9" s="71" customFormat="1" ht="24" customHeight="1">
      <c r="A30" s="34"/>
      <c r="B30" s="33" t="s">
        <v>211</v>
      </c>
      <c r="C30" s="37"/>
      <c r="D30" s="37"/>
      <c r="E30" s="37"/>
      <c r="F30" s="37"/>
      <c r="G30" s="37"/>
      <c r="H30" s="37"/>
      <c r="I30" s="34"/>
    </row>
    <row r="31" spans="1:9" s="71" customFormat="1" ht="24" customHeight="1">
      <c r="A31" s="34"/>
      <c r="B31" s="33" t="s">
        <v>100</v>
      </c>
      <c r="C31" s="37"/>
      <c r="D31" s="37"/>
      <c r="E31" s="37"/>
      <c r="F31" s="37"/>
      <c r="G31" s="37"/>
      <c r="H31" s="37"/>
      <c r="I31" s="34"/>
    </row>
    <row r="32" spans="1:9" s="71" customFormat="1" ht="24" customHeight="1">
      <c r="A32" s="34"/>
      <c r="B32" s="33" t="s">
        <v>99</v>
      </c>
      <c r="C32" s="37"/>
      <c r="D32" s="37"/>
      <c r="E32" s="37"/>
      <c r="F32" s="37"/>
      <c r="G32" s="37"/>
      <c r="H32" s="37"/>
      <c r="I32" s="34"/>
    </row>
    <row r="33" spans="1:9" s="71" customFormat="1" ht="24" customHeight="1">
      <c r="A33" s="34"/>
      <c r="B33" s="33" t="s">
        <v>102</v>
      </c>
      <c r="C33" s="37"/>
      <c r="D33" s="37"/>
      <c r="E33" s="37"/>
      <c r="F33" s="37"/>
      <c r="G33" s="37"/>
      <c r="H33" s="37"/>
      <c r="I33" s="34"/>
    </row>
    <row r="34" spans="1:9" s="71" customFormat="1" ht="24" customHeight="1">
      <c r="A34" s="34"/>
      <c r="B34" s="33" t="s">
        <v>103</v>
      </c>
      <c r="C34" s="37"/>
      <c r="D34" s="37"/>
      <c r="E34" s="37"/>
      <c r="F34" s="37"/>
      <c r="G34" s="37"/>
      <c r="H34" s="37"/>
      <c r="I34" s="34"/>
    </row>
    <row r="35" spans="1:9" s="71" customFormat="1" ht="24" customHeight="1">
      <c r="A35" s="34"/>
      <c r="B35" s="33" t="s">
        <v>105</v>
      </c>
      <c r="C35" s="37"/>
      <c r="D35" s="37"/>
      <c r="E35" s="37"/>
      <c r="F35" s="37"/>
      <c r="G35" s="37"/>
      <c r="H35" s="37"/>
      <c r="I35" s="34"/>
    </row>
    <row r="36" spans="1:9" s="71" customFormat="1" ht="24" customHeight="1">
      <c r="A36" s="34"/>
      <c r="B36" s="33" t="s">
        <v>106</v>
      </c>
      <c r="C36" s="37"/>
      <c r="D36" s="37"/>
      <c r="E36" s="37"/>
      <c r="F36" s="37"/>
      <c r="G36" s="37"/>
      <c r="H36" s="37"/>
      <c r="I36" s="34"/>
    </row>
    <row r="37" spans="1:9" s="71" customFormat="1" ht="24" customHeight="1">
      <c r="A37" s="34"/>
      <c r="B37" s="33" t="s">
        <v>112</v>
      </c>
      <c r="C37" s="37"/>
      <c r="D37" s="37"/>
      <c r="E37" s="37"/>
      <c r="F37" s="37"/>
      <c r="G37" s="37"/>
      <c r="H37" s="37"/>
      <c r="I37" s="34"/>
    </row>
    <row r="38" spans="1:9" s="71" customFormat="1" ht="24" customHeight="1">
      <c r="A38" s="34"/>
      <c r="B38" s="33" t="s">
        <v>110</v>
      </c>
      <c r="C38" s="37"/>
      <c r="D38" s="37"/>
      <c r="E38" s="37"/>
      <c r="F38" s="37"/>
      <c r="G38" s="37"/>
      <c r="H38" s="37"/>
      <c r="I38" s="34"/>
    </row>
    <row r="39" spans="1:9" s="71" customFormat="1" ht="24" customHeight="1">
      <c r="A39" s="34"/>
      <c r="B39" s="33" t="s">
        <v>114</v>
      </c>
      <c r="C39" s="37"/>
      <c r="D39" s="37"/>
      <c r="E39" s="37"/>
      <c r="F39" s="37"/>
      <c r="G39" s="37"/>
      <c r="H39" s="37"/>
      <c r="I39" s="34"/>
    </row>
    <row r="40" spans="1:9" s="71" customFormat="1" ht="24" customHeight="1">
      <c r="A40" s="34"/>
      <c r="B40" s="33" t="s">
        <v>115</v>
      </c>
      <c r="C40" s="37"/>
      <c r="D40" s="37"/>
      <c r="E40" s="37"/>
      <c r="F40" s="37"/>
      <c r="G40" s="37"/>
      <c r="H40" s="37"/>
      <c r="I40" s="34"/>
    </row>
    <row r="41" spans="1:9" s="71" customFormat="1" ht="24" customHeight="1">
      <c r="A41" s="34"/>
      <c r="B41" s="33" t="s">
        <v>117</v>
      </c>
      <c r="C41" s="37"/>
      <c r="D41" s="37"/>
      <c r="E41" s="37"/>
      <c r="F41" s="37"/>
      <c r="G41" s="37"/>
      <c r="H41" s="37"/>
      <c r="I41" s="34"/>
    </row>
    <row r="42" spans="1:9" s="71" customFormat="1" ht="24" customHeight="1">
      <c r="A42" s="34"/>
      <c r="B42" s="33" t="s">
        <v>118</v>
      </c>
      <c r="C42" s="37"/>
      <c r="D42" s="37"/>
      <c r="E42" s="37"/>
      <c r="F42" s="37"/>
      <c r="G42" s="37"/>
      <c r="H42" s="37"/>
      <c r="I42" s="34"/>
    </row>
    <row r="43" spans="1:9" s="71" customFormat="1" ht="24" customHeight="1">
      <c r="A43" s="34"/>
      <c r="B43" s="33" t="s">
        <v>119</v>
      </c>
      <c r="C43" s="37"/>
      <c r="D43" s="37"/>
      <c r="E43" s="37"/>
      <c r="F43" s="37"/>
      <c r="G43" s="37"/>
      <c r="H43" s="37"/>
      <c r="I43" s="34"/>
    </row>
    <row r="44" spans="1:9" s="71" customFormat="1" ht="24" customHeight="1">
      <c r="A44" s="34"/>
      <c r="B44" s="33" t="s">
        <v>120</v>
      </c>
      <c r="C44" s="37"/>
      <c r="D44" s="37"/>
      <c r="E44" s="37"/>
      <c r="F44" s="37"/>
      <c r="G44" s="37"/>
      <c r="H44" s="37"/>
      <c r="I44" s="34"/>
    </row>
    <row r="45" spans="1:9" s="71" customFormat="1" ht="24" customHeight="1">
      <c r="A45" s="34"/>
      <c r="B45" s="33" t="s">
        <v>121</v>
      </c>
      <c r="C45" s="37"/>
      <c r="D45" s="37"/>
      <c r="E45" s="37"/>
      <c r="F45" s="37"/>
      <c r="G45" s="37"/>
      <c r="H45" s="37"/>
      <c r="I45" s="34"/>
    </row>
    <row r="46" spans="1:9" s="71" customFormat="1" ht="24" customHeight="1">
      <c r="A46" s="34"/>
      <c r="B46" s="33" t="s">
        <v>123</v>
      </c>
      <c r="C46" s="37"/>
      <c r="D46" s="37"/>
      <c r="E46" s="37"/>
      <c r="F46" s="37"/>
      <c r="G46" s="37"/>
      <c r="H46" s="37"/>
      <c r="I46" s="34"/>
    </row>
    <row r="47" spans="1:9" s="71" customFormat="1" ht="24" customHeight="1">
      <c r="A47" s="34"/>
      <c r="B47" s="33" t="s">
        <v>124</v>
      </c>
      <c r="C47" s="37"/>
      <c r="D47" s="37"/>
      <c r="E47" s="37"/>
      <c r="F47" s="37"/>
      <c r="G47" s="37"/>
      <c r="H47" s="37"/>
      <c r="I47" s="34"/>
    </row>
    <row r="48" spans="1:9" s="71" customFormat="1" ht="24" customHeight="1">
      <c r="A48" s="34"/>
      <c r="B48" s="33" t="s">
        <v>127</v>
      </c>
      <c r="C48" s="37"/>
      <c r="D48" s="37"/>
      <c r="E48" s="37"/>
      <c r="F48" s="37"/>
      <c r="G48" s="37"/>
      <c r="H48" s="37"/>
      <c r="I48" s="34"/>
    </row>
    <row r="49" spans="1:9" s="71" customFormat="1" ht="24" customHeight="1">
      <c r="A49" s="34"/>
      <c r="B49" s="33" t="s">
        <v>128</v>
      </c>
      <c r="C49" s="37"/>
      <c r="D49" s="37"/>
      <c r="E49" s="37"/>
      <c r="F49" s="37"/>
      <c r="G49" s="37"/>
      <c r="H49" s="37"/>
      <c r="I49" s="34"/>
    </row>
    <row r="50" spans="1:9" s="71" customFormat="1" ht="24" customHeight="1">
      <c r="A50" s="34"/>
      <c r="B50" s="33" t="s">
        <v>130</v>
      </c>
      <c r="C50" s="37"/>
      <c r="D50" s="37"/>
      <c r="E50" s="37"/>
      <c r="F50" s="37"/>
      <c r="G50" s="37"/>
      <c r="H50" s="37"/>
      <c r="I50" s="34"/>
    </row>
    <row r="51" spans="1:9" s="71" customFormat="1" ht="24" customHeight="1">
      <c r="A51" s="34"/>
      <c r="B51" s="33" t="s">
        <v>132</v>
      </c>
      <c r="C51" s="37"/>
      <c r="D51" s="37"/>
      <c r="E51" s="37"/>
      <c r="F51" s="37"/>
      <c r="G51" s="37"/>
      <c r="H51" s="37"/>
      <c r="I51" s="34"/>
    </row>
    <row r="52" spans="1:9" s="71" customFormat="1" ht="24" customHeight="1">
      <c r="A52" s="34"/>
      <c r="B52" s="33" t="s">
        <v>135</v>
      </c>
      <c r="C52" s="37"/>
      <c r="D52" s="37"/>
      <c r="E52" s="37"/>
      <c r="F52" s="37"/>
      <c r="G52" s="37"/>
      <c r="H52" s="37"/>
      <c r="I52" s="34"/>
    </row>
    <row r="53" spans="1:9" s="71" customFormat="1" ht="24" customHeight="1">
      <c r="A53" s="34"/>
      <c r="B53" s="33" t="s">
        <v>136</v>
      </c>
      <c r="C53" s="37"/>
      <c r="D53" s="37"/>
      <c r="E53" s="37"/>
      <c r="F53" s="37"/>
      <c r="G53" s="37"/>
      <c r="H53" s="37"/>
      <c r="I53" s="34"/>
    </row>
    <row r="54" spans="1:9" s="71" customFormat="1" ht="24" customHeight="1">
      <c r="A54" s="34"/>
      <c r="B54" s="33" t="s">
        <v>137</v>
      </c>
      <c r="C54" s="37"/>
      <c r="D54" s="37"/>
      <c r="E54" s="37"/>
      <c r="F54" s="37"/>
      <c r="G54" s="37"/>
      <c r="H54" s="37"/>
      <c r="I54" s="34"/>
    </row>
    <row r="55" spans="1:9" s="71" customFormat="1" ht="24" customHeight="1">
      <c r="A55" s="34"/>
      <c r="B55" s="33" t="s">
        <v>138</v>
      </c>
      <c r="C55" s="37"/>
      <c r="D55" s="37"/>
      <c r="E55" s="37"/>
      <c r="F55" s="37"/>
      <c r="G55" s="37"/>
      <c r="H55" s="37"/>
      <c r="I55" s="34"/>
    </row>
    <row r="56" spans="1:9" s="71" customFormat="1" ht="24" customHeight="1">
      <c r="A56" s="34"/>
      <c r="B56" s="33" t="s">
        <v>156</v>
      </c>
      <c r="C56" s="37"/>
      <c r="D56" s="37"/>
      <c r="E56" s="37"/>
      <c r="F56" s="37"/>
      <c r="G56" s="37"/>
      <c r="H56" s="37"/>
      <c r="I56" s="34"/>
    </row>
    <row r="57" spans="1:9" s="71" customFormat="1" ht="24" customHeight="1">
      <c r="A57" s="34"/>
      <c r="B57" s="33" t="s">
        <v>146</v>
      </c>
      <c r="C57" s="37"/>
      <c r="D57" s="37"/>
      <c r="E57" s="37"/>
      <c r="F57" s="37"/>
      <c r="G57" s="37"/>
      <c r="H57" s="37"/>
      <c r="I57" s="34"/>
    </row>
    <row r="58" spans="1:9" s="71" customFormat="1" ht="24" customHeight="1">
      <c r="A58" s="34"/>
      <c r="B58" s="33" t="s">
        <v>145</v>
      </c>
      <c r="C58" s="37"/>
      <c r="D58" s="37"/>
      <c r="E58" s="37"/>
      <c r="F58" s="37"/>
      <c r="G58" s="37"/>
      <c r="H58" s="37"/>
      <c r="I58" s="34"/>
    </row>
    <row r="59" spans="1:9" s="71" customFormat="1" ht="24" customHeight="1">
      <c r="A59" s="34"/>
      <c r="B59" s="33" t="s">
        <v>144</v>
      </c>
      <c r="C59" s="37"/>
      <c r="D59" s="37"/>
      <c r="E59" s="37"/>
      <c r="F59" s="37"/>
      <c r="G59" s="37"/>
      <c r="H59" s="37"/>
      <c r="I59" s="34"/>
    </row>
    <row r="60" spans="1:9" s="71" customFormat="1" ht="24" customHeight="1">
      <c r="A60" s="34"/>
      <c r="B60" s="33" t="s">
        <v>131</v>
      </c>
      <c r="C60" s="37"/>
      <c r="D60" s="37"/>
      <c r="E60" s="37"/>
      <c r="F60" s="37"/>
      <c r="G60" s="37"/>
      <c r="H60" s="37"/>
      <c r="I60" s="34"/>
    </row>
    <row r="61" spans="1:9" s="71" customFormat="1" ht="348" customHeight="1">
      <c r="A61" s="34"/>
      <c r="B61" s="95" t="s">
        <v>212</v>
      </c>
      <c r="C61" s="95"/>
      <c r="D61" s="95"/>
      <c r="E61" s="95"/>
      <c r="F61" s="95"/>
      <c r="G61" s="95"/>
      <c r="H61" s="95"/>
      <c r="I61" s="34"/>
    </row>
    <row r="62" spans="1:9" s="71" customFormat="1" ht="24" customHeight="1">
      <c r="A62" s="34"/>
      <c r="B62" s="33" t="s">
        <v>140</v>
      </c>
      <c r="C62" s="37"/>
      <c r="D62" s="37"/>
      <c r="E62" s="37"/>
      <c r="F62" s="37"/>
      <c r="G62" s="37"/>
      <c r="H62" s="37"/>
      <c r="I62" s="34"/>
    </row>
    <row r="63" spans="1:9" s="71" customFormat="1" ht="24" customHeight="1">
      <c r="A63" s="34"/>
      <c r="B63" s="33"/>
      <c r="C63" s="37"/>
      <c r="D63" s="37"/>
      <c r="E63" s="37"/>
      <c r="F63" s="37"/>
      <c r="G63" s="37"/>
      <c r="H63" s="37"/>
      <c r="I63" s="34"/>
    </row>
    <row r="64" spans="1:9" s="71" customFormat="1" ht="24" customHeight="1">
      <c r="A64" s="34"/>
      <c r="B64" s="33"/>
      <c r="C64" s="37"/>
      <c r="D64" s="37"/>
      <c r="E64" s="37"/>
      <c r="F64" s="37"/>
      <c r="G64" s="37"/>
      <c r="H64" s="37"/>
      <c r="I64" s="34"/>
    </row>
    <row r="65" spans="1:9" s="71" customFormat="1" ht="24" customHeight="1">
      <c r="A65" s="34"/>
      <c r="B65" s="39" t="s">
        <v>40</v>
      </c>
      <c r="C65" s="38"/>
      <c r="D65" s="38"/>
      <c r="E65" s="38"/>
      <c r="F65" s="38"/>
      <c r="G65" s="38"/>
      <c r="H65" s="38"/>
    </row>
    <row r="66" spans="1:9" s="42" customFormat="1" ht="24" customHeight="1">
      <c r="A66" s="73"/>
      <c r="B66" s="34" t="s">
        <v>104</v>
      </c>
      <c r="C66" s="37"/>
      <c r="D66" s="37"/>
      <c r="E66" s="37"/>
      <c r="F66" s="37"/>
      <c r="G66" s="37"/>
      <c r="H66" s="37"/>
      <c r="I66" s="34"/>
    </row>
    <row r="67" spans="1:9" s="42" customFormat="1" ht="24" customHeight="1">
      <c r="A67" s="34"/>
      <c r="B67" s="34" t="s">
        <v>133</v>
      </c>
      <c r="C67" s="37"/>
      <c r="D67" s="37"/>
      <c r="E67" s="37"/>
      <c r="F67" s="37"/>
      <c r="G67" s="37"/>
      <c r="H67" s="37"/>
      <c r="I67" s="34"/>
    </row>
    <row r="68" spans="1:9" s="42" customFormat="1" ht="24" customHeight="1">
      <c r="A68" s="34"/>
      <c r="B68" s="34" t="s">
        <v>51</v>
      </c>
      <c r="C68" s="37"/>
      <c r="D68" s="37"/>
      <c r="E68" s="37"/>
      <c r="F68" s="37"/>
      <c r="G68" s="37"/>
      <c r="H68" s="37"/>
      <c r="I68" s="34"/>
    </row>
    <row r="69" spans="1:9" s="42" customFormat="1" ht="24" customHeight="1">
      <c r="A69" s="34"/>
      <c r="B69" s="34"/>
      <c r="C69" s="37"/>
      <c r="D69" s="37"/>
      <c r="E69" s="37"/>
      <c r="F69" s="37"/>
      <c r="G69" s="37"/>
      <c r="H69" s="37"/>
      <c r="I69" s="34"/>
    </row>
    <row r="70" spans="1:9" ht="24" customHeight="1">
      <c r="B70" s="50" t="s">
        <v>41</v>
      </c>
      <c r="C70" s="50"/>
      <c r="D70" s="50"/>
      <c r="E70" s="50"/>
      <c r="F70" s="36"/>
      <c r="G70" s="36"/>
      <c r="H70" s="36"/>
      <c r="I70" s="42"/>
    </row>
    <row r="71" spans="1:9" ht="24" customHeight="1">
      <c r="B71" s="33" t="s">
        <v>149</v>
      </c>
      <c r="C71" s="50"/>
      <c r="D71" s="50"/>
      <c r="E71" s="50"/>
      <c r="F71" s="36"/>
      <c r="G71" s="36"/>
      <c r="H71" s="36"/>
      <c r="I71" s="42"/>
    </row>
    <row r="72" spans="1:9" ht="24" customHeight="1">
      <c r="B72" s="34" t="s">
        <v>109</v>
      </c>
      <c r="C72" s="50"/>
      <c r="D72" s="50"/>
      <c r="E72" s="50"/>
      <c r="F72" s="36"/>
      <c r="G72" s="36"/>
      <c r="H72" s="36"/>
      <c r="I72" s="42"/>
    </row>
    <row r="73" spans="1:9" ht="24" customHeight="1">
      <c r="A73" s="58"/>
      <c r="B73" s="33" t="s">
        <v>116</v>
      </c>
      <c r="C73" s="33"/>
      <c r="D73" s="38"/>
      <c r="E73" s="40"/>
      <c r="F73" s="40"/>
      <c r="G73" s="40"/>
      <c r="H73" s="40"/>
      <c r="I73" s="71"/>
    </row>
    <row r="74" spans="1:9" ht="24" customHeight="1">
      <c r="A74" s="58"/>
      <c r="B74" s="33" t="s">
        <v>148</v>
      </c>
      <c r="C74" s="33"/>
      <c r="D74" s="38"/>
      <c r="E74" s="40"/>
      <c r="F74" s="40"/>
      <c r="G74" s="40"/>
      <c r="H74" s="40"/>
      <c r="I74" s="71"/>
    </row>
    <row r="75" spans="1:9" ht="24" customHeight="1">
      <c r="A75" s="58"/>
      <c r="B75" s="33" t="s">
        <v>122</v>
      </c>
      <c r="C75" s="33"/>
      <c r="D75" s="38"/>
      <c r="E75" s="40"/>
      <c r="F75" s="40"/>
      <c r="G75" s="40"/>
      <c r="H75" s="40"/>
      <c r="I75" s="71"/>
    </row>
    <row r="76" spans="1:9" ht="24" customHeight="1">
      <c r="A76" s="58"/>
      <c r="B76" s="33" t="s">
        <v>150</v>
      </c>
      <c r="C76" s="33"/>
      <c r="D76" s="38"/>
      <c r="E76" s="40"/>
      <c r="F76" s="40"/>
      <c r="G76" s="40"/>
      <c r="H76" s="40"/>
      <c r="I76" s="71"/>
    </row>
    <row r="77" spans="1:9" ht="24" customHeight="1">
      <c r="A77" s="58"/>
      <c r="B77" s="33" t="s">
        <v>151</v>
      </c>
      <c r="C77" s="33"/>
      <c r="D77" s="38"/>
      <c r="E77" s="40"/>
      <c r="F77" s="40"/>
      <c r="G77" s="40"/>
      <c r="H77" s="40"/>
      <c r="I77" s="71"/>
    </row>
    <row r="78" spans="1:9" ht="24" customHeight="1">
      <c r="A78" s="58"/>
      <c r="B78" s="33" t="s">
        <v>147</v>
      </c>
      <c r="C78" s="33"/>
      <c r="D78" s="38"/>
      <c r="E78" s="40"/>
      <c r="F78" s="40"/>
      <c r="G78" s="40"/>
      <c r="H78" s="40"/>
      <c r="I78" s="71"/>
    </row>
    <row r="79" spans="1:9" ht="24" customHeight="1">
      <c r="A79" s="71"/>
      <c r="B79" s="33" t="s">
        <v>108</v>
      </c>
      <c r="C79" s="33"/>
      <c r="D79" s="38"/>
      <c r="E79" s="40"/>
      <c r="F79" s="40"/>
      <c r="G79" s="40"/>
      <c r="H79" s="40"/>
      <c r="I79" s="71"/>
    </row>
    <row r="80" spans="1:9" ht="24" customHeight="1">
      <c r="A80" s="71"/>
      <c r="B80" s="33" t="s">
        <v>139</v>
      </c>
      <c r="C80" s="33"/>
      <c r="D80" s="38"/>
      <c r="E80" s="40"/>
      <c r="F80" s="40"/>
      <c r="G80" s="40"/>
      <c r="H80" s="40"/>
      <c r="I80" s="71"/>
    </row>
    <row r="81" spans="1:9" ht="24" customHeight="1">
      <c r="A81" s="71"/>
      <c r="B81" s="34" t="s">
        <v>142</v>
      </c>
      <c r="C81" s="36"/>
      <c r="D81" s="36"/>
      <c r="E81" s="36"/>
      <c r="F81" s="36"/>
      <c r="G81" s="36"/>
      <c r="H81" s="36"/>
    </row>
    <row r="82" spans="1:9" ht="24" customHeight="1">
      <c r="A82" s="71"/>
      <c r="B82" s="34" t="s">
        <v>143</v>
      </c>
      <c r="C82" s="36"/>
      <c r="D82" s="36"/>
      <c r="E82" s="36"/>
      <c r="F82" s="36"/>
      <c r="G82" s="36"/>
      <c r="H82" s="36"/>
    </row>
    <row r="83" spans="1:9" ht="24" customHeight="1">
      <c r="A83" s="71"/>
      <c r="B83" s="34" t="s">
        <v>152</v>
      </c>
      <c r="C83" s="36"/>
      <c r="D83" s="36"/>
      <c r="E83" s="36"/>
      <c r="F83" s="36"/>
      <c r="G83" s="36"/>
      <c r="H83" s="36"/>
    </row>
    <row r="84" spans="1:9" ht="24" customHeight="1">
      <c r="A84" s="71"/>
      <c r="C84" s="36"/>
      <c r="D84" s="36"/>
      <c r="E84" s="36"/>
      <c r="F84" s="36"/>
      <c r="G84" s="36"/>
      <c r="H84" s="36"/>
    </row>
    <row r="85" spans="1:9" ht="24" customHeight="1">
      <c r="A85" s="69" t="s">
        <v>42</v>
      </c>
    </row>
    <row r="86" spans="1:9" s="71" customFormat="1" ht="24" customHeight="1">
      <c r="A86" s="34"/>
      <c r="B86" s="39" t="s">
        <v>39</v>
      </c>
      <c r="C86" s="41"/>
      <c r="D86" s="41"/>
      <c r="E86" s="41"/>
      <c r="F86" s="41"/>
      <c r="G86" s="41"/>
      <c r="H86" s="41"/>
    </row>
    <row r="87" spans="1:9" s="71" customFormat="1" ht="24" customHeight="1">
      <c r="B87" s="71" t="s">
        <v>205</v>
      </c>
    </row>
    <row r="88" spans="1:9" s="71" customFormat="1" ht="24" customHeight="1">
      <c r="B88" s="71" t="s">
        <v>159</v>
      </c>
    </row>
    <row r="89" spans="1:9" s="71" customFormat="1" ht="24" customHeight="1">
      <c r="B89" s="71" t="s">
        <v>172</v>
      </c>
    </row>
    <row r="90" spans="1:9" s="71" customFormat="1" ht="24" customHeight="1">
      <c r="B90" s="71" t="s">
        <v>169</v>
      </c>
    </row>
    <row r="91" spans="1:9" s="71" customFormat="1" ht="24" customHeight="1">
      <c r="B91" s="71" t="s">
        <v>183</v>
      </c>
    </row>
    <row r="92" spans="1:9" s="71" customFormat="1" ht="24" customHeight="1">
      <c r="B92" s="71" t="s">
        <v>194</v>
      </c>
    </row>
    <row r="93" spans="1:9" s="71" customFormat="1" ht="24" customHeight="1">
      <c r="B93" s="71" t="s">
        <v>181</v>
      </c>
    </row>
    <row r="94" spans="1:9" s="71" customFormat="1" ht="24" customHeight="1">
      <c r="B94" s="71" t="s">
        <v>160</v>
      </c>
    </row>
    <row r="95" spans="1:9" ht="24" customHeight="1">
      <c r="A95" s="71"/>
      <c r="B95" s="71" t="s">
        <v>161</v>
      </c>
      <c r="C95" s="71"/>
      <c r="D95" s="71"/>
      <c r="E95" s="71"/>
      <c r="F95" s="71"/>
      <c r="G95" s="71"/>
      <c r="H95" s="71"/>
      <c r="I95" s="71"/>
    </row>
    <row r="96" spans="1:9" ht="24" customHeight="1">
      <c r="A96" s="71"/>
      <c r="B96" s="71" t="s">
        <v>162</v>
      </c>
      <c r="C96" s="71"/>
      <c r="D96" s="71"/>
      <c r="E96" s="71"/>
      <c r="F96" s="71"/>
      <c r="G96" s="71"/>
      <c r="H96" s="71"/>
      <c r="I96" s="71"/>
    </row>
    <row r="97" spans="1:9" ht="24" customHeight="1">
      <c r="A97" s="71"/>
      <c r="B97" s="71" t="s">
        <v>165</v>
      </c>
      <c r="C97" s="71"/>
      <c r="D97" s="71"/>
      <c r="E97" s="71"/>
      <c r="F97" s="71"/>
      <c r="G97" s="71"/>
      <c r="H97" s="71"/>
      <c r="I97" s="71"/>
    </row>
    <row r="98" spans="1:9" ht="24" customHeight="1">
      <c r="A98" s="71"/>
      <c r="B98" s="71" t="s">
        <v>168</v>
      </c>
      <c r="C98" s="71"/>
      <c r="D98" s="71"/>
      <c r="E98" s="71"/>
      <c r="F98" s="71"/>
      <c r="G98" s="71"/>
      <c r="H98" s="71"/>
      <c r="I98" s="71"/>
    </row>
    <row r="99" spans="1:9" ht="24" customHeight="1">
      <c r="A99" s="71"/>
      <c r="B99" s="71" t="s">
        <v>171</v>
      </c>
      <c r="C99" s="71"/>
      <c r="D99" s="71"/>
      <c r="E99" s="71"/>
      <c r="F99" s="71"/>
      <c r="G99" s="71"/>
      <c r="H99" s="71"/>
      <c r="I99" s="71"/>
    </row>
    <row r="100" spans="1:9" ht="24" customHeight="1">
      <c r="A100" s="71"/>
      <c r="B100" s="71" t="s">
        <v>174</v>
      </c>
      <c r="C100" s="71"/>
      <c r="D100" s="71"/>
      <c r="E100" s="71"/>
      <c r="F100" s="71"/>
      <c r="G100" s="71"/>
      <c r="H100" s="71"/>
      <c r="I100" s="71"/>
    </row>
    <row r="101" spans="1:9" ht="24" customHeight="1">
      <c r="A101" s="71"/>
      <c r="B101" s="71" t="s">
        <v>179</v>
      </c>
      <c r="C101" s="71"/>
      <c r="D101" s="71"/>
      <c r="E101" s="71"/>
      <c r="F101" s="71"/>
      <c r="G101" s="71"/>
      <c r="H101" s="71"/>
      <c r="I101" s="71"/>
    </row>
    <row r="102" spans="1:9" ht="24" customHeight="1">
      <c r="A102" s="71"/>
      <c r="B102" s="71" t="s">
        <v>184</v>
      </c>
      <c r="C102" s="71"/>
      <c r="D102" s="71"/>
      <c r="E102" s="71"/>
      <c r="F102" s="71"/>
      <c r="G102" s="71"/>
      <c r="H102" s="71"/>
      <c r="I102" s="71"/>
    </row>
    <row r="103" spans="1:9" ht="24" customHeight="1">
      <c r="A103" s="71"/>
      <c r="B103" s="71" t="s">
        <v>186</v>
      </c>
      <c r="C103" s="71"/>
      <c r="D103" s="71"/>
      <c r="E103" s="71"/>
      <c r="F103" s="71"/>
      <c r="G103" s="71"/>
      <c r="H103" s="71"/>
      <c r="I103" s="71"/>
    </row>
    <row r="104" spans="1:9" ht="24" customHeight="1">
      <c r="A104" s="71"/>
      <c r="B104" s="71" t="s">
        <v>189</v>
      </c>
      <c r="C104" s="71"/>
      <c r="D104" s="71"/>
      <c r="E104" s="71"/>
      <c r="F104" s="71"/>
      <c r="G104" s="71"/>
      <c r="H104" s="71"/>
      <c r="I104" s="71"/>
    </row>
    <row r="105" spans="1:9" ht="24" customHeight="1">
      <c r="A105" s="71"/>
      <c r="B105" s="71" t="s">
        <v>190</v>
      </c>
      <c r="C105" s="71"/>
      <c r="D105" s="71"/>
      <c r="E105" s="71"/>
      <c r="F105" s="71"/>
      <c r="G105" s="71"/>
      <c r="H105" s="71"/>
      <c r="I105" s="71"/>
    </row>
    <row r="106" spans="1:9" ht="24" customHeight="1">
      <c r="A106" s="71"/>
      <c r="B106" s="71" t="s">
        <v>191</v>
      </c>
      <c r="C106" s="71"/>
      <c r="D106" s="71"/>
      <c r="E106" s="71"/>
      <c r="F106" s="71"/>
      <c r="G106" s="71"/>
      <c r="H106" s="71"/>
      <c r="I106" s="71"/>
    </row>
    <row r="107" spans="1:9" ht="24" customHeight="1">
      <c r="A107" s="71"/>
      <c r="B107" s="71" t="s">
        <v>192</v>
      </c>
      <c r="C107" s="71"/>
      <c r="D107" s="71"/>
      <c r="E107" s="71"/>
      <c r="F107" s="71"/>
      <c r="G107" s="71"/>
      <c r="H107" s="71"/>
      <c r="I107" s="71"/>
    </row>
    <row r="108" spans="1:9" ht="24" customHeight="1">
      <c r="A108" s="71"/>
      <c r="B108" s="71" t="s">
        <v>197</v>
      </c>
      <c r="C108" s="71"/>
      <c r="D108" s="71"/>
      <c r="E108" s="71"/>
      <c r="F108" s="71"/>
      <c r="G108" s="71"/>
      <c r="H108" s="71"/>
      <c r="I108" s="71"/>
    </row>
    <row r="109" spans="1:9" ht="24" customHeight="1">
      <c r="A109" s="71"/>
      <c r="B109" s="71" t="s">
        <v>199</v>
      </c>
      <c r="C109" s="71"/>
      <c r="D109" s="71"/>
      <c r="E109" s="71"/>
      <c r="F109" s="71"/>
      <c r="G109" s="71"/>
      <c r="H109" s="71"/>
      <c r="I109" s="71"/>
    </row>
    <row r="110" spans="1:9" ht="24" customHeight="1">
      <c r="A110" s="71"/>
      <c r="B110" s="71" t="s">
        <v>204</v>
      </c>
      <c r="C110" s="71"/>
      <c r="D110" s="71"/>
      <c r="E110" s="71"/>
      <c r="F110" s="71"/>
      <c r="G110" s="71"/>
      <c r="H110" s="71"/>
      <c r="I110" s="71"/>
    </row>
    <row r="111" spans="1:9" ht="24" customHeight="1">
      <c r="A111" s="71"/>
      <c r="B111" s="71"/>
      <c r="C111" s="71"/>
      <c r="D111" s="71"/>
      <c r="E111" s="71"/>
      <c r="F111" s="71"/>
      <c r="G111" s="71"/>
      <c r="H111" s="71"/>
      <c r="I111" s="71"/>
    </row>
    <row r="112" spans="1:9" ht="24" customHeight="1">
      <c r="A112" s="71"/>
      <c r="B112" s="71"/>
      <c r="C112" s="71"/>
      <c r="D112" s="71"/>
      <c r="E112" s="71"/>
      <c r="F112" s="71"/>
      <c r="G112" s="71"/>
      <c r="H112" s="71"/>
      <c r="I112" s="71"/>
    </row>
    <row r="113" spans="1:9" s="73" customFormat="1" ht="24" customHeight="1">
      <c r="A113" s="71"/>
      <c r="B113" s="44" t="s">
        <v>40</v>
      </c>
      <c r="C113" s="40"/>
      <c r="D113" s="40"/>
      <c r="E113" s="40"/>
      <c r="F113" s="40"/>
      <c r="G113" s="40"/>
      <c r="H113" s="40"/>
      <c r="I113" s="70"/>
    </row>
    <row r="114" spans="1:9" s="73" customFormat="1" ht="24" customHeight="1">
      <c r="B114" s="33" t="s">
        <v>173</v>
      </c>
      <c r="C114" s="70"/>
      <c r="D114" s="70"/>
      <c r="E114" s="40"/>
      <c r="F114" s="40"/>
      <c r="G114" s="40"/>
      <c r="H114" s="40"/>
      <c r="I114" s="70"/>
    </row>
    <row r="115" spans="1:9" s="73" customFormat="1" ht="24" customHeight="1">
      <c r="B115" s="33"/>
      <c r="C115" s="70"/>
      <c r="D115" s="70"/>
      <c r="E115" s="40"/>
      <c r="F115" s="40"/>
      <c r="G115" s="40"/>
      <c r="H115" s="40"/>
      <c r="I115" s="70"/>
    </row>
    <row r="116" spans="1:9" s="73" customFormat="1" ht="24" customHeight="1">
      <c r="B116" s="33"/>
      <c r="C116" s="70"/>
      <c r="D116" s="70"/>
      <c r="E116" s="40"/>
      <c r="F116" s="40"/>
      <c r="G116" s="40"/>
      <c r="H116" s="40"/>
      <c r="I116" s="70"/>
    </row>
    <row r="117" spans="1:9" s="73" customFormat="1" ht="24" customHeight="1">
      <c r="B117" s="47" t="s">
        <v>41</v>
      </c>
      <c r="C117" s="38"/>
      <c r="D117" s="38"/>
      <c r="E117" s="38"/>
      <c r="F117" s="38"/>
      <c r="G117" s="38"/>
      <c r="H117" s="38"/>
    </row>
    <row r="118" spans="1:9" s="73" customFormat="1" ht="24" customHeight="1">
      <c r="B118" s="71" t="s">
        <v>157</v>
      </c>
      <c r="C118" s="38"/>
      <c r="D118" s="38"/>
      <c r="E118" s="38"/>
      <c r="F118" s="38"/>
      <c r="G118" s="38"/>
      <c r="H118" s="38"/>
    </row>
    <row r="119" spans="1:9" s="73" customFormat="1" ht="24" customHeight="1">
      <c r="B119" s="36" t="s">
        <v>158</v>
      </c>
      <c r="C119" s="35"/>
      <c r="D119" s="35"/>
      <c r="E119" s="35"/>
      <c r="F119" s="35"/>
      <c r="G119" s="35"/>
      <c r="H119" s="35"/>
    </row>
    <row r="120" spans="1:9" s="73" customFormat="1" ht="24" customHeight="1">
      <c r="B120" s="33" t="s">
        <v>163</v>
      </c>
      <c r="C120" s="38"/>
      <c r="D120" s="38"/>
      <c r="E120" s="38"/>
      <c r="F120" s="38"/>
      <c r="G120" s="38"/>
      <c r="H120" s="38"/>
    </row>
    <row r="121" spans="1:9" s="73" customFormat="1" ht="24" customHeight="1">
      <c r="B121" s="33" t="s">
        <v>167</v>
      </c>
      <c r="C121" s="38"/>
      <c r="D121" s="38"/>
      <c r="E121" s="38"/>
      <c r="F121" s="38"/>
      <c r="G121" s="38"/>
      <c r="H121" s="38"/>
    </row>
    <row r="122" spans="1:9" s="73" customFormat="1" ht="24" customHeight="1">
      <c r="B122" s="33" t="s">
        <v>164</v>
      </c>
      <c r="C122" s="38"/>
      <c r="D122" s="38"/>
      <c r="E122" s="38"/>
      <c r="F122" s="38"/>
      <c r="G122" s="38"/>
      <c r="H122" s="38"/>
    </row>
    <row r="123" spans="1:9" s="73" customFormat="1" ht="24" customHeight="1">
      <c r="A123" s="71"/>
      <c r="B123" s="71" t="s">
        <v>166</v>
      </c>
      <c r="C123" s="38"/>
      <c r="D123" s="38"/>
      <c r="E123" s="38"/>
      <c r="F123" s="38"/>
      <c r="G123" s="38"/>
      <c r="H123" s="38"/>
    </row>
    <row r="124" spans="1:9" ht="24" customHeight="1">
      <c r="A124" s="71"/>
      <c r="B124" s="33" t="s">
        <v>170</v>
      </c>
      <c r="C124" s="38"/>
      <c r="D124" s="38"/>
      <c r="E124" s="38"/>
      <c r="F124" s="38"/>
      <c r="G124" s="38"/>
      <c r="H124" s="38"/>
      <c r="I124" s="73"/>
    </row>
    <row r="125" spans="1:9" s="71" customFormat="1" ht="24" customHeight="1">
      <c r="B125" s="34" t="s">
        <v>175</v>
      </c>
      <c r="C125" s="45"/>
      <c r="D125" s="45"/>
      <c r="E125" s="48"/>
      <c r="F125" s="48"/>
      <c r="G125" s="48"/>
      <c r="H125" s="45"/>
      <c r="I125" s="34"/>
    </row>
    <row r="126" spans="1:9" s="71" customFormat="1" ht="24" customHeight="1">
      <c r="B126" s="71" t="s">
        <v>176</v>
      </c>
      <c r="C126" s="40"/>
      <c r="D126" s="40"/>
      <c r="E126" s="40"/>
      <c r="F126" s="40"/>
      <c r="G126" s="40"/>
      <c r="H126" s="40"/>
    </row>
    <row r="127" spans="1:9" s="73" customFormat="1" ht="24" customHeight="1">
      <c r="B127" s="71" t="s">
        <v>177</v>
      </c>
      <c r="C127" s="40"/>
      <c r="D127" s="40"/>
      <c r="E127" s="40"/>
      <c r="F127" s="40"/>
      <c r="G127" s="40"/>
      <c r="H127" s="40"/>
      <c r="I127" s="71"/>
    </row>
    <row r="128" spans="1:9" s="73" customFormat="1" ht="24" customHeight="1">
      <c r="B128" s="71" t="s">
        <v>178</v>
      </c>
      <c r="C128" s="40"/>
      <c r="D128" s="40"/>
      <c r="E128" s="40"/>
      <c r="F128" s="40"/>
      <c r="G128" s="40"/>
      <c r="H128" s="40"/>
      <c r="I128" s="71"/>
    </row>
    <row r="129" spans="1:9" s="73" customFormat="1" ht="24" customHeight="1">
      <c r="B129" s="71" t="s">
        <v>180</v>
      </c>
      <c r="C129" s="40"/>
      <c r="D129" s="40"/>
      <c r="E129" s="40"/>
      <c r="F129" s="40"/>
      <c r="G129" s="40"/>
      <c r="H129" s="40"/>
      <c r="I129" s="71"/>
    </row>
    <row r="130" spans="1:9" s="73" customFormat="1" ht="24" customHeight="1">
      <c r="B130" s="71" t="s">
        <v>182</v>
      </c>
      <c r="C130" s="40"/>
      <c r="D130" s="40"/>
      <c r="E130" s="40"/>
      <c r="F130" s="40"/>
      <c r="G130" s="40"/>
      <c r="H130" s="40"/>
      <c r="I130" s="71"/>
    </row>
    <row r="131" spans="1:9" s="73" customFormat="1" ht="24" customHeight="1">
      <c r="B131" s="71" t="s">
        <v>185</v>
      </c>
      <c r="C131" s="40"/>
      <c r="D131" s="40"/>
      <c r="E131" s="40"/>
      <c r="F131" s="40"/>
      <c r="G131" s="40"/>
      <c r="H131" s="40"/>
      <c r="I131" s="71"/>
    </row>
    <row r="132" spans="1:9" s="73" customFormat="1" ht="24" customHeight="1">
      <c r="B132" s="71" t="s">
        <v>187</v>
      </c>
      <c r="C132" s="40"/>
      <c r="D132" s="40"/>
      <c r="E132" s="40"/>
      <c r="F132" s="40"/>
      <c r="G132" s="40"/>
      <c r="H132" s="40"/>
      <c r="I132" s="71"/>
    </row>
    <row r="133" spans="1:9" s="73" customFormat="1" ht="24" customHeight="1">
      <c r="B133" s="71" t="s">
        <v>188</v>
      </c>
      <c r="C133" s="40"/>
      <c r="D133" s="40"/>
      <c r="E133" s="40"/>
      <c r="F133" s="40"/>
      <c r="G133" s="40"/>
      <c r="H133" s="40"/>
      <c r="I133" s="71"/>
    </row>
    <row r="134" spans="1:9" s="73" customFormat="1" ht="24" customHeight="1">
      <c r="B134" s="71" t="s">
        <v>193</v>
      </c>
      <c r="C134" s="40"/>
      <c r="D134" s="40"/>
      <c r="E134" s="40"/>
      <c r="F134" s="40"/>
      <c r="G134" s="40"/>
      <c r="H134" s="40"/>
      <c r="I134" s="71"/>
    </row>
    <row r="135" spans="1:9" s="73" customFormat="1" ht="24" customHeight="1">
      <c r="B135" s="71" t="s">
        <v>195</v>
      </c>
      <c r="C135" s="40"/>
      <c r="D135" s="40"/>
      <c r="E135" s="40"/>
      <c r="F135" s="40"/>
      <c r="G135" s="40"/>
      <c r="H135" s="40"/>
      <c r="I135" s="71"/>
    </row>
    <row r="136" spans="1:9" s="73" customFormat="1" ht="24" customHeight="1">
      <c r="B136" s="71" t="s">
        <v>196</v>
      </c>
      <c r="C136" s="40"/>
      <c r="D136" s="40"/>
      <c r="E136" s="40"/>
      <c r="F136" s="40"/>
      <c r="G136" s="40"/>
      <c r="H136" s="40"/>
      <c r="I136" s="71"/>
    </row>
    <row r="137" spans="1:9" s="73" customFormat="1" ht="24" customHeight="1">
      <c r="B137" s="71" t="s">
        <v>198</v>
      </c>
      <c r="C137" s="40"/>
      <c r="D137" s="40"/>
      <c r="E137" s="40"/>
      <c r="F137" s="40"/>
      <c r="G137" s="40"/>
      <c r="H137" s="40"/>
      <c r="I137" s="71"/>
    </row>
    <row r="138" spans="1:9" s="73" customFormat="1" ht="24" customHeight="1">
      <c r="B138" s="71" t="s">
        <v>200</v>
      </c>
      <c r="C138" s="40"/>
      <c r="D138" s="40"/>
      <c r="E138" s="40"/>
      <c r="F138" s="40"/>
      <c r="G138" s="40"/>
      <c r="H138" s="40"/>
      <c r="I138" s="71"/>
    </row>
    <row r="139" spans="1:9" s="73" customFormat="1" ht="24" customHeight="1">
      <c r="B139" s="71" t="s">
        <v>201</v>
      </c>
      <c r="C139" s="40"/>
      <c r="D139" s="40"/>
      <c r="E139" s="40"/>
      <c r="F139" s="40"/>
      <c r="G139" s="40"/>
      <c r="H139" s="40"/>
      <c r="I139" s="71"/>
    </row>
    <row r="140" spans="1:9" s="73" customFormat="1" ht="24" customHeight="1">
      <c r="B140" s="71"/>
      <c r="C140" s="40"/>
      <c r="D140" s="40"/>
      <c r="E140" s="40"/>
      <c r="F140" s="40"/>
      <c r="G140" s="40"/>
      <c r="H140" s="40"/>
      <c r="I140" s="71"/>
    </row>
    <row r="141" spans="1:9" s="73" customFormat="1" ht="24" customHeight="1">
      <c r="A141" s="71"/>
      <c r="C141" s="38"/>
      <c r="D141" s="38"/>
      <c r="E141" s="38"/>
      <c r="F141" s="38"/>
      <c r="G141" s="38"/>
      <c r="H141" s="38"/>
    </row>
    <row r="142" spans="1:9" s="73" customFormat="1" ht="24" customHeight="1">
      <c r="A142" s="71"/>
      <c r="B142" s="46"/>
      <c r="C142" s="40"/>
      <c r="D142" s="40"/>
      <c r="E142" s="40"/>
      <c r="F142" s="40"/>
      <c r="G142" s="40"/>
      <c r="H142" s="40"/>
      <c r="I142" s="71"/>
    </row>
    <row r="143" spans="1:9" s="71" customFormat="1" ht="24" customHeight="1">
      <c r="B143" s="43"/>
      <c r="C143" s="38"/>
      <c r="D143" s="38"/>
      <c r="E143" s="38"/>
      <c r="F143" s="38"/>
      <c r="G143" s="38"/>
      <c r="H143" s="38"/>
      <c r="I143" s="73"/>
    </row>
    <row r="144" spans="1:9" s="71" customFormat="1" ht="24" customHeight="1">
      <c r="B144" s="43"/>
      <c r="C144" s="40"/>
      <c r="D144" s="40"/>
      <c r="E144" s="40"/>
      <c r="F144" s="40"/>
      <c r="G144" s="40"/>
      <c r="H144" s="40"/>
    </row>
    <row r="145" spans="2:8" s="71" customFormat="1" ht="24" customHeight="1">
      <c r="B145" s="43"/>
      <c r="C145" s="40"/>
      <c r="D145" s="40"/>
      <c r="E145" s="40"/>
      <c r="F145" s="40"/>
      <c r="G145" s="40"/>
      <c r="H145" s="40"/>
    </row>
    <row r="146" spans="2:8" s="71" customFormat="1" ht="24" customHeight="1">
      <c r="B146" s="43"/>
      <c r="C146" s="40"/>
      <c r="D146" s="40"/>
      <c r="E146" s="40"/>
      <c r="F146" s="40"/>
      <c r="G146" s="40"/>
      <c r="H146" s="40"/>
    </row>
    <row r="147" spans="2:8" s="71" customFormat="1" ht="24" customHeight="1">
      <c r="B147" s="46"/>
      <c r="C147" s="40"/>
      <c r="D147" s="40"/>
      <c r="E147" s="40"/>
      <c r="F147" s="40"/>
      <c r="G147" s="40"/>
      <c r="H147" s="40"/>
    </row>
    <row r="148" spans="2:8" s="71" customFormat="1" ht="24" customHeight="1">
      <c r="B148" s="46"/>
      <c r="C148" s="40"/>
      <c r="D148" s="40"/>
      <c r="E148" s="40"/>
      <c r="F148" s="40"/>
      <c r="G148" s="40"/>
      <c r="H148" s="40"/>
    </row>
    <row r="149" spans="2:8" s="71" customFormat="1" ht="24" customHeight="1">
      <c r="B149" s="46"/>
      <c r="C149" s="40"/>
      <c r="D149" s="40"/>
      <c r="E149" s="40"/>
      <c r="F149" s="40"/>
      <c r="G149" s="40"/>
      <c r="H149" s="40"/>
    </row>
    <row r="150" spans="2:8" s="71" customFormat="1" ht="24" customHeight="1">
      <c r="B150" s="46"/>
      <c r="C150" s="40"/>
      <c r="D150" s="40"/>
      <c r="E150" s="40"/>
      <c r="F150" s="40"/>
      <c r="G150" s="40"/>
      <c r="H150" s="40"/>
    </row>
    <row r="151" spans="2:8" s="71" customFormat="1" ht="24" customHeight="1">
      <c r="B151" s="46"/>
      <c r="C151" s="40"/>
      <c r="D151" s="40"/>
      <c r="E151" s="40"/>
      <c r="F151" s="40"/>
      <c r="G151" s="40"/>
      <c r="H151" s="40"/>
    </row>
    <row r="152" spans="2:8" s="71" customFormat="1" ht="24" customHeight="1">
      <c r="B152" s="46"/>
      <c r="C152" s="40"/>
      <c r="D152" s="40"/>
      <c r="E152" s="40"/>
      <c r="F152" s="40"/>
      <c r="G152" s="40"/>
      <c r="H152" s="40"/>
    </row>
    <row r="153" spans="2:8" s="71" customFormat="1" ht="24" customHeight="1">
      <c r="B153" s="46"/>
      <c r="C153" s="40"/>
      <c r="D153" s="40"/>
      <c r="E153" s="40"/>
      <c r="F153" s="40"/>
      <c r="G153" s="40"/>
      <c r="H153" s="40"/>
    </row>
    <row r="154" spans="2:8" s="71" customFormat="1" ht="24" customHeight="1">
      <c r="B154" s="46"/>
      <c r="C154" s="40"/>
      <c r="D154" s="40"/>
      <c r="E154" s="40"/>
      <c r="F154" s="40"/>
      <c r="G154" s="40"/>
      <c r="H154" s="40"/>
    </row>
    <row r="155" spans="2:8" s="71" customFormat="1" ht="24" customHeight="1">
      <c r="B155" s="46"/>
      <c r="C155" s="40"/>
      <c r="D155" s="40"/>
      <c r="E155" s="40"/>
      <c r="F155" s="40"/>
      <c r="G155" s="40"/>
      <c r="H155" s="40"/>
    </row>
    <row r="156" spans="2:8" s="71" customFormat="1" ht="24" customHeight="1">
      <c r="B156" s="46"/>
      <c r="C156" s="40"/>
      <c r="D156" s="40"/>
      <c r="E156" s="40"/>
      <c r="F156" s="40"/>
      <c r="G156" s="40"/>
      <c r="H156" s="40"/>
    </row>
    <row r="157" spans="2:8" s="71" customFormat="1" ht="24" customHeight="1">
      <c r="B157" s="46"/>
      <c r="C157" s="40"/>
      <c r="D157" s="40"/>
      <c r="E157" s="40"/>
      <c r="F157" s="40"/>
      <c r="G157" s="40"/>
      <c r="H157" s="40"/>
    </row>
    <row r="158" spans="2:8" s="71" customFormat="1" ht="24" customHeight="1">
      <c r="B158" s="34"/>
      <c r="C158" s="40"/>
      <c r="D158" s="40"/>
      <c r="E158" s="40"/>
      <c r="F158" s="40"/>
      <c r="G158" s="40"/>
      <c r="H158" s="40"/>
    </row>
    <row r="159" spans="2:8" s="71" customFormat="1" ht="24" customHeight="1">
      <c r="B159" s="34"/>
      <c r="C159" s="40"/>
      <c r="D159" s="40"/>
      <c r="E159" s="40"/>
      <c r="F159" s="40"/>
      <c r="G159" s="40"/>
      <c r="H159" s="40"/>
    </row>
    <row r="160" spans="2:8" s="71" customFormat="1" ht="24" customHeight="1">
      <c r="B160" s="34"/>
      <c r="C160" s="40"/>
      <c r="D160" s="40"/>
      <c r="E160" s="40"/>
      <c r="F160" s="40"/>
      <c r="G160" s="40"/>
      <c r="H160" s="40"/>
    </row>
    <row r="161" spans="1:9" s="71" customFormat="1" ht="24" customHeight="1">
      <c r="B161" s="34"/>
      <c r="C161" s="40"/>
      <c r="D161" s="40"/>
      <c r="E161" s="40"/>
      <c r="F161" s="40"/>
      <c r="G161" s="40"/>
      <c r="H161" s="40"/>
    </row>
    <row r="162" spans="1:9" s="71" customFormat="1" ht="24" customHeight="1">
      <c r="B162" s="34"/>
      <c r="C162" s="40"/>
      <c r="D162" s="40"/>
      <c r="E162" s="40"/>
      <c r="F162" s="40"/>
      <c r="G162" s="40"/>
      <c r="H162" s="40"/>
    </row>
    <row r="163" spans="1:9" s="71" customFormat="1" ht="24" customHeight="1">
      <c r="A163" s="34"/>
      <c r="B163" s="34"/>
      <c r="C163" s="40"/>
      <c r="D163" s="40"/>
      <c r="E163" s="40"/>
      <c r="F163" s="40"/>
      <c r="G163" s="40"/>
      <c r="H163" s="40"/>
    </row>
    <row r="164" spans="1:9">
      <c r="C164" s="40"/>
      <c r="D164" s="40"/>
      <c r="E164" s="40"/>
      <c r="F164" s="40"/>
      <c r="G164" s="40"/>
      <c r="H164" s="40"/>
      <c r="I164" s="71"/>
    </row>
  </sheetData>
  <mergeCells count="11">
    <mergeCell ref="A1:I1"/>
    <mergeCell ref="A13:B13"/>
    <mergeCell ref="A2:H2"/>
    <mergeCell ref="B5:H5"/>
    <mergeCell ref="B7:H7"/>
    <mergeCell ref="B6:H6"/>
    <mergeCell ref="B26:E26"/>
    <mergeCell ref="B25:F25"/>
    <mergeCell ref="B61:H61"/>
    <mergeCell ref="B24:E24"/>
    <mergeCell ref="A3:H3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 Table</vt:lpstr>
      <vt:lpstr>Summary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2024-05-20T07:51:08Z</cp:lastPrinted>
  <dcterms:created xsi:type="dcterms:W3CDTF">2023-02-02T03:43:01Z</dcterms:created>
  <dcterms:modified xsi:type="dcterms:W3CDTF">2025-04-02T03:39:08Z</dcterms:modified>
</cp:coreProperties>
</file>