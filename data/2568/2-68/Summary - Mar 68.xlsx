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45.246\Quality\Aaa\ESB\2568\3. Mar 68\"/>
    </mc:Choice>
  </mc:AlternateContent>
  <xr:revisionPtr revIDLastSave="0" documentId="13_ncr:1_{9652F325-A81F-45A6-BDAF-3ED1BD7CC70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otal Table" sheetId="1" r:id="rId1"/>
    <sheet name="Summary" sheetId="2" r:id="rId2"/>
  </sheets>
  <definedNames>
    <definedName name="OLE_LINK1" localSheetId="1">Summary!#REF!</definedName>
    <definedName name="_xlnm.Print_Area" localSheetId="1">Summary!$A$1:$H$125</definedName>
    <definedName name="_xlnm.Print_Area" localSheetId="0">'Total Table'!$A$1:$N$116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8" i="1" l="1"/>
  <c r="O91" i="1"/>
  <c r="P68" i="1"/>
  <c r="E11" i="2"/>
  <c r="Q22" i="1"/>
  <c r="H22" i="1"/>
  <c r="I22" i="1"/>
  <c r="K22" i="1"/>
  <c r="L22" i="1"/>
  <c r="M22" i="1"/>
  <c r="N22" i="1"/>
  <c r="O22" i="1"/>
  <c r="P22" i="1"/>
  <c r="P45" i="1"/>
  <c r="Q45" i="1"/>
  <c r="I45" i="1"/>
  <c r="K68" i="1"/>
  <c r="O45" i="1"/>
  <c r="N45" i="1"/>
  <c r="M45" i="1"/>
  <c r="L45" i="1"/>
  <c r="J45" i="1"/>
  <c r="H45" i="1"/>
  <c r="G45" i="1"/>
  <c r="F45" i="1"/>
  <c r="E45" i="1"/>
  <c r="D45" i="1"/>
  <c r="C45" i="1"/>
  <c r="B45" i="1"/>
  <c r="G22" i="1"/>
  <c r="F22" i="1"/>
  <c r="E22" i="1"/>
  <c r="C22" i="1"/>
  <c r="B22" i="1"/>
  <c r="G68" i="1"/>
  <c r="C91" i="1"/>
  <c r="B91" i="1"/>
  <c r="E68" i="1"/>
  <c r="N91" i="1" l="1"/>
  <c r="L68" i="1" l="1"/>
  <c r="M68" i="1"/>
  <c r="N68" i="1"/>
  <c r="D91" i="1"/>
  <c r="E91" i="1"/>
  <c r="F91" i="1"/>
  <c r="G91" i="1"/>
  <c r="H91" i="1"/>
  <c r="I91" i="1"/>
  <c r="J91" i="1"/>
  <c r="K91" i="1"/>
  <c r="L91" i="1"/>
  <c r="B68" i="1"/>
  <c r="C68" i="1"/>
  <c r="D68" i="1"/>
  <c r="F68" i="1"/>
  <c r="I68" i="1"/>
  <c r="J68" i="1"/>
</calcChain>
</file>

<file path=xl/sharedStrings.xml><?xml version="1.0" encoding="utf-8"?>
<sst xmlns="http://schemas.openxmlformats.org/spreadsheetml/2006/main" count="412" uniqueCount="202">
  <si>
    <t>หัวข้อ</t>
  </si>
  <si>
    <t>ทันตกรรม</t>
  </si>
  <si>
    <t>ORTHO</t>
  </si>
  <si>
    <t>ศัลยกรรม</t>
  </si>
  <si>
    <t>พัฒนาการเด็ก</t>
  </si>
  <si>
    <t>ANC</t>
  </si>
  <si>
    <t>เบาหวาน</t>
  </si>
  <si>
    <t>จักษุ</t>
  </si>
  <si>
    <t>จำนวนใบประเมิน</t>
  </si>
  <si>
    <t>ระดับคะแนนเฉลี่ย</t>
  </si>
  <si>
    <t>คิดเป็นร้อยละ</t>
  </si>
  <si>
    <t>ไตเทียม</t>
  </si>
  <si>
    <t>ห้องคลอด</t>
  </si>
  <si>
    <t>ตึกสว่าง</t>
  </si>
  <si>
    <t>MICU</t>
  </si>
  <si>
    <t>18A</t>
  </si>
  <si>
    <t>18B</t>
  </si>
  <si>
    <t>18C</t>
  </si>
  <si>
    <t>18D</t>
  </si>
  <si>
    <t>19A</t>
  </si>
  <si>
    <t>19C</t>
  </si>
  <si>
    <t>19D</t>
  </si>
  <si>
    <t>21D</t>
  </si>
  <si>
    <t>22A</t>
  </si>
  <si>
    <t>22B</t>
  </si>
  <si>
    <t>22C</t>
  </si>
  <si>
    <t>22D</t>
  </si>
  <si>
    <t>23A</t>
  </si>
  <si>
    <t>24A</t>
  </si>
  <si>
    <t>25A</t>
  </si>
  <si>
    <t>25B</t>
  </si>
  <si>
    <t>26A</t>
  </si>
  <si>
    <t>26B</t>
  </si>
  <si>
    <t>OPD</t>
  </si>
  <si>
    <t>IPD</t>
  </si>
  <si>
    <t>ER</t>
  </si>
  <si>
    <t>BLD</t>
  </si>
  <si>
    <t>OR</t>
  </si>
  <si>
    <t>ข้อเสนอแนะ OPD</t>
  </si>
  <si>
    <t>1. ด้านบริการ</t>
  </si>
  <si>
    <t>2. ด้านบุคลากร</t>
  </si>
  <si>
    <t>3. ด้านอุปกรณ์ เครื่องมือ สถานที่</t>
  </si>
  <si>
    <t>ข้อเสนอแนะ IPD</t>
  </si>
  <si>
    <t>OB-GYN</t>
  </si>
  <si>
    <t>การแนะนำญาติหรือคนรู้จักให้มาใช้บริการที่โรงพยาบาล (ร้อยละ)</t>
  </si>
  <si>
    <t>21A</t>
  </si>
  <si>
    <t>SICU</t>
  </si>
  <si>
    <t>19B</t>
  </si>
  <si>
    <t>NICU</t>
  </si>
  <si>
    <t>PED</t>
  </si>
  <si>
    <t>จิตเวช</t>
  </si>
  <si>
    <t xml:space="preserve"> </t>
  </si>
  <si>
    <t>Burn U.</t>
  </si>
  <si>
    <t xml:space="preserve">สรุปผล ข้อเสนอแนะที่ต้องได้รับการปรับปรุง คือ </t>
  </si>
  <si>
    <t>ฝังเข็ม</t>
  </si>
  <si>
    <t>ปฐมภูมิ</t>
  </si>
  <si>
    <t>ENT</t>
  </si>
  <si>
    <t>นอกเวลา</t>
  </si>
  <si>
    <t>Meta</t>
  </si>
  <si>
    <t>ผ่าตัดวิสัญญี</t>
  </si>
  <si>
    <t>MED</t>
  </si>
  <si>
    <t>กายภาพ</t>
  </si>
  <si>
    <t>ส่องกล้อง</t>
  </si>
  <si>
    <t>คลินิกเวชปฏิบัติ</t>
  </si>
  <si>
    <t>ไม่ระบุ</t>
  </si>
  <si>
    <t>ผิวหนัง</t>
  </si>
  <si>
    <t xml:space="preserve"> -</t>
  </si>
  <si>
    <t>-</t>
  </si>
  <si>
    <t>ศูนย์ประกันสุขภาพ</t>
  </si>
  <si>
    <t>เวชกรรม
ฟื้นฟู</t>
  </si>
  <si>
    <t>ชั้น 1
 อาคาร 
150 ปี</t>
  </si>
  <si>
    <t>หัตถการ</t>
  </si>
  <si>
    <t>ห้องบัตร ชั้น 1</t>
  </si>
  <si>
    <t>HBO</t>
  </si>
  <si>
    <t>1. แพทย์ให้ความสำคัญกับการตรวจร่างกายเพื่อวินิจฉัยโรค</t>
  </si>
  <si>
    <t>2. แพทย์ให้ข้อมูล/แนะนำวิธีการและทางเลือกในการรักษา</t>
  </si>
  <si>
    <t>3. คำถามและข้อสงสัย ได้รับคำตอบที่ชัดเจนจากแพทย์</t>
  </si>
  <si>
    <t>4. แพทย์รับฟัง/พูดคุยให้ท่านคลายความกังวลในอาการเจ็บป่วย</t>
  </si>
  <si>
    <t>5. ท่านได้มีโอกาสพูดคุยกับพยาบาลหรือเจ้าหน้าที่เรื่องอาการเจ็บป่วย</t>
  </si>
  <si>
    <t>6. พยาบาลเจ้าหน้าที่สามารถตอบข้อสงสัยได้ชัดเจน</t>
  </si>
  <si>
    <t>7. ท่านได้รับการดูแลเอาใจใส่</t>
  </si>
  <si>
    <t>8. ท่านมีส่วนร่วมในการตัดสินใจเรื่องการรักษาพยาบาล</t>
  </si>
  <si>
    <t>9. ท่านได้รับการดูแลอย่างเท่าเทียม ไม่เลือกปฏิบัติ</t>
  </si>
  <si>
    <t>10. ท่านได้รับคำแนะนำและขั้นตอนในการรับบริการโรงพยาบาล</t>
  </si>
  <si>
    <t>11. อาการเจ็บป่วยทางกายและใจได้รับการดูแลอย่างดี</t>
  </si>
  <si>
    <t>12. แพทย์เปิดโอกาสให้ผู้ป่วย/ญาติได้ซักถาม</t>
  </si>
  <si>
    <t>13. ผู้ป่วยและญาติได้รับข้อมูลการรักษาที่เป็นประโยชน์ สามารถดูแลตัวเองได้</t>
  </si>
  <si>
    <t>14. ท่านได้รับข้อมูลการใช้ยาและผลข้างเคียงอย่างชัดเจน</t>
  </si>
  <si>
    <t>15. ท่านได้รับคำแนะนำอย่างชัดเจนถึงอาการที่ควรกลับมาพบแพทย์</t>
  </si>
  <si>
    <t>16. ท่านพึงพอใจต่อการบริการของโรงพยาบาลโดยรวมในระดับใด</t>
  </si>
  <si>
    <t>PICU</t>
  </si>
  <si>
    <t>20B</t>
  </si>
  <si>
    <t>20C</t>
  </si>
  <si>
    <t>CCU</t>
  </si>
  <si>
    <t>เคมีบำบัด
และโรคเลือด</t>
  </si>
  <si>
    <t>ผ่าตัด 
นอกเวลา</t>
  </si>
  <si>
    <t>การเงิน 
และบัญชี</t>
  </si>
  <si>
    <t>สรุปการประเมินผล OP-IP VOICE เดือนมีนาคม 2568</t>
  </si>
  <si>
    <t xml:space="preserve">ค่าเฉลี่ยความพึงพอใจการใช้บริการของโรงพยาบาล OPD = 87.61% IPD = 91.27%  </t>
  </si>
  <si>
    <t xml:space="preserve"> -	ขอให้มีการตรวจสอบบริเวณประตูหลังตึกฉุกเฉินเก่า มีเจ้าหน้าที่มาดูบุหรี่เป็นจำนวนมาก ทำให้รู้สึกอึดอัด โปรดมาตรวจสอบด้วย</t>
  </si>
  <si>
    <t xml:space="preserve"> -	การสื่อสารไม่ชัดเจน ไม่แนะนำ สื่อสารเชิงตำหนิคนไข้ แต่โดยรวมก็ดีมากค่ะ อาจมีบางจุด เช่น เรื่องการสื่อสารต้องปรับปรุง</t>
  </si>
  <si>
    <t xml:space="preserve"> -จุดซักประวัติลงทะเบียน ควรมีชุดไมโครโฟนในการขานเรียก เนื่องจากเสียงรบกวนเยอะ ผู้ป่วยไม่ได้ยินเสียงเจ้าหน้าที่เรียก</t>
  </si>
  <si>
    <t xml:space="preserve"> -	ควรปรับปรุงเรื่องสถานที่ตึก 150 ปี เนื่องจากมีที่นั่งไม่เพียงพอ เข้าแถวรอคัดกรองนาน บางครั้งผู้ป่วยหรือผู้สูงอายุยืนรอต่อแถวนานจนเป็นลม</t>
  </si>
  <si>
    <t xml:space="preserve"> -	การจัดแถวเพื่อรับบริการให้เป็นระเบียบเรียบร้อย</t>
  </si>
  <si>
    <t xml:space="preserve"> -	ควรพูดดีๆ</t>
  </si>
  <si>
    <t xml:space="preserve"> -	ไม่มีอะไรดีเลย</t>
  </si>
  <si>
    <t xml:space="preserve"> -	มาพบแพทย์ตามนัดเวลา 10.00 น. มารอตั้งแต่เวลา 8.30 น. จนเวา 11.55 น. ก็ยังไม่ได้พบแพทย์ จึงได้เข้าไปสอบถามกับแพทย์โดยตรง ได้คำตอบมาว่าทางเจ้าหน้าที่ไม่ได้ส่งคูปองคนไข้เข้ามา เนื่องจากติดเที่ยง </t>
  </si>
  <si>
    <t xml:space="preserve">  ซึงน่าจะบอกคนไข้สักหน่อย จะได้ไปทานข้าว เจ้าหน้าที่ไม่มีการสื่อสาร นั่งรอแพทย์ตั้งแต่ 11.00 น.- 14.00 น. แพทย์ก็ไม่มา พยาบาล เจ้าหน้าที่ก็ไม่มี ไม่รู้จะให้รอไปถึงเมื่อไหร่</t>
  </si>
  <si>
    <t xml:space="preserve"> -	ลิฟต์ช้ามาก ควรปรับปรุง </t>
  </si>
  <si>
    <t xml:space="preserve"> -	ใช้เวลาในการรอเยอะไปหน่อย</t>
  </si>
  <si>
    <t xml:space="preserve"> -	แพทย์ควรมาให้ตรงเวลาหน่อยนัด 9.30 น. มา 10.00 น. ควรให้ความสำคัญกับคนไข้มากกว่านี้ทุกคนมาโรงพยาบาลก็เพราะป่วยไม่สบายเเต่ต้องมานั่งรอแพทย์อีก</t>
  </si>
  <si>
    <t xml:space="preserve"> -	ทำงานช้าบริการแย่มาก</t>
  </si>
  <si>
    <t xml:space="preserve"> -	ปรับปรุงระบบการจ่ายเงิน</t>
  </si>
  <si>
    <t xml:space="preserve"> -	นานเกินไป มาโรงพยาบาลตั้งแต่ 11.00 น. แต่รอจน 16.00 น. แล้วก็ยังไม่ได้รับการตรวจ อยากให้คำนึงถึงความสำคัญของคนไข้</t>
  </si>
  <si>
    <t xml:space="preserve"> -	ผู้ที่มารับบริการใหม่จะเกิดความสับสนกับสิ่งที่เจ้าหน้าที่ให้คำแนะนำ</t>
  </si>
  <si>
    <t xml:space="preserve"> -	ความล่าช้า และไม่ใส่ใจผู้ป่วยที่มารอตรวจ ผู้ป่วยมารอเยอะ แต่มีห้องเปิดให้บริการแค่ 2 ห้อง รอตั้งแต่ 20.00 น. จนถึง 23.00 น. ยังไม่ได้รับการตรวจ แล้วเมื่อถึงเวลา23.30 น. ต้องไปวัดความดัน ซักประวัติต่อคิวใหม่ที่ห้องฉุกเฉิน</t>
  </si>
  <si>
    <t xml:space="preserve"> -	ที่จอดรถน้อย</t>
  </si>
  <si>
    <t xml:space="preserve"> -	ปรับปรุงเรื่องการสื่อสารกับผู้ป่วย </t>
  </si>
  <si>
    <t xml:space="preserve"> -	ควรจัดระเบียบการรักษา</t>
  </si>
  <si>
    <t xml:space="preserve"> -	ผู้ป่วยที่ใช้รถเข็น ควรมีที่จอดเฉพาะ</t>
  </si>
  <si>
    <t xml:space="preserve"> -	โต๊ะทานอาหารสูงไป ผู้ป่วยที่นั่งรถเข็นทานไม่สะดวก</t>
  </si>
  <si>
    <t xml:space="preserve"> -	ควรปรับปรุงความล่าช้าการตรวจ</t>
  </si>
  <si>
    <t xml:space="preserve"> -	รอแพทย์นาน (2)</t>
  </si>
  <si>
    <t xml:space="preserve"> -	รอเจาะเลือดนานมาก ๆ</t>
  </si>
  <si>
    <t xml:space="preserve"> -	รอจ่ายเงินนาน</t>
  </si>
  <si>
    <t xml:space="preserve"> -	อยากให้มีบริการ CT SCAN เพิ่ม เนื่องจากต้องไปทำข้างนอก แพงมาก  ใช้เงินเยอะ</t>
  </si>
  <si>
    <t xml:space="preserve"> -	ควรจะมีป้ายบอกคิว  จุดกดบัตรคิวทุกแผนก</t>
  </si>
  <si>
    <t xml:space="preserve"> -	รอคิวห้องยานาน ไม่เป็นระบบ</t>
  </si>
  <si>
    <t xml:space="preserve"> -	เก้าอี้นั่งรอของคนท้องแข็งมาก อยากแนะนำให้เปลี่ยน เนื่องจากคนท้องต้องรอนาน (คลินิกฝากครรภ์ ANC)</t>
  </si>
  <si>
    <t xml:space="preserve"> -	การเรียกคิว เรียกชื่อ ควรเสียงดังกว่านี้</t>
  </si>
  <si>
    <t xml:space="preserve"> -	ปรับปรุงสถานที่จอดรถ</t>
  </si>
  <si>
    <t xml:space="preserve"> -	อยากให้มีจุดพักหรือ โต๊ะทำงานของแต่ละชั้น ให้คนที่เข้ามารับบริการ</t>
  </si>
  <si>
    <t xml:space="preserve"> -	เจาะเลือดได้เจ็บมาก ๆ </t>
  </si>
  <si>
    <t xml:space="preserve"> -	ควรมีจุดบริการน้ำดื่มที่สะอาดให้ประชาชน (คลินิกเบาหวาน ไทรอยด์ ต่อมไร้ท่อ)</t>
  </si>
  <si>
    <t xml:space="preserve"> -	แผนกเจาะเลือด ถ้ามีให้ตรวจปัสสาวะ ควรให้ไปเก็บปัสสาวะก่อนเจาะเลือด</t>
  </si>
  <si>
    <t xml:space="preserve"> -	การรอคิวก่อนเข้ารับบริการที่ประตูทางเข้าน่าจะให้มารอคิวทำบัตรด้านในได้เลยเหมือนกับโรงพยาบาลอื่น รอคิวเข้าตึกแล้วยังต้องมาต่อแถวทำบัตรอีกรอบ</t>
  </si>
  <si>
    <t xml:space="preserve"> -	สิ่งที่ควรพัฒนาให้ดีขึ้นอีกได้คือการแนะนำคนไข้เมื่อไปถึงคลินิกต่าง ๆ ว่าควรทำอะไรติดต่อใครอะไรตรงไหน</t>
  </si>
  <si>
    <t xml:space="preserve"> -	รอรับยานาน (4)</t>
  </si>
  <si>
    <t xml:space="preserve"> -	ช้า รอนาน (6)</t>
  </si>
  <si>
    <t xml:space="preserve"> -	แผนกทันตกรรมควรลดความตึงเรื่องสีหน้าและวาจา ตั้งแต่เคาน์เตอร์ ผู้ช่วยทันตแพทย์ในห้องทันตกรรม ประตูฝั่งซ้ายที่เคยพาพ่อและลูกสาวเข้ารับบริการ ช่วงหลังเลยเข้าคลินิกทันตกรรมด้านนอกแทน</t>
  </si>
  <si>
    <t xml:space="preserve"> -	ขอให้ปรับปรุงแผนกอื่น ๆ ที่ไม่ใช่แผนกจิตเวชในการบริการ การให้บริการควรเต็มใจ และตรวจให้ละเอียด</t>
  </si>
  <si>
    <t xml:space="preserve">  เพื่อลดความเครียดจากการเข้ารับบริการ </t>
  </si>
  <si>
    <t xml:space="preserve"> -	แพทย์คลินิกปฐมภูมิ มา 5 ครั้ง ก็เปลี่ยนทั้ง 5 ครั้ง</t>
  </si>
  <si>
    <t xml:space="preserve"> -	ความล่าช้า ในการบริการ หมอเข้าตรวจ 10.00 น. มาตังแต่ 05.00 น. คนไข้ รอนาน ใบนัด 8.00 น.ตรวจจริง 11.30 น. ช้าเกินไป เบรคพักเที่ยงอีก ตรวจอีกครั้งบ่ายโมงกว่ากว่าจะได้กลับบ้านเกือบมืด </t>
  </si>
  <si>
    <t xml:space="preserve">  ต่อคลินิกนอกเวลากลับบ้านเกือบ 19.00 น.</t>
  </si>
  <si>
    <t xml:space="preserve">  เรียกผู้ป่วย 3 คิวสุดท้ายที่เหลือมาบอกว่าไม่ทัน จะให้ไปนอกเวลาแต่ไม่รู้จะได้รักษาไหม หรือจะให้มาใหม่พรุ่งนี้ ซึ่งประเด็นอยู่ที่การทำงานของคุณพยาบาล ที่ไม่ประเมินปริมาณผู้ป่วยให้เหมาะสมกับเวลา </t>
  </si>
  <si>
    <t xml:space="preserve">  ไม่แจ้งผู้ป่วยให้ถูกเวลา ให้ผู้ป่วยได้มีเวลาคิดหาแนวทางอื่นมากกว่านี้ ให้นั่งรอทั้งวัน ค่าที่จอดรถก็เสีย แต่ไม่ได้รับการรักษาใด ๆ การพูดจาห้วน ๆ น้ำเสียงฟังไม่รื่นหู พูดจาประชดประชัน การแจ้งล่าช้ามากๆ</t>
  </si>
  <si>
    <t xml:space="preserve"> -	มารอรับการรักษาตั้งแต่ 09.00 น. เจ้าหน้าที่ไม่ได้แจ้งอะไรว่าคนไข้เยอะ หรือแพทย์น้อย พอเวลา 15.10 น. พยาบาลเรียกคนไข้คิวที่ 50 ขึ้นไป เพื่อแจ้งว่าจะให้มาวันหลัง และเวลา 15.30 น. </t>
  </si>
  <si>
    <t xml:space="preserve"> -	การสื่อสาร ไม่ควรใช้อารมณ์</t>
  </si>
  <si>
    <t xml:space="preserve"> -	ระยะเวลาในการรอ ควรปรับปรุง</t>
  </si>
  <si>
    <t xml:space="preserve"> -	ป่วยก้างติดคอมาหาเพื่อที่ต้องการให้นำก้างออกจากคอ แต่แพทย์ไม่มีการส่องกล้องใช้แค่ไฟฉายส่องดูซึ่งถ้าเราไม่รู้สึกว่ามันมีก้างอยู่ข้างในเราจะไม่มาพบแพทย์เด็ดขาด เรามาหาวันที่ 19/03/2568 </t>
  </si>
  <si>
    <t xml:space="preserve">  แต่นัดให้เรามาตรวจคือวันที่ 27/03/2568 คุณคิดว่าคนที่กล้าติดคอถ้ารอถึงขนาดนั้นแผลมันจะอักเสบหรือว่ามันจะมีผลกระทบตามมาไหม</t>
  </si>
  <si>
    <t xml:space="preserve"> -	ห้องเปลี่ยนชุดแคบ (HBO)</t>
  </si>
  <si>
    <t xml:space="preserve"> -	ควรมีห้องน้ำ (HBO) (3)</t>
  </si>
  <si>
    <t xml:space="preserve"> -	ควรยิ้มเยอะ ๆ </t>
  </si>
  <si>
    <t xml:space="preserve"> -	รอลิฟต์นาน</t>
  </si>
  <si>
    <t xml:space="preserve"> -	เวลาขอยาระงับยาแก้ปวด มีความล่าช้า ปวดมากก็ไม่ได้ยา</t>
  </si>
  <si>
    <t xml:space="preserve"> -	ควรมี TV ให้ผู้ป่วยติดตามข่าวสาร</t>
  </si>
  <si>
    <t xml:space="preserve"> -	ควรมีราวจับในห้องน้ำสำหรับผู้ป่วย (18B)</t>
  </si>
  <si>
    <t xml:space="preserve"> -	ห้องน้ำมีแค่สองห้อง บางครั้งต้องยืนรอ ถ้าเพิ่มห้องน้ำได้อีกสักห้องจะดีมาก (18C)</t>
  </si>
  <si>
    <t xml:space="preserve"> -	ปรับปรุงเรื่องการสื่อสารของห้องยา </t>
  </si>
  <si>
    <t xml:space="preserve"> -	ปรับปรุงระบบคิวที่ต้องรับก่อนการเข้ามายื่นประวัติในโรงพยาบาล การรับคิวก่อนเข้าโรงพยาบาลไม่ได้ช่วยให้การทำงานของเจ้าหน้าที่เร็วขึ้น ยิ่งทำให้การเข้ารับการรักษาล่าช้า</t>
  </si>
  <si>
    <t xml:space="preserve"> -	ขั้นตอน และความรวดเร็วในการลงทะเบียน</t>
  </si>
  <si>
    <t xml:space="preserve"> -	อยากให้เปิดรับสิทธิการรักษา ของตำบลหนองขาม</t>
  </si>
  <si>
    <t xml:space="preserve"> -	อาหารจืด ทำให้ทานได้น้อย </t>
  </si>
  <si>
    <t xml:space="preserve"> -	ควรมีการจำกัดเรื่องการใช้เสียงดังจากโทรศัพท์ของผู้ป่วย เพราะรบกวนผู้ป่วยท่านอื่น</t>
  </si>
  <si>
    <t xml:space="preserve"> -	รถเข็นน้ำดื่มล้อไม่ดี ควรปรับปรุง (20B)</t>
  </si>
  <si>
    <t xml:space="preserve"> -	อยากให้มีวิทยุ หรือโทรทัศน์สำหรับผู้ป่วยที่นอนนาน ๆ   (21D)</t>
  </si>
  <si>
    <t xml:space="preserve"> -	การคุยกับญาติหรือคนใข้ให้ปรับปรุงด้วยพูดไม่ดี</t>
  </si>
  <si>
    <t xml:space="preserve"> -	รอห้องนาน</t>
  </si>
  <si>
    <t xml:space="preserve"> -ในห้องพักพิเศษควรมีกาน้ำร้อนให้ญาติและผู้ป่วยใช้ (24A)</t>
  </si>
  <si>
    <t xml:space="preserve"> -	ปิด-เปิดประตูเบาลงสักนิดนะคะ บางครั้งเสียงกระแทกดังมากจนสะดุ้ง (24A) (2)</t>
  </si>
  <si>
    <t xml:space="preserve"> -	เวลามาเก็บขยะ บางครั้งเสียงดัง ตกใจ</t>
  </si>
  <si>
    <t xml:space="preserve"> -	พรมในห้องน้ำ ห้องพักพิเศษ ควรเป็นพรมที่สามารถซับน้ำได้ดีกว่านี้ (24A)</t>
  </si>
  <si>
    <t xml:space="preserve"> -ประตูห้องน้ำล็อคยาก (24A)</t>
  </si>
  <si>
    <t xml:space="preserve"> -เตียงผู้ป่วยสูงเกินไป ขึ้นลงลำบาก (25A)</t>
  </si>
  <si>
    <t xml:space="preserve"> -	อยากให้แต่ละแผนกประสานงานให้ไปในทิศทางเดียวกัน ไม่ต้องให้ผู้ป่วยมาอธิบายใหม่ทุกแผนก เป็นเรื่องที่เสียเวลา</t>
  </si>
  <si>
    <r>
      <t xml:space="preserve"> -	ไม่ควรมีอุปกรณ์จาน ชาม ช้อน ถ้าไม่มีอุปกรณ์สำหรับล้างจาน ซึ่งสร้างความลำบากให้แก่ผู้ป่วยและญาติที่ต้องไปหาซื้อ</t>
    </r>
    <r>
      <rPr>
        <b/>
        <sz val="16"/>
        <rFont val="TH SarabunPSK"/>
        <family val="2"/>
      </rPr>
      <t xml:space="preserve"> </t>
    </r>
    <r>
      <rPr>
        <sz val="16"/>
        <rFont val="TH SarabunPSK"/>
        <family val="2"/>
      </rPr>
      <t>(25B)</t>
    </r>
  </si>
  <si>
    <t xml:space="preserve"> -	ห้องพิเศษควรมีน้ำยาล้างจานให้บริการ เพื่อความสะดวกและสะอาด  และยังป้องกันความเข้าใจผิดในการส่งจานให้หน่วยงานล้าง  (25B) </t>
  </si>
  <si>
    <t xml:space="preserve"> -	สั่งอาหารเพิ่มเติม แต่มีความล่าช้ามาก </t>
  </si>
  <si>
    <t xml:space="preserve"> -	อาหารเย็นชืด เหมือนทิ้งไว้นานแล้วค่อยมาเสิร์ฟ </t>
  </si>
  <si>
    <t xml:space="preserve"> -	มีอาหารที่เป็นซุปผัก มีความหวานเกินไป จนทานไม่ได้</t>
  </si>
  <si>
    <t xml:space="preserve"> -	รอพบแพทย์นานมาก กว่า 4 ชั่วโมง </t>
  </si>
  <si>
    <t xml:space="preserve"> -	อาหารที่ให้ทานควรเป็นอาหารที่ย่อยง่าย และควรงดผักผลไม้ แต่ไม่มีใครบอกผู้ป่วยให้ละเอียด และอาหารโรงพยาบาลยังมีผักผลไม้</t>
  </si>
  <si>
    <t xml:space="preserve"> -	การสื่อสารกับแพทย์ยังไม่ชัดเจน บางครั้งญาติต้องการคุยข้อมูลกับแพทย์โดยตรง แต่พยาบาลที่เป็นผู้ประสานงานไม่ทราบ ซึ่งควรหาวิธีแก้เพื่อปิดช่องว่างตรงนี้ให้ได้ จะทำให้การบริการตรงนี้ดำเนินการได้ไม่สะดุดและรวดเร็ว</t>
  </si>
  <si>
    <t xml:space="preserve"> -	จุดลงทะเบียนชั้น 1 พูดจาไม่ดีเลย เหมือนผู้ป่วยไม่มีความรู้สึก</t>
  </si>
  <si>
    <t xml:space="preserve"> -ห้องพิเศษควรมีกาน้ำร้อน  (25B)</t>
  </si>
  <si>
    <t xml:space="preserve"> -	ถังขยะในห้องน้ำเล็ก ตัวเหยียบลึก ใช้แบบกลมจะดีว่ามาก ๆ  (26B)</t>
  </si>
  <si>
    <t xml:space="preserve"> -	ควรลดค่าห้องลงอีกสักนิด</t>
  </si>
  <si>
    <t xml:space="preserve"> -	ไม่ควรมีค่าจอดรถสำหรับผู้ป่วยที่เข้าพักในห้องพิเศษ  (26B)</t>
  </si>
  <si>
    <t xml:space="preserve"> -	เตียงผู้ป่วยเล็กไป  (26B)</t>
  </si>
  <si>
    <t>อันดับ 2 อุปกรณ์ เครื่องมือ และสถานที่ไม่สมบูรณ์ (OPD : 13  IPD : 15)</t>
  </si>
  <si>
    <t>อันดับ 3 การทำงานและพฤติกรรมของบุคลากร (OPD : 6  IPD : 0 )</t>
  </si>
  <si>
    <t xml:space="preserve"> -	ต้องตื่นแต่เช้ามืดเพื่อมารับบัตรคิวเพื่อเข้าตึก เมื่อไหร่วิธีนี้จะหมดไป </t>
  </si>
  <si>
    <t xml:space="preserve"> -	แย่มาก เสียโอกาสในการรักษา เพียงแค่ถามเจ้าหน้าที่แล้วไม่สนใจตอบ</t>
  </si>
  <si>
    <t xml:space="preserve"> -	จุดเจาะเลือดของคนตั้งครรภ์ ควรอยู่ที่ชั้น 6 ไม่ใช่ชั้น 4 เพราะรอลิฟต์นาน ช้า การขึ้นบันไดเลื่อนบางครั้งเกิดการหน้ามืด เวียนหัว (คลินิกฝากครรภ์ ANC)</t>
  </si>
  <si>
    <t xml:space="preserve"> -	ป้ายจุดติดต่อเจ้าหน้าที่ ชั้น 12 มองไม่ชัดเจน ทำให้ผู้ป่วยไม่มั่นใจว่าต้องไปติดต่อจุดไหน (ห้องผ่าตัด)</t>
  </si>
  <si>
    <t xml:space="preserve"> -	ระยะเวลารอคอยการรักษาค่อนข้างนาน</t>
  </si>
  <si>
    <t xml:space="preserve"> -	ขั้นตอนการทำเอกสารนานมาก ใช้เวลานานถึง 2.35 ชั่วโมง กว่าจะดำเนินการขั้นตอนถัดไปซึ่งผู้ป่วยอาจทรุดหนักได้ </t>
  </si>
  <si>
    <t>290</t>
  </si>
  <si>
    <t>อันดับ 1 การให้บริการโดยรวม (OPD : 36  IPD : 22 )</t>
  </si>
  <si>
    <t xml:space="preserve">ค่าเฉลี่ยการแนะนำญาติหรือคนรู้จักให้มาใช้บริการที่โรงพยาบาล  OPD = 97.55% IPD = 91.85%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</si>
</sst>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###0.00"/>
    <numFmt numFmtId="188" formatCode="0.000"/>
  </numFmts>
  <fonts count="34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  <charset val="222"/>
    </font>
    <font>
      <b/>
      <sz val="16"/>
      <color rgb="FF000000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rgb="FF000000"/>
      <name val="TH SarabunPSK"/>
      <family val="2"/>
    </font>
    <font>
      <b/>
      <sz val="20"/>
      <color theme="1"/>
      <name val="TH SarabunPSK"/>
      <family val="2"/>
      <charset val="222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b/>
      <u/>
      <sz val="16"/>
      <color theme="1"/>
      <name val="TH SarabunPSK"/>
      <family val="2"/>
    </font>
    <font>
      <sz val="8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6"/>
      <color rgb="FFFF0000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sz val="10"/>
      <name val="Arial"/>
      <family val="2"/>
    </font>
    <font>
      <b/>
      <sz val="16"/>
      <color rgb="FFFF0000"/>
      <name val="TH SarabunPSK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charset val="222"/>
    </font>
    <font>
      <sz val="11"/>
      <color rgb="FF000000"/>
      <name val="Calibri"/>
      <family val="2"/>
      <charset val="1"/>
    </font>
    <font>
      <b/>
      <sz val="10"/>
      <color theme="1"/>
      <name val="Arial"/>
      <family val="2"/>
      <charset val="222"/>
    </font>
    <font>
      <b/>
      <sz val="10"/>
      <name val="Arial"/>
      <family val="2"/>
      <charset val="222"/>
    </font>
    <font>
      <sz val="16"/>
      <color rgb="FF000000"/>
      <name val="TH SarabunPSK"/>
      <family val="2"/>
    </font>
    <font>
      <sz val="16"/>
      <color indexed="8"/>
      <name val="TH SarabunPSK"/>
      <family val="2"/>
    </font>
    <font>
      <sz val="10"/>
      <color indexed="8"/>
      <name val="Arial"/>
      <family val="2"/>
      <charset val="222"/>
    </font>
    <font>
      <sz val="10"/>
      <color theme="1"/>
      <name val="Arial"/>
      <family val="2"/>
      <charset val="222"/>
    </font>
    <font>
      <b/>
      <sz val="12"/>
      <color rgb="FF000000"/>
      <name val="TH SarabunPSK"/>
      <family val="2"/>
      <charset val="222"/>
    </font>
    <font>
      <b/>
      <sz val="18"/>
      <color theme="1"/>
      <name val="TH SarabunPSK"/>
      <family val="2"/>
    </font>
    <font>
      <sz val="16"/>
      <name val="TH SarabunPSK"/>
      <family val="2"/>
      <charset val="222"/>
    </font>
    <font>
      <sz val="10"/>
      <name val="Arial"/>
      <family val="2"/>
      <charset val="22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8"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3" fillId="0" borderId="0"/>
    <xf numFmtId="0" fontId="22" fillId="0" borderId="0"/>
  </cellStyleXfs>
  <cellXfs count="10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87" fontId="19" fillId="0" borderId="1" xfId="11" applyNumberFormat="1" applyFont="1" applyBorder="1" applyAlignment="1">
      <alignment horizontal="center" vertical="center"/>
    </xf>
    <xf numFmtId="187" fontId="19" fillId="0" borderId="1" xfId="13" applyNumberFormat="1" applyFont="1" applyBorder="1" applyAlignment="1">
      <alignment horizontal="center" vertical="center"/>
    </xf>
    <xf numFmtId="2" fontId="21" fillId="6" borderId="1" xfId="0" applyNumberFormat="1" applyFont="1" applyFill="1" applyBorder="1" applyAlignment="1">
      <alignment horizontal="center" vertical="center" wrapText="1"/>
    </xf>
    <xf numFmtId="187" fontId="18" fillId="0" borderId="1" xfId="12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5" fillId="0" borderId="7" xfId="16" applyFont="1" applyBorder="1" applyAlignment="1">
      <alignment horizontal="center" vertical="center"/>
    </xf>
    <xf numFmtId="0" fontId="25" fillId="0" borderId="6" xfId="16" applyFont="1" applyBorder="1" applyAlignment="1">
      <alignment horizontal="center" vertical="center"/>
    </xf>
    <xf numFmtId="187" fontId="19" fillId="7" borderId="1" xfId="14" applyNumberFormat="1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 wrapText="1"/>
    </xf>
    <xf numFmtId="187" fontId="19" fillId="7" borderId="1" xfId="12" applyNumberFormat="1" applyFont="1" applyFill="1" applyBorder="1" applyAlignment="1">
      <alignment horizontal="center" vertical="center"/>
    </xf>
    <xf numFmtId="49" fontId="26" fillId="0" borderId="0" xfId="0" applyNumberFormat="1" applyFont="1" applyAlignment="1">
      <alignment vertical="center"/>
    </xf>
    <xf numFmtId="49" fontId="5" fillId="0" borderId="0" xfId="0" applyNumberFormat="1" applyFont="1"/>
    <xf numFmtId="49" fontId="2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 indent="3"/>
    </xf>
    <xf numFmtId="49" fontId="13" fillId="0" borderId="0" xfId="0" applyNumberFormat="1" applyFont="1" applyAlignment="1">
      <alignment horizontal="left" vertical="center" indent="3"/>
    </xf>
    <xf numFmtId="49" fontId="4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horizontal="left" vertical="center" indent="3"/>
    </xf>
    <xf numFmtId="49" fontId="5" fillId="0" borderId="0" xfId="0" quotePrefix="1" applyNumberFormat="1" applyFont="1" applyAlignment="1">
      <alignment horizontal="left" vertical="center" wrapText="1" indent="1"/>
    </xf>
    <xf numFmtId="49" fontId="5" fillId="0" borderId="0" xfId="0" applyNumberFormat="1" applyFont="1" applyAlignment="1">
      <alignment horizontal="left" vertical="center"/>
    </xf>
    <xf numFmtId="49" fontId="13" fillId="0" borderId="0" xfId="0" quotePrefix="1" applyNumberFormat="1" applyFont="1" applyAlignment="1">
      <alignment horizontal="left" vertical="center" indent="3"/>
    </xf>
    <xf numFmtId="49" fontId="4" fillId="0" borderId="0" xfId="0" applyNumberFormat="1" applyFont="1" applyAlignment="1">
      <alignment wrapText="1"/>
    </xf>
    <xf numFmtId="49" fontId="5" fillId="0" borderId="0" xfId="0" quotePrefix="1" applyNumberFormat="1" applyFont="1" applyAlignment="1">
      <alignment horizontal="left" indent="1"/>
    </xf>
    <xf numFmtId="49" fontId="14" fillId="0" borderId="0" xfId="0" quotePrefix="1" applyNumberFormat="1" applyFont="1" applyAlignment="1">
      <alignment horizontal="left" vertical="center" indent="3"/>
    </xf>
    <xf numFmtId="49" fontId="15" fillId="0" borderId="0" xfId="0" applyNumberFormat="1" applyFont="1" applyAlignment="1">
      <alignment horizontal="left"/>
    </xf>
    <xf numFmtId="49" fontId="5" fillId="0" borderId="0" xfId="0" quotePrefix="1" applyNumberFormat="1" applyFont="1" applyAlignment="1">
      <alignment horizontal="left" vertical="center"/>
    </xf>
    <xf numFmtId="49" fontId="1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 wrapText="1"/>
    </xf>
    <xf numFmtId="49" fontId="15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0" xfId="0" applyNumberFormat="1" applyFont="1" applyAlignment="1">
      <alignment horizontal="left" vertical="center" indent="4"/>
    </xf>
    <xf numFmtId="49" fontId="5" fillId="0" borderId="0" xfId="0" applyNumberFormat="1" applyFont="1" applyAlignment="1">
      <alignment horizontal="left" vertical="center" wrapText="1"/>
    </xf>
    <xf numFmtId="2" fontId="14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2" fontId="19" fillId="6" borderId="1" xfId="14" applyNumberFormat="1" applyFont="1" applyFill="1" applyBorder="1" applyAlignment="1">
      <alignment horizontal="center" vertical="center" wrapText="1"/>
    </xf>
    <xf numFmtId="187" fontId="16" fillId="7" borderId="4" xfId="10" applyNumberFormat="1" applyFill="1" applyBorder="1" applyAlignment="1">
      <alignment horizontal="center" vertical="center"/>
    </xf>
    <xf numFmtId="2" fontId="19" fillId="6" borderId="4" xfId="13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vertical="center"/>
    </xf>
    <xf numFmtId="187" fontId="16" fillId="0" borderId="4" xfId="10" applyNumberForma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0" borderId="0" xfId="0" applyNumberFormat="1" applyFont="1"/>
    <xf numFmtId="2" fontId="27" fillId="0" borderId="0" xfId="11" applyNumberFormat="1" applyFont="1" applyAlignment="1">
      <alignment horizontal="center" vertical="center" wrapText="1"/>
    </xf>
    <xf numFmtId="49" fontId="13" fillId="0" borderId="0" xfId="0" applyNumberFormat="1" applyFont="1"/>
    <xf numFmtId="187" fontId="19" fillId="0" borderId="1" xfId="12" applyNumberFormat="1" applyFont="1" applyBorder="1" applyAlignment="1">
      <alignment horizontal="center" vertical="center"/>
    </xf>
    <xf numFmtId="2" fontId="21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2" fontId="28" fillId="6" borderId="1" xfId="14" applyNumberFormat="1" applyFont="1" applyFill="1" applyBorder="1" applyAlignment="1">
      <alignment horizontal="center" vertical="center" wrapText="1"/>
    </xf>
    <xf numFmtId="2" fontId="29" fillId="6" borderId="1" xfId="0" applyNumberFormat="1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4" fillId="7" borderId="0" xfId="0" applyNumberFormat="1" applyFont="1" applyFill="1" applyAlignment="1">
      <alignment vertical="center"/>
    </xf>
    <xf numFmtId="0" fontId="30" fillId="2" borderId="1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188" fontId="21" fillId="0" borderId="4" xfId="0" applyNumberFormat="1" applyFont="1" applyBorder="1" applyAlignment="1">
      <alignment horizontal="center" vertical="center" wrapText="1"/>
    </xf>
    <xf numFmtId="0" fontId="20" fillId="7" borderId="8" xfId="0" applyFont="1" applyFill="1" applyBorder="1" applyAlignment="1">
      <alignment horizontal="center" vertical="center" wrapText="1"/>
    </xf>
    <xf numFmtId="1" fontId="20" fillId="0" borderId="4" xfId="0" applyNumberFormat="1" applyFont="1" applyBorder="1" applyAlignment="1">
      <alignment horizontal="center" vertical="center" wrapText="1"/>
    </xf>
    <xf numFmtId="49" fontId="32" fillId="7" borderId="1" xfId="0" applyNumberFormat="1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49" fontId="32" fillId="0" borderId="1" xfId="0" applyNumberFormat="1" applyFont="1" applyBorder="1" applyAlignment="1">
      <alignment horizontal="center" vertical="center" wrapText="1"/>
    </xf>
    <xf numFmtId="2" fontId="32" fillId="7" borderId="1" xfId="0" applyNumberFormat="1" applyFont="1" applyFill="1" applyBorder="1" applyAlignment="1">
      <alignment horizontal="center" vertical="center" wrapText="1"/>
    </xf>
    <xf numFmtId="2" fontId="33" fillId="0" borderId="1" xfId="0" applyNumberFormat="1" applyFont="1" applyBorder="1" applyAlignment="1">
      <alignment horizontal="center" vertical="center" wrapText="1"/>
    </xf>
    <xf numFmtId="187" fontId="32" fillId="0" borderId="1" xfId="11" applyNumberFormat="1" applyFont="1" applyBorder="1" applyAlignment="1">
      <alignment horizontal="center" vertical="center"/>
    </xf>
    <xf numFmtId="187" fontId="33" fillId="7" borderId="4" xfId="10" applyNumberFormat="1" applyFont="1" applyFill="1" applyBorder="1" applyAlignment="1">
      <alignment horizontal="center" vertical="center"/>
    </xf>
    <xf numFmtId="187" fontId="32" fillId="7" borderId="4" xfId="1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7" borderId="0" xfId="0" applyNumberFormat="1" applyFont="1" applyFill="1" applyAlignment="1">
      <alignment horizontal="left" vertical="center"/>
    </xf>
  </cellXfs>
  <cellStyles count="18">
    <cellStyle name="Normal" xfId="0" builtinId="0"/>
    <cellStyle name="Normal_IPD November" xfId="12" xr:uid="{00000000-0005-0000-0000-000001000000}"/>
    <cellStyle name="Normal_IPD_1" xfId="13" xr:uid="{00000000-0005-0000-0000-000002000000}"/>
    <cellStyle name="Normal_OPD August" xfId="11" xr:uid="{00000000-0005-0000-0000-000003000000}"/>
    <cellStyle name="Normal_OPD July" xfId="10" xr:uid="{00000000-0005-0000-0000-000004000000}"/>
    <cellStyle name="Normal_OPD_1" xfId="14" xr:uid="{00000000-0005-0000-0000-000005000000}"/>
    <cellStyle name="style1683707694983" xfId="1" xr:uid="{00000000-0005-0000-0000-000006000000}"/>
    <cellStyle name="style1683707695268" xfId="2" xr:uid="{00000000-0005-0000-0000-000007000000}"/>
    <cellStyle name="style1683707695497" xfId="3" xr:uid="{00000000-0005-0000-0000-000008000000}"/>
    <cellStyle name="style1683873781043" xfId="4" xr:uid="{00000000-0005-0000-0000-000009000000}"/>
    <cellStyle name="style1683873781293" xfId="5" xr:uid="{00000000-0005-0000-0000-00000A000000}"/>
    <cellStyle name="style1683873781509" xfId="6" xr:uid="{00000000-0005-0000-0000-00000B000000}"/>
    <cellStyle name="style1690951585398" xfId="8" xr:uid="{00000000-0005-0000-0000-00000C000000}"/>
    <cellStyle name="style1690951585625" xfId="9" xr:uid="{00000000-0005-0000-0000-00000D000000}"/>
    <cellStyle name="style1690951585802" xfId="7" xr:uid="{00000000-0005-0000-0000-00000E000000}"/>
    <cellStyle name="ปกติ 2" xfId="16" xr:uid="{00000000-0005-0000-0000-00000F000000}"/>
    <cellStyle name="ปกติ 3" xfId="17" xr:uid="{00000000-0005-0000-0000-000010000000}"/>
    <cellStyle name="ปกติ 4" xfId="15" xr:uid="{00000000-0005-0000-0000-000011000000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5"/>
  <sheetViews>
    <sheetView tabSelected="1" zoomScale="90" zoomScaleNormal="90" zoomScaleSheetLayoutView="80" workbookViewId="0">
      <selection activeCell="O53" sqref="O53"/>
    </sheetView>
  </sheetViews>
  <sheetFormatPr defaultColWidth="9" defaultRowHeight="21"/>
  <cols>
    <col min="1" max="1" width="62.625" style="4" customWidth="1"/>
    <col min="2" max="2" width="10.75" style="4" customWidth="1"/>
    <col min="3" max="18" width="10.75" style="3" customWidth="1"/>
    <col min="19" max="16384" width="9" style="3"/>
  </cols>
  <sheetData>
    <row r="1" spans="1:18" s="13" customFormat="1" ht="49.7" customHeight="1">
      <c r="A1" s="94" t="s">
        <v>97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</row>
    <row r="2" spans="1:18" s="13" customFormat="1" ht="19.5" customHeight="1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18" s="2" customFormat="1" ht="54.75" customHeight="1">
      <c r="A3" s="6" t="s">
        <v>0</v>
      </c>
      <c r="B3" s="80" t="s">
        <v>70</v>
      </c>
      <c r="C3" s="80" t="s">
        <v>72</v>
      </c>
      <c r="D3" s="80" t="s">
        <v>68</v>
      </c>
      <c r="E3" s="1" t="s">
        <v>2</v>
      </c>
      <c r="F3" s="1" t="s">
        <v>57</v>
      </c>
      <c r="G3" s="1" t="s">
        <v>63</v>
      </c>
      <c r="H3" s="1" t="s">
        <v>58</v>
      </c>
      <c r="I3" s="1" t="s">
        <v>3</v>
      </c>
      <c r="J3" s="1" t="s">
        <v>4</v>
      </c>
      <c r="K3" s="1" t="s">
        <v>60</v>
      </c>
      <c r="L3" s="1" t="s">
        <v>49</v>
      </c>
      <c r="M3" s="1" t="s">
        <v>43</v>
      </c>
      <c r="N3" s="1" t="s">
        <v>5</v>
      </c>
      <c r="O3" s="1" t="s">
        <v>65</v>
      </c>
      <c r="P3" s="1" t="s">
        <v>61</v>
      </c>
      <c r="Q3" s="1" t="s">
        <v>69</v>
      </c>
      <c r="R3" s="1" t="s">
        <v>54</v>
      </c>
    </row>
    <row r="4" spans="1:18" s="78" customFormat="1" ht="24.75" customHeight="1" thickBot="1">
      <c r="A4" s="76" t="s">
        <v>8</v>
      </c>
      <c r="B4" s="18">
        <v>16</v>
      </c>
      <c r="C4" s="58">
        <v>3</v>
      </c>
      <c r="D4" s="58" t="s">
        <v>66</v>
      </c>
      <c r="E4" s="84">
        <v>58</v>
      </c>
      <c r="F4" s="58">
        <v>13</v>
      </c>
      <c r="G4" s="58">
        <v>10</v>
      </c>
      <c r="H4" s="58">
        <v>1</v>
      </c>
      <c r="I4" s="58">
        <v>131</v>
      </c>
      <c r="J4" s="58" t="s">
        <v>66</v>
      </c>
      <c r="K4" s="58">
        <v>106</v>
      </c>
      <c r="L4" s="77">
        <v>13</v>
      </c>
      <c r="M4" s="77">
        <v>112</v>
      </c>
      <c r="N4" s="77">
        <v>192</v>
      </c>
      <c r="O4" s="77">
        <v>13</v>
      </c>
      <c r="P4" s="77">
        <v>1</v>
      </c>
      <c r="Q4" s="77">
        <v>1</v>
      </c>
      <c r="R4" s="58" t="s">
        <v>66</v>
      </c>
    </row>
    <row r="5" spans="1:18" s="2" customFormat="1" ht="24" customHeight="1" thickBot="1">
      <c r="A5" s="81" t="s">
        <v>74</v>
      </c>
      <c r="B5" s="23">
        <v>4.25</v>
      </c>
      <c r="C5" s="71">
        <v>3.6666666666666665</v>
      </c>
      <c r="D5" s="58" t="s">
        <v>66</v>
      </c>
      <c r="E5" s="28">
        <v>4.5000000000000009</v>
      </c>
      <c r="F5" s="71">
        <v>4.7692307692307683</v>
      </c>
      <c r="G5" s="23">
        <v>4.5</v>
      </c>
      <c r="H5" s="83">
        <v>1</v>
      </c>
      <c r="I5" s="19">
        <v>4.3206106870229002</v>
      </c>
      <c r="J5" s="58" t="s">
        <v>66</v>
      </c>
      <c r="K5" s="71">
        <v>4.3773584905660377</v>
      </c>
      <c r="L5" s="19">
        <v>4.3846153846153841</v>
      </c>
      <c r="M5" s="19">
        <v>4.5803571428571441</v>
      </c>
      <c r="N5" s="19">
        <v>4.2916666666666661</v>
      </c>
      <c r="O5" s="23">
        <v>4.615384615384615</v>
      </c>
      <c r="P5" s="71">
        <v>5</v>
      </c>
      <c r="Q5" s="71">
        <v>5</v>
      </c>
      <c r="R5" s="58" t="s">
        <v>66</v>
      </c>
    </row>
    <row r="6" spans="1:18" s="2" customFormat="1" ht="24" customHeight="1" thickBot="1">
      <c r="A6" s="82" t="s">
        <v>75</v>
      </c>
      <c r="B6" s="23">
        <v>3.8125</v>
      </c>
      <c r="C6" s="71">
        <v>3.6666666666666665</v>
      </c>
      <c r="D6" s="58" t="s">
        <v>66</v>
      </c>
      <c r="E6" s="28">
        <v>4.4137931034482767</v>
      </c>
      <c r="F6" s="71">
        <v>4.5384615384615383</v>
      </c>
      <c r="G6" s="23">
        <v>4.3999999999999995</v>
      </c>
      <c r="H6" s="83">
        <v>1</v>
      </c>
      <c r="I6" s="19">
        <v>4.2900763358778589</v>
      </c>
      <c r="J6" s="58" t="s">
        <v>66</v>
      </c>
      <c r="K6" s="71">
        <v>4.3490566037735867</v>
      </c>
      <c r="L6" s="19">
        <v>4.3076923076923084</v>
      </c>
      <c r="M6" s="19">
        <v>4.6249999999999991</v>
      </c>
      <c r="N6" s="19">
        <v>4.4114583333333321</v>
      </c>
      <c r="O6" s="23">
        <v>4.615384615384615</v>
      </c>
      <c r="P6" s="71">
        <v>5</v>
      </c>
      <c r="Q6" s="71">
        <v>5</v>
      </c>
      <c r="R6" s="58" t="s">
        <v>66</v>
      </c>
    </row>
    <row r="7" spans="1:18" s="2" customFormat="1" ht="24" customHeight="1" thickBot="1">
      <c r="A7" s="82" t="s">
        <v>76</v>
      </c>
      <c r="B7" s="23">
        <v>3.6875000000000004</v>
      </c>
      <c r="C7" s="71">
        <v>3.6666666666666665</v>
      </c>
      <c r="D7" s="58" t="s">
        <v>66</v>
      </c>
      <c r="E7" s="28">
        <v>4.5000000000000009</v>
      </c>
      <c r="F7" s="71">
        <v>4.6923076923076925</v>
      </c>
      <c r="G7" s="23">
        <v>4.3999999999999995</v>
      </c>
      <c r="H7" s="83">
        <v>1</v>
      </c>
      <c r="I7" s="19">
        <v>4.2519083969465665</v>
      </c>
      <c r="J7" s="58" t="s">
        <v>66</v>
      </c>
      <c r="K7" s="71">
        <v>4.3490566037735867</v>
      </c>
      <c r="L7" s="19">
        <v>4.2307692307692308</v>
      </c>
      <c r="M7" s="19">
        <v>4.6160714285714262</v>
      </c>
      <c r="N7" s="19">
        <v>4.3645833333333313</v>
      </c>
      <c r="O7" s="23">
        <v>4.615384615384615</v>
      </c>
      <c r="P7" s="71">
        <v>5</v>
      </c>
      <c r="Q7" s="71">
        <v>5</v>
      </c>
      <c r="R7" s="58" t="s">
        <v>66</v>
      </c>
    </row>
    <row r="8" spans="1:18" s="2" customFormat="1" ht="24" customHeight="1" thickBot="1">
      <c r="A8" s="82" t="s">
        <v>77</v>
      </c>
      <c r="B8" s="23">
        <v>3.625</v>
      </c>
      <c r="C8" s="71">
        <v>3.6666666666666665</v>
      </c>
      <c r="D8" s="58" t="s">
        <v>66</v>
      </c>
      <c r="E8" s="28">
        <v>4.4482758620689644</v>
      </c>
      <c r="F8" s="71">
        <v>4.6923076923076925</v>
      </c>
      <c r="G8" s="23">
        <v>4.3999999999999995</v>
      </c>
      <c r="H8" s="83">
        <v>1</v>
      </c>
      <c r="I8" s="19">
        <v>4.3129770992366385</v>
      </c>
      <c r="J8" s="58" t="s">
        <v>66</v>
      </c>
      <c r="K8" s="71">
        <v>4.301886792452831</v>
      </c>
      <c r="L8" s="19">
        <v>4.1538461538461542</v>
      </c>
      <c r="M8" s="19">
        <v>4.6428571428571423</v>
      </c>
      <c r="N8" s="19">
        <v>4.307291666666667</v>
      </c>
      <c r="O8" s="23">
        <v>4.615384615384615</v>
      </c>
      <c r="P8" s="71">
        <v>5</v>
      </c>
      <c r="Q8" s="71">
        <v>5</v>
      </c>
      <c r="R8" s="58" t="s">
        <v>66</v>
      </c>
    </row>
    <row r="9" spans="1:18" s="2" customFormat="1" ht="24" customHeight="1" thickBot="1">
      <c r="A9" s="82" t="s">
        <v>78</v>
      </c>
      <c r="B9" s="23">
        <v>3.375</v>
      </c>
      <c r="C9" s="71">
        <v>3.6666666666666665</v>
      </c>
      <c r="D9" s="58" t="s">
        <v>66</v>
      </c>
      <c r="E9" s="28">
        <v>4.3620689655172438</v>
      </c>
      <c r="F9" s="71">
        <v>4.3076923076923075</v>
      </c>
      <c r="G9" s="23">
        <v>4.5</v>
      </c>
      <c r="H9" s="83">
        <v>1</v>
      </c>
      <c r="I9" s="19">
        <v>4.1145038167938921</v>
      </c>
      <c r="J9" s="58" t="s">
        <v>66</v>
      </c>
      <c r="K9" s="71">
        <v>4.1509433962264168</v>
      </c>
      <c r="L9" s="19">
        <v>4.1538461538461551</v>
      </c>
      <c r="M9" s="19">
        <v>4.4821428571428559</v>
      </c>
      <c r="N9" s="19">
        <v>4.2760416666666625</v>
      </c>
      <c r="O9" s="23">
        <v>4.3846153846153841</v>
      </c>
      <c r="P9" s="71">
        <v>5</v>
      </c>
      <c r="Q9" s="71">
        <v>5</v>
      </c>
      <c r="R9" s="58" t="s">
        <v>66</v>
      </c>
    </row>
    <row r="10" spans="1:18" s="2" customFormat="1" ht="24" customHeight="1" thickBot="1">
      <c r="A10" s="82" t="s">
        <v>79</v>
      </c>
      <c r="B10" s="23">
        <v>3.3125</v>
      </c>
      <c r="C10" s="71">
        <v>3.6666666666666665</v>
      </c>
      <c r="D10" s="58" t="s">
        <v>66</v>
      </c>
      <c r="E10" s="28">
        <v>4.3793103448275872</v>
      </c>
      <c r="F10" s="71">
        <v>4.4615384615384608</v>
      </c>
      <c r="G10" s="23">
        <v>4.5999999999999996</v>
      </c>
      <c r="H10" s="83">
        <v>1</v>
      </c>
      <c r="I10" s="19">
        <v>4.2137404580152689</v>
      </c>
      <c r="J10" s="58" t="s">
        <v>66</v>
      </c>
      <c r="K10" s="71">
        <v>4.1981132075471699</v>
      </c>
      <c r="L10" s="19">
        <v>4.3846153846153841</v>
      </c>
      <c r="M10" s="19">
        <v>4.4732142857142856</v>
      </c>
      <c r="N10" s="19">
        <v>4.4114583333333339</v>
      </c>
      <c r="O10" s="23">
        <v>4.5384615384615383</v>
      </c>
      <c r="P10" s="71">
        <v>4</v>
      </c>
      <c r="Q10" s="71">
        <v>5</v>
      </c>
      <c r="R10" s="58" t="s">
        <v>66</v>
      </c>
    </row>
    <row r="11" spans="1:18" s="2" customFormat="1" ht="24" customHeight="1" thickBot="1">
      <c r="A11" s="82" t="s">
        <v>80</v>
      </c>
      <c r="B11" s="23">
        <v>3.125</v>
      </c>
      <c r="C11" s="71">
        <v>3.6666666666666665</v>
      </c>
      <c r="D11" s="58" t="s">
        <v>66</v>
      </c>
      <c r="E11" s="28">
        <v>4.3965517241379315</v>
      </c>
      <c r="F11" s="71">
        <v>4.6923076923076925</v>
      </c>
      <c r="G11" s="23">
        <v>4.5</v>
      </c>
      <c r="H11" s="83">
        <v>1</v>
      </c>
      <c r="I11" s="19">
        <v>4.2519083969465665</v>
      </c>
      <c r="J11" s="58" t="s">
        <v>66</v>
      </c>
      <c r="K11" s="71">
        <v>4.1509433962264159</v>
      </c>
      <c r="L11" s="19">
        <v>4.3076923076923066</v>
      </c>
      <c r="M11" s="19">
        <v>4.508928571428573</v>
      </c>
      <c r="N11" s="19">
        <v>4.3281250000000009</v>
      </c>
      <c r="O11" s="23">
        <v>4.615384615384615</v>
      </c>
      <c r="P11" s="71">
        <v>5</v>
      </c>
      <c r="Q11" s="71">
        <v>5</v>
      </c>
      <c r="R11" s="58" t="s">
        <v>66</v>
      </c>
    </row>
    <row r="12" spans="1:18" s="2" customFormat="1" ht="24" customHeight="1" thickBot="1">
      <c r="A12" s="82" t="s">
        <v>81</v>
      </c>
      <c r="B12" s="23">
        <v>3.625</v>
      </c>
      <c r="C12" s="71">
        <v>3.6666666666666665</v>
      </c>
      <c r="D12" s="58" t="s">
        <v>66</v>
      </c>
      <c r="E12" s="28">
        <v>4.2931034482758621</v>
      </c>
      <c r="F12" s="71">
        <v>4.6153846153846159</v>
      </c>
      <c r="G12" s="23">
        <v>4.3999999999999995</v>
      </c>
      <c r="H12" s="83">
        <v>1</v>
      </c>
      <c r="I12" s="19">
        <v>4.2061068702290081</v>
      </c>
      <c r="J12" s="58" t="s">
        <v>66</v>
      </c>
      <c r="K12" s="71">
        <v>4.1415094339622653</v>
      </c>
      <c r="L12" s="19">
        <v>4.1538461538461533</v>
      </c>
      <c r="M12" s="19">
        <v>4.5446428571428559</v>
      </c>
      <c r="N12" s="19">
        <v>4.3437499999999991</v>
      </c>
      <c r="O12" s="23">
        <v>4.615384615384615</v>
      </c>
      <c r="P12" s="71">
        <v>4</v>
      </c>
      <c r="Q12" s="71">
        <v>5</v>
      </c>
      <c r="R12" s="58" t="s">
        <v>66</v>
      </c>
    </row>
    <row r="13" spans="1:18" s="2" customFormat="1" ht="24" customHeight="1" thickBot="1">
      <c r="A13" s="82" t="s">
        <v>82</v>
      </c>
      <c r="B13" s="23">
        <v>3.5625</v>
      </c>
      <c r="C13" s="71">
        <v>3.6666666666666665</v>
      </c>
      <c r="D13" s="58" t="s">
        <v>66</v>
      </c>
      <c r="E13" s="28">
        <v>4.4482758620689644</v>
      </c>
      <c r="F13" s="71">
        <v>4.7692307692307692</v>
      </c>
      <c r="G13" s="23">
        <v>4.5</v>
      </c>
      <c r="H13" s="83">
        <v>1</v>
      </c>
      <c r="I13" s="19">
        <v>4.2900763358778597</v>
      </c>
      <c r="J13" s="58" t="s">
        <v>66</v>
      </c>
      <c r="K13" s="71">
        <v>4.2924528301886786</v>
      </c>
      <c r="L13" s="19">
        <v>4.3076923076923066</v>
      </c>
      <c r="M13" s="19">
        <v>4.5624999999999991</v>
      </c>
      <c r="N13" s="19">
        <v>4.3906249999999982</v>
      </c>
      <c r="O13" s="23">
        <v>4.615384615384615</v>
      </c>
      <c r="P13" s="71">
        <v>5</v>
      </c>
      <c r="Q13" s="71">
        <v>5</v>
      </c>
      <c r="R13" s="58" t="s">
        <v>66</v>
      </c>
    </row>
    <row r="14" spans="1:18" s="2" customFormat="1" ht="24" customHeight="1" thickBot="1">
      <c r="A14" s="82" t="s">
        <v>83</v>
      </c>
      <c r="B14" s="23">
        <v>3.4375</v>
      </c>
      <c r="C14" s="71">
        <v>3.6666666666666665</v>
      </c>
      <c r="D14" s="58" t="s">
        <v>66</v>
      </c>
      <c r="E14" s="28">
        <v>4.4310344827586201</v>
      </c>
      <c r="F14" s="71">
        <v>4.8461538461538458</v>
      </c>
      <c r="G14" s="23">
        <v>4.3999999999999995</v>
      </c>
      <c r="H14" s="83">
        <v>4</v>
      </c>
      <c r="I14" s="19">
        <v>4.2900763358778597</v>
      </c>
      <c r="J14" s="58" t="s">
        <v>66</v>
      </c>
      <c r="K14" s="71">
        <v>4.2641509433962277</v>
      </c>
      <c r="L14" s="19">
        <v>4.1538461538461533</v>
      </c>
      <c r="M14" s="19">
        <v>4.5892857142857135</v>
      </c>
      <c r="N14" s="19">
        <v>4.4322916666666652</v>
      </c>
      <c r="O14" s="23">
        <v>4.615384615384615</v>
      </c>
      <c r="P14" s="71">
        <v>4</v>
      </c>
      <c r="Q14" s="71">
        <v>5</v>
      </c>
      <c r="R14" s="58" t="s">
        <v>66</v>
      </c>
    </row>
    <row r="15" spans="1:18" s="2" customFormat="1" ht="24" customHeight="1" thickBot="1">
      <c r="A15" s="82" t="s">
        <v>84</v>
      </c>
      <c r="B15" s="23">
        <v>3.3749999999999996</v>
      </c>
      <c r="C15" s="71">
        <v>3.6666666666666665</v>
      </c>
      <c r="D15" s="58" t="s">
        <v>66</v>
      </c>
      <c r="E15" s="28">
        <v>4.3965517241379315</v>
      </c>
      <c r="F15" s="71">
        <v>4.6923076923076916</v>
      </c>
      <c r="G15" s="23">
        <v>4.3</v>
      </c>
      <c r="H15" s="83">
        <v>1</v>
      </c>
      <c r="I15" s="19">
        <v>4.2366412213740476</v>
      </c>
      <c r="J15" s="58" t="s">
        <v>66</v>
      </c>
      <c r="K15" s="71">
        <v>4.2641509433962295</v>
      </c>
      <c r="L15" s="19">
        <v>4.1538461538461542</v>
      </c>
      <c r="M15" s="19">
        <v>4.5803571428571432</v>
      </c>
      <c r="N15" s="19">
        <v>4.3802083333333304</v>
      </c>
      <c r="O15" s="23">
        <v>4.5384615384615383</v>
      </c>
      <c r="P15" s="71">
        <v>4</v>
      </c>
      <c r="Q15" s="71">
        <v>5</v>
      </c>
      <c r="R15" s="58" t="s">
        <v>66</v>
      </c>
    </row>
    <row r="16" spans="1:18" s="2" customFormat="1" ht="24" customHeight="1" thickBot="1">
      <c r="A16" s="82" t="s">
        <v>85</v>
      </c>
      <c r="B16" s="23">
        <v>3.75</v>
      </c>
      <c r="C16" s="71">
        <v>3.6666666666666665</v>
      </c>
      <c r="D16" s="58" t="s">
        <v>66</v>
      </c>
      <c r="E16" s="28">
        <v>4.4482758620689644</v>
      </c>
      <c r="F16" s="71">
        <v>4.615384615384615</v>
      </c>
      <c r="G16" s="23">
        <v>4.5</v>
      </c>
      <c r="H16" s="83">
        <v>1</v>
      </c>
      <c r="I16" s="19">
        <v>4.3053435114503822</v>
      </c>
      <c r="J16" s="58" t="s">
        <v>66</v>
      </c>
      <c r="K16" s="71">
        <v>4.3113207547169798</v>
      </c>
      <c r="L16" s="19">
        <v>4.0769230769230775</v>
      </c>
      <c r="M16" s="19">
        <v>4.5178571428571432</v>
      </c>
      <c r="N16" s="19">
        <v>4.401041666666667</v>
      </c>
      <c r="O16" s="23">
        <v>4.615384615384615</v>
      </c>
      <c r="P16" s="71">
        <v>5</v>
      </c>
      <c r="Q16" s="71">
        <v>5</v>
      </c>
      <c r="R16" s="58" t="s">
        <v>66</v>
      </c>
    </row>
    <row r="17" spans="1:18" s="2" customFormat="1" ht="24" customHeight="1" thickBot="1">
      <c r="A17" s="82" t="s">
        <v>86</v>
      </c>
      <c r="B17" s="23">
        <v>3.75</v>
      </c>
      <c r="C17" s="71">
        <v>3.6666666666666665</v>
      </c>
      <c r="D17" s="58" t="s">
        <v>66</v>
      </c>
      <c r="E17" s="28">
        <v>4.3620689655172438</v>
      </c>
      <c r="F17" s="71">
        <v>4.615384615384615</v>
      </c>
      <c r="G17" s="23">
        <v>4.3999999999999995</v>
      </c>
      <c r="H17" s="83">
        <v>1</v>
      </c>
      <c r="I17" s="19">
        <v>4.2671755725190854</v>
      </c>
      <c r="J17" s="58" t="s">
        <v>66</v>
      </c>
      <c r="K17" s="71">
        <v>4.2735849056603756</v>
      </c>
      <c r="L17" s="19">
        <v>4.0769230769230766</v>
      </c>
      <c r="M17" s="19">
        <v>4.5446428571428577</v>
      </c>
      <c r="N17" s="19">
        <v>4.3645833333333321</v>
      </c>
      <c r="O17" s="23">
        <v>4.615384615384615</v>
      </c>
      <c r="P17" s="71">
        <v>4</v>
      </c>
      <c r="Q17" s="71">
        <v>5</v>
      </c>
      <c r="R17" s="58" t="s">
        <v>66</v>
      </c>
    </row>
    <row r="18" spans="1:18" s="2" customFormat="1" ht="24" customHeight="1" thickBot="1">
      <c r="A18" s="82" t="s">
        <v>87</v>
      </c>
      <c r="B18" s="23">
        <v>3.5625</v>
      </c>
      <c r="C18" s="71">
        <v>3.6666666666666665</v>
      </c>
      <c r="D18" s="58" t="s">
        <v>66</v>
      </c>
      <c r="E18" s="28">
        <v>4.3103448275862055</v>
      </c>
      <c r="F18" s="71">
        <v>4.5384615384615383</v>
      </c>
      <c r="G18" s="23">
        <v>4.5</v>
      </c>
      <c r="H18" s="83">
        <v>1</v>
      </c>
      <c r="I18" s="19">
        <v>4.3053435114503822</v>
      </c>
      <c r="J18" s="58" t="s">
        <v>66</v>
      </c>
      <c r="K18" s="71">
        <v>4.1981132075471699</v>
      </c>
      <c r="L18" s="19">
        <v>4.3076923076923084</v>
      </c>
      <c r="M18" s="19">
        <v>4.5624999999999982</v>
      </c>
      <c r="N18" s="19">
        <v>4.4270833333333313</v>
      </c>
      <c r="O18" s="23">
        <v>4.6923076923076925</v>
      </c>
      <c r="P18" s="71">
        <v>4</v>
      </c>
      <c r="Q18" s="71">
        <v>5</v>
      </c>
      <c r="R18" s="58" t="s">
        <v>66</v>
      </c>
    </row>
    <row r="19" spans="1:18" s="2" customFormat="1" ht="24" customHeight="1" thickBot="1">
      <c r="A19" s="82" t="s">
        <v>88</v>
      </c>
      <c r="B19" s="23">
        <v>3.5</v>
      </c>
      <c r="C19" s="71">
        <v>3.6666666666666665</v>
      </c>
      <c r="D19" s="58" t="s">
        <v>66</v>
      </c>
      <c r="E19" s="28">
        <v>4.431034482758621</v>
      </c>
      <c r="F19" s="71">
        <v>4.4615384615384617</v>
      </c>
      <c r="G19" s="23">
        <v>4.5</v>
      </c>
      <c r="H19" s="83">
        <v>1</v>
      </c>
      <c r="I19" s="19">
        <v>4.3816793893129731</v>
      </c>
      <c r="J19" s="58" t="s">
        <v>66</v>
      </c>
      <c r="K19" s="71">
        <v>4.254716981132078</v>
      </c>
      <c r="L19" s="19">
        <v>4.3076923076923075</v>
      </c>
      <c r="M19" s="19">
        <v>4.6071428571428577</v>
      </c>
      <c r="N19" s="19">
        <v>4.4270833333333313</v>
      </c>
      <c r="O19" s="23">
        <v>4.6923076923076925</v>
      </c>
      <c r="P19" s="71">
        <v>4</v>
      </c>
      <c r="Q19" s="71">
        <v>5</v>
      </c>
      <c r="R19" s="58" t="s">
        <v>66</v>
      </c>
    </row>
    <row r="20" spans="1:18" s="2" customFormat="1" ht="24" customHeight="1" thickBot="1">
      <c r="A20" s="82" t="s">
        <v>89</v>
      </c>
      <c r="B20" s="23">
        <v>3.5625</v>
      </c>
      <c r="C20" s="71">
        <v>3.6666666666666665</v>
      </c>
      <c r="D20" s="58" t="s">
        <v>66</v>
      </c>
      <c r="E20" s="28">
        <v>4.3965517241379324</v>
      </c>
      <c r="F20" s="71">
        <v>4.615384615384615</v>
      </c>
      <c r="G20" s="23">
        <v>4.3999999999999995</v>
      </c>
      <c r="H20" s="83">
        <v>1</v>
      </c>
      <c r="I20" s="19">
        <v>4.3664122137404595</v>
      </c>
      <c r="J20" s="58" t="s">
        <v>66</v>
      </c>
      <c r="K20" s="71">
        <v>4.3018867924528292</v>
      </c>
      <c r="L20" s="19">
        <v>4.0769230769230775</v>
      </c>
      <c r="M20" s="19">
        <v>4.6517857142857135</v>
      </c>
      <c r="N20" s="19">
        <v>4.4218749999999964</v>
      </c>
      <c r="O20" s="23">
        <v>4.6923076923076925</v>
      </c>
      <c r="P20" s="71">
        <v>4</v>
      </c>
      <c r="Q20" s="71">
        <v>5</v>
      </c>
      <c r="R20" s="58" t="s">
        <v>66</v>
      </c>
    </row>
    <row r="21" spans="1:18" s="2" customFormat="1" ht="24" customHeight="1">
      <c r="A21" s="15" t="s">
        <v>9</v>
      </c>
      <c r="B21" s="23">
        <v>3.58203125</v>
      </c>
      <c r="C21" s="71">
        <v>3.6666666666666665</v>
      </c>
      <c r="D21" s="58" t="s">
        <v>66</v>
      </c>
      <c r="E21" s="28">
        <v>4.4073275862068977</v>
      </c>
      <c r="F21" s="71">
        <v>4.6201923076923075</v>
      </c>
      <c r="G21" s="23">
        <v>4.45</v>
      </c>
      <c r="H21" s="83">
        <v>1.1875</v>
      </c>
      <c r="I21" s="19">
        <v>4.2752862595419865</v>
      </c>
      <c r="J21" s="58" t="s">
        <v>66</v>
      </c>
      <c r="K21" s="71">
        <v>4.2612028301886786</v>
      </c>
      <c r="L21" s="19">
        <v>4.2211538461538467</v>
      </c>
      <c r="M21" s="19">
        <v>4.5680803571428585</v>
      </c>
      <c r="N21" s="19">
        <v>4.3736979166666652</v>
      </c>
      <c r="O21" s="23">
        <v>4.6057692307692308</v>
      </c>
      <c r="P21" s="71">
        <v>4.5</v>
      </c>
      <c r="Q21" s="71">
        <v>5</v>
      </c>
      <c r="R21" s="58" t="s">
        <v>66</v>
      </c>
    </row>
    <row r="22" spans="1:18" s="2" customFormat="1" ht="24.75" customHeight="1">
      <c r="A22" s="8" t="s">
        <v>10</v>
      </c>
      <c r="B22" s="60">
        <f t="shared" ref="B22:Q22" si="0">B21*20</f>
        <v>71.640625</v>
      </c>
      <c r="C22" s="60">
        <f t="shared" si="0"/>
        <v>73.333333333333329</v>
      </c>
      <c r="D22" s="58" t="s">
        <v>66</v>
      </c>
      <c r="E22" s="60">
        <f t="shared" si="0"/>
        <v>88.14655172413795</v>
      </c>
      <c r="F22" s="60">
        <f t="shared" si="0"/>
        <v>92.403846153846146</v>
      </c>
      <c r="G22" s="60">
        <f t="shared" si="0"/>
        <v>89</v>
      </c>
      <c r="H22" s="60">
        <f t="shared" si="0"/>
        <v>23.75</v>
      </c>
      <c r="I22" s="60">
        <f t="shared" si="0"/>
        <v>85.505725190839726</v>
      </c>
      <c r="J22" s="58" t="s">
        <v>66</v>
      </c>
      <c r="K22" s="60">
        <f>K21*20</f>
        <v>85.224056603773576</v>
      </c>
      <c r="L22" s="60">
        <f t="shared" si="0"/>
        <v>84.423076923076934</v>
      </c>
      <c r="M22" s="60">
        <f t="shared" si="0"/>
        <v>91.361607142857167</v>
      </c>
      <c r="N22" s="60">
        <f t="shared" si="0"/>
        <v>87.4739583333333</v>
      </c>
      <c r="O22" s="60">
        <f t="shared" si="0"/>
        <v>92.115384615384613</v>
      </c>
      <c r="P22" s="60">
        <f t="shared" si="0"/>
        <v>90</v>
      </c>
      <c r="Q22" s="60">
        <f t="shared" si="0"/>
        <v>100</v>
      </c>
      <c r="R22" s="58" t="s">
        <v>66</v>
      </c>
    </row>
    <row r="23" spans="1:18">
      <c r="A23" s="16" t="s">
        <v>44</v>
      </c>
      <c r="B23" s="59">
        <v>87.5</v>
      </c>
      <c r="C23" s="74">
        <v>66.666666666666671</v>
      </c>
      <c r="D23" s="75" t="s">
        <v>67</v>
      </c>
      <c r="E23" s="59">
        <v>98.275862068965523</v>
      </c>
      <c r="F23" s="21">
        <v>100</v>
      </c>
      <c r="G23" s="59">
        <v>90</v>
      </c>
      <c r="H23" s="75">
        <v>0</v>
      </c>
      <c r="I23" s="59">
        <v>98.473282442748086</v>
      </c>
      <c r="J23" s="75" t="s">
        <v>67</v>
      </c>
      <c r="K23" s="74">
        <v>96.226415094339629</v>
      </c>
      <c r="L23" s="59">
        <v>92.307692307692307</v>
      </c>
      <c r="M23" s="21">
        <v>100</v>
      </c>
      <c r="N23" s="21">
        <v>100</v>
      </c>
      <c r="O23" s="21">
        <v>100</v>
      </c>
      <c r="P23" s="21">
        <v>100</v>
      </c>
      <c r="Q23" s="21">
        <v>100</v>
      </c>
      <c r="R23" s="75" t="s">
        <v>67</v>
      </c>
    </row>
    <row r="25" spans="1:18" ht="24" customHeight="1"/>
    <row r="26" spans="1:18" ht="59.25" customHeight="1">
      <c r="A26" s="6" t="s">
        <v>0</v>
      </c>
      <c r="B26" s="1" t="s">
        <v>94</v>
      </c>
      <c r="C26" s="1" t="s">
        <v>6</v>
      </c>
      <c r="D26" s="1" t="s">
        <v>7</v>
      </c>
      <c r="E26" s="1" t="s">
        <v>56</v>
      </c>
      <c r="F26" s="1" t="s">
        <v>62</v>
      </c>
      <c r="G26" s="1" t="s">
        <v>59</v>
      </c>
      <c r="H26" s="1" t="s">
        <v>95</v>
      </c>
      <c r="I26" s="1" t="s">
        <v>11</v>
      </c>
      <c r="J26" s="1" t="s">
        <v>45</v>
      </c>
      <c r="K26" s="1" t="s">
        <v>71</v>
      </c>
      <c r="L26" s="1" t="s">
        <v>50</v>
      </c>
      <c r="M26" s="1" t="s">
        <v>55</v>
      </c>
      <c r="N26" s="1" t="s">
        <v>1</v>
      </c>
      <c r="O26" s="1" t="s">
        <v>35</v>
      </c>
      <c r="P26" s="1" t="s">
        <v>73</v>
      </c>
      <c r="Q26" s="1" t="s">
        <v>96</v>
      </c>
    </row>
    <row r="27" spans="1:18" s="25" customFormat="1" ht="24" customHeight="1" thickBot="1">
      <c r="A27" s="8" t="s">
        <v>8</v>
      </c>
      <c r="B27" s="58">
        <v>55</v>
      </c>
      <c r="C27" s="58">
        <v>91</v>
      </c>
      <c r="D27" s="24">
        <v>3</v>
      </c>
      <c r="E27" s="24">
        <v>56</v>
      </c>
      <c r="F27" s="58">
        <v>6</v>
      </c>
      <c r="G27" s="24">
        <v>44</v>
      </c>
      <c r="H27" s="24">
        <v>8</v>
      </c>
      <c r="I27" s="24">
        <v>48</v>
      </c>
      <c r="J27" s="24">
        <v>18</v>
      </c>
      <c r="K27" s="58" t="s">
        <v>66</v>
      </c>
      <c r="L27" s="24">
        <v>14</v>
      </c>
      <c r="M27" s="24">
        <v>2</v>
      </c>
      <c r="N27" s="24">
        <v>1</v>
      </c>
      <c r="O27" s="24">
        <v>32</v>
      </c>
      <c r="P27" s="58">
        <v>11</v>
      </c>
      <c r="Q27" s="85">
        <v>1</v>
      </c>
    </row>
    <row r="28" spans="1:18" ht="24" customHeight="1" thickBot="1">
      <c r="A28" s="81" t="s">
        <v>74</v>
      </c>
      <c r="B28" s="71">
        <v>4.5636363636363653</v>
      </c>
      <c r="C28" s="71">
        <v>4.4395604395604407</v>
      </c>
      <c r="D28" s="19">
        <v>5</v>
      </c>
      <c r="E28" s="23">
        <v>4.607142857142855</v>
      </c>
      <c r="F28" s="71">
        <v>4.6666666666666661</v>
      </c>
      <c r="G28" s="19">
        <v>4.6363636363636367</v>
      </c>
      <c r="H28" s="19">
        <v>4.5</v>
      </c>
      <c r="I28" s="19">
        <v>4.416666666666667</v>
      </c>
      <c r="J28" s="19">
        <v>4.6111111111111107</v>
      </c>
      <c r="K28" s="58" t="s">
        <v>66</v>
      </c>
      <c r="L28" s="23">
        <v>4.1428571428571432</v>
      </c>
      <c r="M28" s="19">
        <v>2.5</v>
      </c>
      <c r="N28" s="23">
        <v>4</v>
      </c>
      <c r="O28" s="23">
        <v>3.8125</v>
      </c>
      <c r="P28" s="71">
        <v>4.8181818181818192</v>
      </c>
      <c r="Q28" s="71">
        <v>5</v>
      </c>
    </row>
    <row r="29" spans="1:18" ht="24" customHeight="1" thickBot="1">
      <c r="A29" s="82" t="s">
        <v>75</v>
      </c>
      <c r="B29" s="71">
        <v>4.4727272727272709</v>
      </c>
      <c r="C29" s="71">
        <v>4.4725274725274717</v>
      </c>
      <c r="D29" s="19">
        <v>5</v>
      </c>
      <c r="E29" s="23">
        <v>4.5892857142857126</v>
      </c>
      <c r="F29" s="71">
        <v>4.833333333333333</v>
      </c>
      <c r="G29" s="19">
        <v>4.6590909090909101</v>
      </c>
      <c r="H29" s="19">
        <v>4.5</v>
      </c>
      <c r="I29" s="19">
        <v>4.4374999999999991</v>
      </c>
      <c r="J29" s="19">
        <v>4.5555555555555545</v>
      </c>
      <c r="K29" s="58" t="s">
        <v>66</v>
      </c>
      <c r="L29" s="23">
        <v>4.2857142857142856</v>
      </c>
      <c r="M29" s="19">
        <v>2.5</v>
      </c>
      <c r="N29" s="23">
        <v>4</v>
      </c>
      <c r="O29" s="23">
        <v>3.875</v>
      </c>
      <c r="P29" s="71">
        <v>4.9090909090909092</v>
      </c>
      <c r="Q29" s="71">
        <v>5</v>
      </c>
    </row>
    <row r="30" spans="1:18" ht="24" customHeight="1" thickBot="1">
      <c r="A30" s="82" t="s">
        <v>76</v>
      </c>
      <c r="B30" s="71">
        <v>4.4545454545454541</v>
      </c>
      <c r="C30" s="71">
        <v>4.4505494505494507</v>
      </c>
      <c r="D30" s="19">
        <v>5</v>
      </c>
      <c r="E30" s="23">
        <v>4.5535714285714288</v>
      </c>
      <c r="F30" s="71">
        <v>4.833333333333333</v>
      </c>
      <c r="G30" s="19">
        <v>4.6136363636363642</v>
      </c>
      <c r="H30" s="19">
        <v>4.5</v>
      </c>
      <c r="I30" s="19">
        <v>4.3541666666666661</v>
      </c>
      <c r="J30" s="19">
        <v>4.6111111111111107</v>
      </c>
      <c r="K30" s="58" t="s">
        <v>66</v>
      </c>
      <c r="L30" s="23">
        <v>4.2142857142857144</v>
      </c>
      <c r="M30" s="19">
        <v>2</v>
      </c>
      <c r="N30" s="23">
        <v>5</v>
      </c>
      <c r="O30" s="23">
        <v>3.8125</v>
      </c>
      <c r="P30" s="71">
        <v>4.8181818181818192</v>
      </c>
      <c r="Q30" s="71">
        <v>5</v>
      </c>
    </row>
    <row r="31" spans="1:18" ht="24" customHeight="1" thickBot="1">
      <c r="A31" s="82" t="s">
        <v>77</v>
      </c>
      <c r="B31" s="71">
        <v>4.5090909090909088</v>
      </c>
      <c r="C31" s="71">
        <v>4.3296703296703321</v>
      </c>
      <c r="D31" s="19">
        <v>5</v>
      </c>
      <c r="E31" s="23">
        <v>4.6071428571428559</v>
      </c>
      <c r="F31" s="71">
        <v>4.6666666666666661</v>
      </c>
      <c r="G31" s="19">
        <v>4.5909090909090908</v>
      </c>
      <c r="H31" s="19">
        <v>4.5</v>
      </c>
      <c r="I31" s="19">
        <v>4.3541666666666652</v>
      </c>
      <c r="J31" s="19">
        <v>4.6111111111111107</v>
      </c>
      <c r="K31" s="58" t="s">
        <v>66</v>
      </c>
      <c r="L31" s="23">
        <v>4.3571428571428577</v>
      </c>
      <c r="M31" s="19">
        <v>2</v>
      </c>
      <c r="N31" s="23">
        <v>4</v>
      </c>
      <c r="O31" s="23">
        <v>3.8749999999999996</v>
      </c>
      <c r="P31" s="71">
        <v>4.8181818181818192</v>
      </c>
      <c r="Q31" s="71">
        <v>5</v>
      </c>
    </row>
    <row r="32" spans="1:18" ht="24" customHeight="1" thickBot="1">
      <c r="A32" s="82" t="s">
        <v>78</v>
      </c>
      <c r="B32" s="71">
        <v>4.2545454545454522</v>
      </c>
      <c r="C32" s="71">
        <v>4.3076923076923075</v>
      </c>
      <c r="D32" s="19">
        <v>5</v>
      </c>
      <c r="E32" s="23">
        <v>4.5178571428571423</v>
      </c>
      <c r="F32" s="71">
        <v>4.833333333333333</v>
      </c>
      <c r="G32" s="19">
        <v>4.4999999999999991</v>
      </c>
      <c r="H32" s="19">
        <v>4.375</v>
      </c>
      <c r="I32" s="19">
        <v>4.375</v>
      </c>
      <c r="J32" s="19">
        <v>4.666666666666667</v>
      </c>
      <c r="K32" s="58" t="s">
        <v>66</v>
      </c>
      <c r="L32" s="23">
        <v>4.2857142857142856</v>
      </c>
      <c r="M32" s="19">
        <v>2</v>
      </c>
      <c r="N32" s="23">
        <v>4</v>
      </c>
      <c r="O32" s="23">
        <v>3.6875</v>
      </c>
      <c r="P32" s="71">
        <v>5</v>
      </c>
      <c r="Q32" s="71">
        <v>3</v>
      </c>
    </row>
    <row r="33" spans="1:17" ht="24" customHeight="1" thickBot="1">
      <c r="A33" s="82" t="s">
        <v>79</v>
      </c>
      <c r="B33" s="71">
        <v>4.2727272727272725</v>
      </c>
      <c r="C33" s="71">
        <v>4.4285714285714315</v>
      </c>
      <c r="D33" s="19">
        <v>4.666666666666667</v>
      </c>
      <c r="E33" s="23">
        <v>4.5892857142857126</v>
      </c>
      <c r="F33" s="71">
        <v>4.833333333333333</v>
      </c>
      <c r="G33" s="19">
        <v>4.5454545454545459</v>
      </c>
      <c r="H33" s="19">
        <v>4.375</v>
      </c>
      <c r="I33" s="19">
        <v>4.4375</v>
      </c>
      <c r="J33" s="19">
        <v>4.666666666666667</v>
      </c>
      <c r="K33" s="58" t="s">
        <v>66</v>
      </c>
      <c r="L33" s="23">
        <v>4.2142857142857144</v>
      </c>
      <c r="M33" s="19">
        <v>1.5</v>
      </c>
      <c r="N33" s="23">
        <v>5</v>
      </c>
      <c r="O33" s="23">
        <v>3.65625</v>
      </c>
      <c r="P33" s="71">
        <v>4.9090909090909092</v>
      </c>
      <c r="Q33" s="71">
        <v>5</v>
      </c>
    </row>
    <row r="34" spans="1:17" ht="24" customHeight="1" thickBot="1">
      <c r="A34" s="82" t="s">
        <v>80</v>
      </c>
      <c r="B34" s="71">
        <v>4.4181818181818171</v>
      </c>
      <c r="C34" s="71">
        <v>4.4285714285714297</v>
      </c>
      <c r="D34" s="19">
        <v>5</v>
      </c>
      <c r="E34" s="23">
        <v>4.4999999999999991</v>
      </c>
      <c r="F34" s="71">
        <v>4.6666666666666661</v>
      </c>
      <c r="G34" s="19">
        <v>4.6590909090909101</v>
      </c>
      <c r="H34" s="19">
        <v>4.5</v>
      </c>
      <c r="I34" s="19">
        <v>4.416666666666667</v>
      </c>
      <c r="J34" s="19">
        <v>4.7777777777777777</v>
      </c>
      <c r="K34" s="58" t="s">
        <v>66</v>
      </c>
      <c r="L34" s="23">
        <v>4.3571428571428577</v>
      </c>
      <c r="M34" s="19">
        <v>2</v>
      </c>
      <c r="N34" s="23">
        <v>5</v>
      </c>
      <c r="O34" s="23">
        <v>3.65625</v>
      </c>
      <c r="P34" s="71">
        <v>5</v>
      </c>
      <c r="Q34" s="71">
        <v>4</v>
      </c>
    </row>
    <row r="35" spans="1:17" ht="24" customHeight="1" thickBot="1">
      <c r="A35" s="82" t="s">
        <v>81</v>
      </c>
      <c r="B35" s="71">
        <v>4.3454545454545439</v>
      </c>
      <c r="C35" s="71">
        <v>4.3516483516483504</v>
      </c>
      <c r="D35" s="19">
        <v>5</v>
      </c>
      <c r="E35" s="23">
        <v>4.4821428571428577</v>
      </c>
      <c r="F35" s="71">
        <v>4.833333333333333</v>
      </c>
      <c r="G35" s="19">
        <v>4.6363636363636367</v>
      </c>
      <c r="H35" s="19">
        <v>4.5</v>
      </c>
      <c r="I35" s="19">
        <v>4.3541666666666652</v>
      </c>
      <c r="J35" s="19">
        <v>4.6111111111111107</v>
      </c>
      <c r="K35" s="58" t="s">
        <v>66</v>
      </c>
      <c r="L35" s="23">
        <v>4.2857142857142856</v>
      </c>
      <c r="M35" s="19">
        <v>2</v>
      </c>
      <c r="N35" s="23">
        <v>4</v>
      </c>
      <c r="O35" s="23">
        <v>3.71875</v>
      </c>
      <c r="P35" s="71">
        <v>4.9090909090909092</v>
      </c>
      <c r="Q35" s="71">
        <v>5</v>
      </c>
    </row>
    <row r="36" spans="1:17" ht="24" customHeight="1" thickBot="1">
      <c r="A36" s="82" t="s">
        <v>82</v>
      </c>
      <c r="B36" s="71">
        <v>4.4181818181818171</v>
      </c>
      <c r="C36" s="71">
        <v>4.4835164835164845</v>
      </c>
      <c r="D36" s="19">
        <v>5</v>
      </c>
      <c r="E36" s="23">
        <v>4.5892857142857117</v>
      </c>
      <c r="F36" s="71">
        <v>4.833333333333333</v>
      </c>
      <c r="G36" s="19">
        <v>4.6363636363636367</v>
      </c>
      <c r="H36" s="19">
        <v>4.5</v>
      </c>
      <c r="I36" s="19">
        <v>4.3541666666666661</v>
      </c>
      <c r="J36" s="19">
        <v>4.7222222222222223</v>
      </c>
      <c r="K36" s="58" t="s">
        <v>66</v>
      </c>
      <c r="L36" s="23">
        <v>4.3571428571428577</v>
      </c>
      <c r="M36" s="19">
        <v>2</v>
      </c>
      <c r="N36" s="23">
        <v>4</v>
      </c>
      <c r="O36" s="23">
        <v>3.7500000000000004</v>
      </c>
      <c r="P36" s="71">
        <v>5</v>
      </c>
      <c r="Q36" s="71">
        <v>5</v>
      </c>
    </row>
    <row r="37" spans="1:17" ht="24" customHeight="1" thickBot="1">
      <c r="A37" s="82" t="s">
        <v>83</v>
      </c>
      <c r="B37" s="71">
        <v>4.3636363636363624</v>
      </c>
      <c r="C37" s="71">
        <v>4.4065934065934051</v>
      </c>
      <c r="D37" s="19">
        <v>5</v>
      </c>
      <c r="E37" s="23">
        <v>4.5714285714285694</v>
      </c>
      <c r="F37" s="71">
        <v>4.6666666666666661</v>
      </c>
      <c r="G37" s="19">
        <v>4.6136363636363642</v>
      </c>
      <c r="H37" s="19">
        <v>4.5</v>
      </c>
      <c r="I37" s="19">
        <v>4.3958333333333321</v>
      </c>
      <c r="J37" s="19">
        <v>4.666666666666667</v>
      </c>
      <c r="K37" s="58" t="s">
        <v>66</v>
      </c>
      <c r="L37" s="23">
        <v>4.3571428571428577</v>
      </c>
      <c r="M37" s="19">
        <v>2</v>
      </c>
      <c r="N37" s="23">
        <v>4</v>
      </c>
      <c r="O37" s="23">
        <v>3.7500000000000004</v>
      </c>
      <c r="P37" s="71">
        <v>5</v>
      </c>
      <c r="Q37" s="71">
        <v>5</v>
      </c>
    </row>
    <row r="38" spans="1:17" ht="24" customHeight="1" thickBot="1">
      <c r="A38" s="82" t="s">
        <v>84</v>
      </c>
      <c r="B38" s="71">
        <v>4.3636363636363624</v>
      </c>
      <c r="C38" s="71">
        <v>4.3736263736263714</v>
      </c>
      <c r="D38" s="19">
        <v>5</v>
      </c>
      <c r="E38" s="23">
        <v>4.5357142857142829</v>
      </c>
      <c r="F38" s="71">
        <v>4.6666666666666661</v>
      </c>
      <c r="G38" s="19">
        <v>4.6363636363636367</v>
      </c>
      <c r="H38" s="19">
        <v>4.5</v>
      </c>
      <c r="I38" s="19">
        <v>4.3541666666666661</v>
      </c>
      <c r="J38" s="19">
        <v>4.6111111111111107</v>
      </c>
      <c r="K38" s="58" t="s">
        <v>66</v>
      </c>
      <c r="L38" s="23">
        <v>4.3571428571428577</v>
      </c>
      <c r="M38" s="19">
        <v>2</v>
      </c>
      <c r="N38" s="23">
        <v>4</v>
      </c>
      <c r="O38" s="23">
        <v>3.65625</v>
      </c>
      <c r="P38" s="71">
        <v>4.9090909090909092</v>
      </c>
      <c r="Q38" s="71">
        <v>4</v>
      </c>
    </row>
    <row r="39" spans="1:17" ht="24" customHeight="1" thickBot="1">
      <c r="A39" s="82" t="s">
        <v>85</v>
      </c>
      <c r="B39" s="71">
        <v>4.5090909090909079</v>
      </c>
      <c r="C39" s="71">
        <v>4.3956043956043951</v>
      </c>
      <c r="D39" s="19">
        <v>5</v>
      </c>
      <c r="E39" s="23">
        <v>4.607142857142855</v>
      </c>
      <c r="F39" s="71">
        <v>4.833333333333333</v>
      </c>
      <c r="G39" s="19">
        <v>4.5909090909090899</v>
      </c>
      <c r="H39" s="19">
        <v>4.5</v>
      </c>
      <c r="I39" s="19">
        <v>4.3749999999999991</v>
      </c>
      <c r="J39" s="19">
        <v>4.5555555555555545</v>
      </c>
      <c r="K39" s="58" t="s">
        <v>66</v>
      </c>
      <c r="L39" s="23">
        <v>4.5</v>
      </c>
      <c r="M39" s="19">
        <v>2</v>
      </c>
      <c r="N39" s="23">
        <v>4</v>
      </c>
      <c r="O39" s="23">
        <v>3.9062499999999991</v>
      </c>
      <c r="P39" s="71">
        <v>4.8181818181818192</v>
      </c>
      <c r="Q39" s="71">
        <v>5</v>
      </c>
    </row>
    <row r="40" spans="1:17" ht="24" customHeight="1" thickBot="1">
      <c r="A40" s="82" t="s">
        <v>86</v>
      </c>
      <c r="B40" s="71">
        <v>4.4363636363636365</v>
      </c>
      <c r="C40" s="71">
        <v>4.439560439560438</v>
      </c>
      <c r="D40" s="19">
        <v>5</v>
      </c>
      <c r="E40" s="23">
        <v>4.5535714285714297</v>
      </c>
      <c r="F40" s="71">
        <v>4.6666666666666661</v>
      </c>
      <c r="G40" s="19">
        <v>4.6590909090909101</v>
      </c>
      <c r="H40" s="19">
        <v>4.5</v>
      </c>
      <c r="I40" s="19">
        <v>4.3958333333333321</v>
      </c>
      <c r="J40" s="19">
        <v>4.5555555555555545</v>
      </c>
      <c r="K40" s="58" t="s">
        <v>66</v>
      </c>
      <c r="L40" s="23">
        <v>4.4285714285714288</v>
      </c>
      <c r="M40" s="19">
        <v>2</v>
      </c>
      <c r="N40" s="23">
        <v>4</v>
      </c>
      <c r="O40" s="23">
        <v>3.71875</v>
      </c>
      <c r="P40" s="71">
        <v>4.9090909090909092</v>
      </c>
      <c r="Q40" s="71">
        <v>5</v>
      </c>
    </row>
    <row r="41" spans="1:17" ht="24" customHeight="1" thickBot="1">
      <c r="A41" s="82" t="s">
        <v>87</v>
      </c>
      <c r="B41" s="71">
        <v>4.3999999999999986</v>
      </c>
      <c r="C41" s="71">
        <v>4.3626373626373605</v>
      </c>
      <c r="D41" s="19">
        <v>4.666666666666667</v>
      </c>
      <c r="E41" s="23">
        <v>4.5357142857142838</v>
      </c>
      <c r="F41" s="71">
        <v>4.833333333333333</v>
      </c>
      <c r="G41" s="19">
        <v>4.7045454545454541</v>
      </c>
      <c r="H41" s="19">
        <v>4.5</v>
      </c>
      <c r="I41" s="19">
        <v>4.3333333333333321</v>
      </c>
      <c r="J41" s="19">
        <v>4.666666666666667</v>
      </c>
      <c r="K41" s="58" t="s">
        <v>66</v>
      </c>
      <c r="L41" s="23">
        <v>4.2857142857142856</v>
      </c>
      <c r="M41" s="19">
        <v>2</v>
      </c>
      <c r="N41" s="23">
        <v>4</v>
      </c>
      <c r="O41" s="23">
        <v>3.65625</v>
      </c>
      <c r="P41" s="71">
        <v>4.9090909090909092</v>
      </c>
      <c r="Q41" s="71">
        <v>5</v>
      </c>
    </row>
    <row r="42" spans="1:17" ht="24" customHeight="1" thickBot="1">
      <c r="A42" s="82" t="s">
        <v>88</v>
      </c>
      <c r="B42" s="71">
        <v>4.4545454545454541</v>
      </c>
      <c r="C42" s="71">
        <v>4.5164835164835182</v>
      </c>
      <c r="D42" s="19">
        <v>5</v>
      </c>
      <c r="E42" s="23">
        <v>4.6428571428571432</v>
      </c>
      <c r="F42" s="71">
        <v>4.833333333333333</v>
      </c>
      <c r="G42" s="19">
        <v>4.7045454545454541</v>
      </c>
      <c r="H42" s="19">
        <v>4.5</v>
      </c>
      <c r="I42" s="19">
        <v>4.3124999999999991</v>
      </c>
      <c r="J42" s="19">
        <v>4.666666666666667</v>
      </c>
      <c r="K42" s="58" t="s">
        <v>66</v>
      </c>
      <c r="L42" s="23">
        <v>4.4285714285714288</v>
      </c>
      <c r="M42" s="19">
        <v>2</v>
      </c>
      <c r="N42" s="23">
        <v>4</v>
      </c>
      <c r="O42" s="23">
        <v>3.7187500000000004</v>
      </c>
      <c r="P42" s="71">
        <v>4.8181818181818192</v>
      </c>
      <c r="Q42" s="71">
        <v>3</v>
      </c>
    </row>
    <row r="43" spans="1:17" ht="24" customHeight="1" thickBot="1">
      <c r="A43" s="82" t="s">
        <v>89</v>
      </c>
      <c r="B43" s="71">
        <v>4.4727272727272736</v>
      </c>
      <c r="C43" s="71">
        <v>4.5714285714285712</v>
      </c>
      <c r="D43" s="19">
        <v>5</v>
      </c>
      <c r="E43" s="23">
        <v>4.7678571428571423</v>
      </c>
      <c r="F43" s="71">
        <v>4.833333333333333</v>
      </c>
      <c r="G43" s="19">
        <v>4.6818181818181825</v>
      </c>
      <c r="H43" s="19">
        <v>4.5</v>
      </c>
      <c r="I43" s="19">
        <v>4.416666666666667</v>
      </c>
      <c r="J43" s="19">
        <v>4.7222222222222223</v>
      </c>
      <c r="K43" s="58" t="s">
        <v>66</v>
      </c>
      <c r="L43" s="23">
        <v>4.5</v>
      </c>
      <c r="M43" s="19">
        <v>2</v>
      </c>
      <c r="N43" s="23">
        <v>4</v>
      </c>
      <c r="O43" s="23">
        <v>3.875</v>
      </c>
      <c r="P43" s="71">
        <v>4.9090909090909092</v>
      </c>
      <c r="Q43" s="71">
        <v>2</v>
      </c>
    </row>
    <row r="44" spans="1:17" ht="24" customHeight="1">
      <c r="A44" s="8" t="s">
        <v>9</v>
      </c>
      <c r="B44" s="71">
        <v>4.4193181818181824</v>
      </c>
      <c r="C44" s="71">
        <v>4.4223901098901104</v>
      </c>
      <c r="D44" s="19">
        <v>4.958333333333333</v>
      </c>
      <c r="E44" s="23">
        <v>4.5781250000000018</v>
      </c>
      <c r="F44" s="71">
        <v>4.770833333333333</v>
      </c>
      <c r="G44" s="19">
        <v>4.6292613636363633</v>
      </c>
      <c r="H44" s="19">
        <v>4.484375</v>
      </c>
      <c r="I44" s="19">
        <v>4.3802083333333321</v>
      </c>
      <c r="J44" s="19">
        <v>4.6423611111111107</v>
      </c>
      <c r="K44" s="58" t="s">
        <v>66</v>
      </c>
      <c r="L44" s="23">
        <v>4.3348214285714288</v>
      </c>
      <c r="M44" s="19">
        <v>2.03125</v>
      </c>
      <c r="N44" s="23">
        <v>4.1875</v>
      </c>
      <c r="O44" s="23">
        <v>3.7578125000000004</v>
      </c>
      <c r="P44" s="71">
        <v>4.9034090909090908</v>
      </c>
      <c r="Q44" s="71">
        <v>4.4375</v>
      </c>
    </row>
    <row r="45" spans="1:17">
      <c r="A45" s="8" t="s">
        <v>10</v>
      </c>
      <c r="B45" s="60">
        <f t="shared" ref="B45:H45" si="1">B44*20</f>
        <v>88.386363636363654</v>
      </c>
      <c r="C45" s="60">
        <f t="shared" si="1"/>
        <v>88.447802197802204</v>
      </c>
      <c r="D45" s="60">
        <f t="shared" si="1"/>
        <v>99.166666666666657</v>
      </c>
      <c r="E45" s="60">
        <f t="shared" si="1"/>
        <v>91.562500000000028</v>
      </c>
      <c r="F45" s="60">
        <f t="shared" si="1"/>
        <v>95.416666666666657</v>
      </c>
      <c r="G45" s="60">
        <f t="shared" si="1"/>
        <v>92.585227272727266</v>
      </c>
      <c r="H45" s="60">
        <f t="shared" si="1"/>
        <v>89.6875</v>
      </c>
      <c r="I45" s="60">
        <f t="shared" ref="I45" si="2">I44*20</f>
        <v>87.604166666666643</v>
      </c>
      <c r="J45" s="60">
        <f t="shared" ref="J45" si="3">J44*20</f>
        <v>92.847222222222214</v>
      </c>
      <c r="K45" s="58" t="s">
        <v>66</v>
      </c>
      <c r="L45" s="60">
        <f>L44*20</f>
        <v>86.696428571428584</v>
      </c>
      <c r="M45" s="60">
        <f>M44*20</f>
        <v>40.625</v>
      </c>
      <c r="N45" s="60">
        <f>N44*20</f>
        <v>83.75</v>
      </c>
      <c r="O45" s="60">
        <f>O44*20</f>
        <v>75.156250000000014</v>
      </c>
      <c r="P45" s="60">
        <f t="shared" ref="P45:Q45" si="4">P44*20</f>
        <v>98.068181818181813</v>
      </c>
      <c r="Q45" s="60">
        <f t="shared" si="4"/>
        <v>88.75</v>
      </c>
    </row>
    <row r="46" spans="1:17">
      <c r="A46" s="72" t="s">
        <v>44</v>
      </c>
      <c r="B46" s="73">
        <v>94.545454545454547</v>
      </c>
      <c r="C46" s="74">
        <v>95.604395604395606</v>
      </c>
      <c r="D46" s="73">
        <v>100</v>
      </c>
      <c r="E46" s="73">
        <v>100</v>
      </c>
      <c r="F46" s="73">
        <v>100</v>
      </c>
      <c r="G46" s="73">
        <v>100</v>
      </c>
      <c r="H46" s="73">
        <v>100</v>
      </c>
      <c r="I46" s="73">
        <v>100</v>
      </c>
      <c r="J46" s="73">
        <v>94.444444444444443</v>
      </c>
      <c r="K46" s="75" t="s">
        <v>67</v>
      </c>
      <c r="L46" s="73">
        <v>100</v>
      </c>
      <c r="M46" s="73">
        <v>50</v>
      </c>
      <c r="N46" s="73">
        <v>100</v>
      </c>
      <c r="O46" s="74">
        <v>84.375</v>
      </c>
      <c r="P46" s="73">
        <v>100</v>
      </c>
      <c r="Q46" s="73">
        <v>100</v>
      </c>
    </row>
    <row r="48" spans="1:17" ht="24" customHeight="1"/>
    <row r="49" spans="1:16" s="14" customFormat="1" ht="24" customHeight="1">
      <c r="A49" s="6" t="s">
        <v>0</v>
      </c>
      <c r="B49" s="5" t="s">
        <v>46</v>
      </c>
      <c r="C49" s="5" t="s">
        <v>12</v>
      </c>
      <c r="D49" s="5" t="s">
        <v>48</v>
      </c>
      <c r="E49" s="5" t="s">
        <v>90</v>
      </c>
      <c r="F49" s="5" t="s">
        <v>14</v>
      </c>
      <c r="G49" s="5" t="s">
        <v>93</v>
      </c>
      <c r="H49" s="17" t="s">
        <v>52</v>
      </c>
      <c r="I49" s="5" t="s">
        <v>15</v>
      </c>
      <c r="J49" s="5" t="s">
        <v>16</v>
      </c>
      <c r="K49" s="5" t="s">
        <v>17</v>
      </c>
      <c r="L49" s="5" t="s">
        <v>18</v>
      </c>
      <c r="M49" s="5" t="s">
        <v>19</v>
      </c>
      <c r="N49" s="5" t="s">
        <v>47</v>
      </c>
      <c r="O49" s="5" t="s">
        <v>20</v>
      </c>
      <c r="P49" s="5" t="s">
        <v>21</v>
      </c>
    </row>
    <row r="50" spans="1:16" s="25" customFormat="1" ht="24" customHeight="1" thickBot="1">
      <c r="A50" s="8" t="s">
        <v>8</v>
      </c>
      <c r="B50" s="24">
        <v>30</v>
      </c>
      <c r="C50" s="29">
        <v>47</v>
      </c>
      <c r="D50" s="24">
        <v>14</v>
      </c>
      <c r="E50" s="24">
        <v>6</v>
      </c>
      <c r="F50" s="24">
        <v>9</v>
      </c>
      <c r="G50" s="24">
        <v>28</v>
      </c>
      <c r="H50" s="24">
        <v>3</v>
      </c>
      <c r="I50" s="24">
        <v>66</v>
      </c>
      <c r="J50" s="24">
        <v>61</v>
      </c>
      <c r="K50" s="58">
        <v>119</v>
      </c>
      <c r="L50" s="26">
        <v>46</v>
      </c>
      <c r="M50" s="27">
        <v>39</v>
      </c>
      <c r="N50" s="24">
        <v>45</v>
      </c>
      <c r="O50" s="58" t="s">
        <v>66</v>
      </c>
      <c r="P50" s="24">
        <v>35</v>
      </c>
    </row>
    <row r="51" spans="1:16" ht="24" customHeight="1" thickBot="1">
      <c r="A51" s="81" t="s">
        <v>74</v>
      </c>
      <c r="B51" s="20">
        <v>4.7666666666666675</v>
      </c>
      <c r="C51" s="30">
        <v>4.1276595744680851</v>
      </c>
      <c r="D51" s="20">
        <v>4.5714285714285721</v>
      </c>
      <c r="E51" s="20">
        <v>5</v>
      </c>
      <c r="F51" s="20">
        <v>5</v>
      </c>
      <c r="G51" s="20">
        <v>4.4642857142857144</v>
      </c>
      <c r="H51" s="20">
        <v>4</v>
      </c>
      <c r="I51" s="20">
        <v>4.3333333333333321</v>
      </c>
      <c r="J51" s="20">
        <v>4.4918032786885238</v>
      </c>
      <c r="K51" s="71">
        <v>4.6386554621848726</v>
      </c>
      <c r="L51" s="20">
        <v>4.6956521739130439</v>
      </c>
      <c r="M51" s="20">
        <v>4.6923076923076916</v>
      </c>
      <c r="N51" s="20">
        <v>4.6888888888888918</v>
      </c>
      <c r="O51" s="58" t="s">
        <v>66</v>
      </c>
      <c r="P51" s="22">
        <v>4.6571428571428575</v>
      </c>
    </row>
    <row r="52" spans="1:16" ht="24" customHeight="1" thickBot="1">
      <c r="A52" s="82" t="s">
        <v>75</v>
      </c>
      <c r="B52" s="20">
        <v>4.5999999999999996</v>
      </c>
      <c r="C52" s="30">
        <v>4.1276595744680851</v>
      </c>
      <c r="D52" s="20">
        <v>4.6428571428571432</v>
      </c>
      <c r="E52" s="20">
        <v>5</v>
      </c>
      <c r="F52" s="20">
        <v>4.7777777777777768</v>
      </c>
      <c r="G52" s="20">
        <v>4.5</v>
      </c>
      <c r="H52" s="20">
        <v>4</v>
      </c>
      <c r="I52" s="20">
        <v>4.4696969696969671</v>
      </c>
      <c r="J52" s="20">
        <v>4.4754098360655759</v>
      </c>
      <c r="K52" s="71">
        <v>4.6050420168067223</v>
      </c>
      <c r="L52" s="20">
        <v>4.5869565217391282</v>
      </c>
      <c r="M52" s="20">
        <v>4.5384615384615392</v>
      </c>
      <c r="N52" s="20">
        <v>4.5777777777777784</v>
      </c>
      <c r="O52" s="58" t="s">
        <v>66</v>
      </c>
      <c r="P52" s="22">
        <v>4.6857142857142859</v>
      </c>
    </row>
    <row r="53" spans="1:16" ht="24" customHeight="1" thickBot="1">
      <c r="A53" s="82" t="s">
        <v>76</v>
      </c>
      <c r="B53" s="20">
        <v>4.5999999999999996</v>
      </c>
      <c r="C53" s="30">
        <v>4.1063829787234054</v>
      </c>
      <c r="D53" s="20">
        <v>4.7142857142857144</v>
      </c>
      <c r="E53" s="20">
        <v>5</v>
      </c>
      <c r="F53" s="20">
        <v>4.7777777777777768</v>
      </c>
      <c r="G53" s="20">
        <v>4.5</v>
      </c>
      <c r="H53" s="20">
        <v>4</v>
      </c>
      <c r="I53" s="20">
        <v>4.454545454545455</v>
      </c>
      <c r="J53" s="20">
        <v>4.4918032786885256</v>
      </c>
      <c r="K53" s="71">
        <v>4.6050420168067205</v>
      </c>
      <c r="L53" s="20">
        <v>4.5869565217391308</v>
      </c>
      <c r="M53" s="20">
        <v>4.5897435897435894</v>
      </c>
      <c r="N53" s="20">
        <v>4.5777777777777775</v>
      </c>
      <c r="O53" s="58" t="s">
        <v>66</v>
      </c>
      <c r="P53" s="22">
        <v>4.6857142857142859</v>
      </c>
    </row>
    <row r="54" spans="1:16" ht="24" customHeight="1" thickBot="1">
      <c r="A54" s="82" t="s">
        <v>77</v>
      </c>
      <c r="B54" s="20">
        <v>4.5000000000000009</v>
      </c>
      <c r="C54" s="30">
        <v>4.0851063829787231</v>
      </c>
      <c r="D54" s="20">
        <v>4.7142857142857144</v>
      </c>
      <c r="E54" s="20">
        <v>5</v>
      </c>
      <c r="F54" s="20">
        <v>4.8888888888888893</v>
      </c>
      <c r="G54" s="20">
        <v>4.3571428571428577</v>
      </c>
      <c r="H54" s="20">
        <v>4</v>
      </c>
      <c r="I54" s="20">
        <v>4.4393939393939377</v>
      </c>
      <c r="J54" s="20">
        <v>4.5245901639344268</v>
      </c>
      <c r="K54" s="71">
        <v>4.6470588235294112</v>
      </c>
      <c r="L54" s="20">
        <v>4.4782608695652177</v>
      </c>
      <c r="M54" s="20">
        <v>4.5897435897435894</v>
      </c>
      <c r="N54" s="20">
        <v>4.6000000000000005</v>
      </c>
      <c r="O54" s="58" t="s">
        <v>66</v>
      </c>
      <c r="P54" s="22">
        <v>4.7428571428571438</v>
      </c>
    </row>
    <row r="55" spans="1:16" ht="24" customHeight="1" thickBot="1">
      <c r="A55" s="82" t="s">
        <v>78</v>
      </c>
      <c r="B55" s="20">
        <v>4.5999999999999996</v>
      </c>
      <c r="C55" s="30">
        <v>4.1063829787234054</v>
      </c>
      <c r="D55" s="20">
        <v>4.7142857142857144</v>
      </c>
      <c r="E55" s="20">
        <v>5</v>
      </c>
      <c r="F55" s="20">
        <v>5</v>
      </c>
      <c r="G55" s="20">
        <v>4.3928571428571423</v>
      </c>
      <c r="H55" s="20">
        <v>4.333333333333333</v>
      </c>
      <c r="I55" s="20">
        <v>4.3181818181818183</v>
      </c>
      <c r="J55" s="20">
        <v>4.4918032786885247</v>
      </c>
      <c r="K55" s="71">
        <v>4.6302521008403348</v>
      </c>
      <c r="L55" s="20">
        <v>4.5434782608695654</v>
      </c>
      <c r="M55" s="20">
        <v>4.4615384615384608</v>
      </c>
      <c r="N55" s="20">
        <v>4.5111111111111128</v>
      </c>
      <c r="O55" s="58" t="s">
        <v>66</v>
      </c>
      <c r="P55" s="22">
        <v>4.5999999999999996</v>
      </c>
    </row>
    <row r="56" spans="1:16" ht="24" customHeight="1" thickBot="1">
      <c r="A56" s="82" t="s">
        <v>79</v>
      </c>
      <c r="B56" s="20">
        <v>4.5666666666666664</v>
      </c>
      <c r="C56" s="30">
        <v>4.1063829787234054</v>
      </c>
      <c r="D56" s="20">
        <v>4.6428571428571432</v>
      </c>
      <c r="E56" s="20">
        <v>5</v>
      </c>
      <c r="F56" s="20">
        <v>5</v>
      </c>
      <c r="G56" s="20">
        <v>4.428571428571427</v>
      </c>
      <c r="H56" s="20">
        <v>4.333333333333333</v>
      </c>
      <c r="I56" s="20">
        <v>4.5000000000000009</v>
      </c>
      <c r="J56" s="20">
        <v>4.4426229508196728</v>
      </c>
      <c r="K56" s="71">
        <v>4.6218487394957988</v>
      </c>
      <c r="L56" s="20">
        <v>4.5869565217391317</v>
      </c>
      <c r="M56" s="20">
        <v>4.4358974358974352</v>
      </c>
      <c r="N56" s="20">
        <v>4.533333333333335</v>
      </c>
      <c r="O56" s="58" t="s">
        <v>66</v>
      </c>
      <c r="P56" s="22">
        <v>4.6285714285714299</v>
      </c>
    </row>
    <row r="57" spans="1:16" ht="24" customHeight="1" thickBot="1">
      <c r="A57" s="82" t="s">
        <v>80</v>
      </c>
      <c r="B57" s="20">
        <v>4.7666666666666675</v>
      </c>
      <c r="C57" s="30">
        <v>4.0851063829787222</v>
      </c>
      <c r="D57" s="20">
        <v>4.7142857142857144</v>
      </c>
      <c r="E57" s="20">
        <v>5</v>
      </c>
      <c r="F57" s="20">
        <v>4.8888888888888893</v>
      </c>
      <c r="G57" s="20">
        <v>4.5357142857142856</v>
      </c>
      <c r="H57" s="20">
        <v>4.333333333333333</v>
      </c>
      <c r="I57" s="20">
        <v>4.5151515151515147</v>
      </c>
      <c r="J57" s="20">
        <v>4.6065573770491817</v>
      </c>
      <c r="K57" s="71">
        <v>4.7058823529411766</v>
      </c>
      <c r="L57" s="20">
        <v>4.608695652173914</v>
      </c>
      <c r="M57" s="20">
        <v>4.6666666666666687</v>
      </c>
      <c r="N57" s="20">
        <v>4.68888888888889</v>
      </c>
      <c r="O57" s="58" t="s">
        <v>66</v>
      </c>
      <c r="P57" s="22">
        <v>4.6857142857142868</v>
      </c>
    </row>
    <row r="58" spans="1:16" ht="24" customHeight="1" thickBot="1">
      <c r="A58" s="82" t="s">
        <v>81</v>
      </c>
      <c r="B58" s="20">
        <v>4.6000000000000005</v>
      </c>
      <c r="C58" s="30">
        <v>4.0851063829787231</v>
      </c>
      <c r="D58" s="20">
        <v>4.6428571428571432</v>
      </c>
      <c r="E58" s="20">
        <v>4.833333333333333</v>
      </c>
      <c r="F58" s="20">
        <v>4.666666666666667</v>
      </c>
      <c r="G58" s="20">
        <v>4.3928571428571423</v>
      </c>
      <c r="H58" s="20">
        <v>4.333333333333333</v>
      </c>
      <c r="I58" s="20">
        <v>4.3939393939393945</v>
      </c>
      <c r="J58" s="20">
        <v>4.475409836065575</v>
      </c>
      <c r="K58" s="71">
        <v>4.6302521008403357</v>
      </c>
      <c r="L58" s="20">
        <v>4.5869565217391308</v>
      </c>
      <c r="M58" s="20">
        <v>4.4615384615384608</v>
      </c>
      <c r="N58" s="20">
        <v>4.4888888888888898</v>
      </c>
      <c r="O58" s="58" t="s">
        <v>66</v>
      </c>
      <c r="P58" s="22">
        <v>4.628571428571429</v>
      </c>
    </row>
    <row r="59" spans="1:16" ht="24" customHeight="1" thickBot="1">
      <c r="A59" s="82" t="s">
        <v>82</v>
      </c>
      <c r="B59" s="20">
        <v>4.6333333333333337</v>
      </c>
      <c r="C59" s="30">
        <v>4.1276595744680851</v>
      </c>
      <c r="D59" s="20">
        <v>4.6428571428571432</v>
      </c>
      <c r="E59" s="20">
        <v>5</v>
      </c>
      <c r="F59" s="20">
        <v>5</v>
      </c>
      <c r="G59" s="20">
        <v>4.5714285714285712</v>
      </c>
      <c r="H59" s="20">
        <v>4</v>
      </c>
      <c r="I59" s="20">
        <v>4.4696969696969688</v>
      </c>
      <c r="J59" s="20">
        <v>4.5737704918032795</v>
      </c>
      <c r="K59" s="71">
        <v>4.7142857142857135</v>
      </c>
      <c r="L59" s="20">
        <v>4.6521739130434785</v>
      </c>
      <c r="M59" s="20">
        <v>4.6410256410256423</v>
      </c>
      <c r="N59" s="20">
        <v>4.666666666666667</v>
      </c>
      <c r="O59" s="58" t="s">
        <v>66</v>
      </c>
      <c r="P59" s="22">
        <v>4.6571428571428575</v>
      </c>
    </row>
    <row r="60" spans="1:16" ht="24" customHeight="1" thickBot="1">
      <c r="A60" s="82" t="s">
        <v>83</v>
      </c>
      <c r="B60" s="20">
        <v>4.7666666666666684</v>
      </c>
      <c r="C60" s="30">
        <v>4.1914893617021285</v>
      </c>
      <c r="D60" s="20">
        <v>4.6428571428571432</v>
      </c>
      <c r="E60" s="20">
        <v>5</v>
      </c>
      <c r="F60" s="20">
        <v>5</v>
      </c>
      <c r="G60" s="20">
        <v>4.3928571428571423</v>
      </c>
      <c r="H60" s="20">
        <v>4.333333333333333</v>
      </c>
      <c r="I60" s="20">
        <v>4.4242424242424239</v>
      </c>
      <c r="J60" s="20">
        <v>4.4590163934426252</v>
      </c>
      <c r="K60" s="71">
        <v>4.6470588235294148</v>
      </c>
      <c r="L60" s="20">
        <v>4.6521739130434785</v>
      </c>
      <c r="M60" s="20">
        <v>4.5641025641025639</v>
      </c>
      <c r="N60" s="20">
        <v>4.5777777777777775</v>
      </c>
      <c r="O60" s="58" t="s">
        <v>66</v>
      </c>
      <c r="P60" s="22">
        <v>4.6571428571428584</v>
      </c>
    </row>
    <row r="61" spans="1:16" ht="24" customHeight="1" thickBot="1">
      <c r="A61" s="82" t="s">
        <v>84</v>
      </c>
      <c r="B61" s="20">
        <v>4.7666666666666684</v>
      </c>
      <c r="C61" s="30">
        <v>4.0851063829787231</v>
      </c>
      <c r="D61" s="20">
        <v>4.5714285714285721</v>
      </c>
      <c r="E61" s="20">
        <v>5</v>
      </c>
      <c r="F61" s="20">
        <v>5</v>
      </c>
      <c r="G61" s="20">
        <v>4.4642857142857135</v>
      </c>
      <c r="H61" s="20">
        <v>4.333333333333333</v>
      </c>
      <c r="I61" s="20">
        <v>4.4848484848484862</v>
      </c>
      <c r="J61" s="20">
        <v>4.5409836065573783</v>
      </c>
      <c r="K61" s="71">
        <v>4.6638655462184886</v>
      </c>
      <c r="L61" s="20">
        <v>4.6521739130434776</v>
      </c>
      <c r="M61" s="20">
        <v>4.6666666666666679</v>
      </c>
      <c r="N61" s="20">
        <v>4.7333333333333343</v>
      </c>
      <c r="O61" s="58" t="s">
        <v>66</v>
      </c>
      <c r="P61" s="22">
        <v>4.6571428571428584</v>
      </c>
    </row>
    <row r="62" spans="1:16" ht="24" customHeight="1" thickBot="1">
      <c r="A62" s="82" t="s">
        <v>85</v>
      </c>
      <c r="B62" s="20">
        <v>4.7333333333333343</v>
      </c>
      <c r="C62" s="30">
        <v>4.0851063829787231</v>
      </c>
      <c r="D62" s="20">
        <v>4.6428571428571432</v>
      </c>
      <c r="E62" s="20">
        <v>5</v>
      </c>
      <c r="F62" s="20">
        <v>4.8888888888888893</v>
      </c>
      <c r="G62" s="20">
        <v>4.3928571428571423</v>
      </c>
      <c r="H62" s="20">
        <v>4.333333333333333</v>
      </c>
      <c r="I62" s="20">
        <v>4.5000000000000009</v>
      </c>
      <c r="J62" s="20">
        <v>4.3770491803278695</v>
      </c>
      <c r="K62" s="71">
        <v>4.6470588235294112</v>
      </c>
      <c r="L62" s="20">
        <v>4.6521739130434794</v>
      </c>
      <c r="M62" s="20">
        <v>4.615384615384615</v>
      </c>
      <c r="N62" s="20">
        <v>4.6000000000000014</v>
      </c>
      <c r="O62" s="58" t="s">
        <v>66</v>
      </c>
      <c r="P62" s="22">
        <v>4.7714285714285722</v>
      </c>
    </row>
    <row r="63" spans="1:16" ht="24" customHeight="1" thickBot="1">
      <c r="A63" s="82" t="s">
        <v>86</v>
      </c>
      <c r="B63" s="20">
        <v>4.6333333333333346</v>
      </c>
      <c r="C63" s="30">
        <v>4.0212765957446797</v>
      </c>
      <c r="D63" s="20">
        <v>4.7142857142857144</v>
      </c>
      <c r="E63" s="20">
        <v>5</v>
      </c>
      <c r="F63" s="20">
        <v>4.8888888888888893</v>
      </c>
      <c r="G63" s="20">
        <v>4.3571428571428577</v>
      </c>
      <c r="H63" s="20">
        <v>4</v>
      </c>
      <c r="I63" s="20">
        <v>4.4696969696969697</v>
      </c>
      <c r="J63" s="20">
        <v>4.4262295081967205</v>
      </c>
      <c r="K63" s="71">
        <v>4.6554621848739508</v>
      </c>
      <c r="L63" s="20">
        <v>4.6086956521739122</v>
      </c>
      <c r="M63" s="20">
        <v>4.5897435897435903</v>
      </c>
      <c r="N63" s="20">
        <v>4.5555555555555571</v>
      </c>
      <c r="O63" s="58" t="s">
        <v>66</v>
      </c>
      <c r="P63" s="22">
        <v>4.7142857142857153</v>
      </c>
    </row>
    <row r="64" spans="1:16" ht="24" customHeight="1" thickBot="1">
      <c r="A64" s="82" t="s">
        <v>87</v>
      </c>
      <c r="B64" s="20">
        <v>4.7333333333333343</v>
      </c>
      <c r="C64" s="30">
        <v>4.1276595744680851</v>
      </c>
      <c r="D64" s="20">
        <v>4.6428571428571432</v>
      </c>
      <c r="E64" s="20">
        <v>5</v>
      </c>
      <c r="F64" s="20">
        <v>4.8888888888888893</v>
      </c>
      <c r="G64" s="20">
        <v>4.3928571428571423</v>
      </c>
      <c r="H64" s="20">
        <v>4.333333333333333</v>
      </c>
      <c r="I64" s="20">
        <v>4.5303030303030329</v>
      </c>
      <c r="J64" s="20">
        <v>4.475409836065575</v>
      </c>
      <c r="K64" s="71">
        <v>4.6722689075630246</v>
      </c>
      <c r="L64" s="20">
        <v>4.608695652173914</v>
      </c>
      <c r="M64" s="20">
        <v>4.5128205128205119</v>
      </c>
      <c r="N64" s="20">
        <v>4.6222222222222227</v>
      </c>
      <c r="O64" s="58" t="s">
        <v>66</v>
      </c>
      <c r="P64" s="22">
        <v>4.7714285714285714</v>
      </c>
    </row>
    <row r="65" spans="1:16" ht="24" customHeight="1" thickBot="1">
      <c r="A65" s="82" t="s">
        <v>88</v>
      </c>
      <c r="B65" s="20">
        <v>4.6000000000000005</v>
      </c>
      <c r="C65" s="30">
        <v>4.1276595744680851</v>
      </c>
      <c r="D65" s="20">
        <v>4.7142857142857144</v>
      </c>
      <c r="E65" s="20">
        <v>5</v>
      </c>
      <c r="F65" s="20">
        <v>4.8888888888888893</v>
      </c>
      <c r="G65" s="20">
        <v>4.4642857142857153</v>
      </c>
      <c r="H65" s="20">
        <v>4</v>
      </c>
      <c r="I65" s="20">
        <v>4.5151515151515156</v>
      </c>
      <c r="J65" s="20">
        <v>4.5409836065573774</v>
      </c>
      <c r="K65" s="71">
        <v>4.663865546218485</v>
      </c>
      <c r="L65" s="20">
        <v>4.6304347826086962</v>
      </c>
      <c r="M65" s="20">
        <v>4.4871794871794863</v>
      </c>
      <c r="N65" s="20">
        <v>4.6000000000000005</v>
      </c>
      <c r="O65" s="58" t="s">
        <v>66</v>
      </c>
      <c r="P65" s="22">
        <v>4.7714285714285722</v>
      </c>
    </row>
    <row r="66" spans="1:16" ht="24" customHeight="1" thickBot="1">
      <c r="A66" s="82" t="s">
        <v>89</v>
      </c>
      <c r="B66" s="20">
        <v>4.6333333333333337</v>
      </c>
      <c r="C66" s="30">
        <v>4.1489361702127674</v>
      </c>
      <c r="D66" s="20">
        <v>4.7142857142857144</v>
      </c>
      <c r="E66" s="20">
        <v>5</v>
      </c>
      <c r="F66" s="20">
        <v>4.8888888888888893</v>
      </c>
      <c r="G66" s="20">
        <v>4.5</v>
      </c>
      <c r="H66" s="20">
        <v>4.333333333333333</v>
      </c>
      <c r="I66" s="20">
        <v>4.5151515151515138</v>
      </c>
      <c r="J66" s="20">
        <v>4.5901639344262302</v>
      </c>
      <c r="K66" s="71">
        <v>4.6806722689075633</v>
      </c>
      <c r="L66" s="20">
        <v>4.6521739130434785</v>
      </c>
      <c r="M66" s="20">
        <v>4.717948717948719</v>
      </c>
      <c r="N66" s="20">
        <v>4.7333333333333352</v>
      </c>
      <c r="O66" s="58" t="s">
        <v>66</v>
      </c>
      <c r="P66" s="22">
        <v>4.7714285714285722</v>
      </c>
    </row>
    <row r="67" spans="1:16" ht="24" customHeight="1">
      <c r="A67" s="8" t="s">
        <v>9</v>
      </c>
      <c r="B67" s="20">
        <v>4.6562500000000009</v>
      </c>
      <c r="C67" s="70">
        <v>4.1090425531914887</v>
      </c>
      <c r="D67" s="20">
        <v>4.6651785714285721</v>
      </c>
      <c r="E67" s="20">
        <v>4.989583333333333</v>
      </c>
      <c r="F67" s="20">
        <v>4.9027777777777777</v>
      </c>
      <c r="G67" s="20">
        <v>4.4441964285714279</v>
      </c>
      <c r="H67" s="20">
        <v>4.1875</v>
      </c>
      <c r="I67" s="20">
        <v>4.4583333333333339</v>
      </c>
      <c r="J67" s="20">
        <v>4.4989754098360653</v>
      </c>
      <c r="K67" s="71">
        <v>4.6517857142857126</v>
      </c>
      <c r="L67" s="20">
        <v>4.6114130434782608</v>
      </c>
      <c r="M67" s="20">
        <v>4.5769230769230758</v>
      </c>
      <c r="N67" s="20">
        <v>4.6097222222222234</v>
      </c>
      <c r="O67" s="58" t="s">
        <v>66</v>
      </c>
      <c r="P67" s="22">
        <v>4.6928571428571431</v>
      </c>
    </row>
    <row r="68" spans="1:16">
      <c r="A68" s="8" t="s">
        <v>10</v>
      </c>
      <c r="B68" s="60">
        <f t="shared" ref="B68:D68" si="5">B67*20</f>
        <v>93.125000000000014</v>
      </c>
      <c r="C68" s="60">
        <f t="shared" si="5"/>
        <v>82.180851063829778</v>
      </c>
      <c r="D68" s="60">
        <f t="shared" si="5"/>
        <v>93.303571428571445</v>
      </c>
      <c r="E68" s="60">
        <f t="shared" ref="E68" si="6">E67*20</f>
        <v>99.791666666666657</v>
      </c>
      <c r="F68" s="60">
        <f t="shared" ref="F68:N68" si="7">F67*20</f>
        <v>98.055555555555557</v>
      </c>
      <c r="G68" s="60">
        <f t="shared" si="7"/>
        <v>88.883928571428555</v>
      </c>
      <c r="H68" s="60">
        <f>H67*20</f>
        <v>83.75</v>
      </c>
      <c r="I68" s="60">
        <f t="shared" si="7"/>
        <v>89.166666666666686</v>
      </c>
      <c r="J68" s="60">
        <f t="shared" si="7"/>
        <v>89.979508196721298</v>
      </c>
      <c r="K68" s="60">
        <f t="shared" si="7"/>
        <v>93.035714285714249</v>
      </c>
      <c r="L68" s="60">
        <f t="shared" si="7"/>
        <v>92.228260869565219</v>
      </c>
      <c r="M68" s="60">
        <f t="shared" si="7"/>
        <v>91.538461538461519</v>
      </c>
      <c r="N68" s="60">
        <f t="shared" si="7"/>
        <v>92.194444444444471</v>
      </c>
      <c r="O68" s="58" t="s">
        <v>66</v>
      </c>
      <c r="P68" s="60">
        <f>P67*20</f>
        <v>93.857142857142861</v>
      </c>
    </row>
    <row r="69" spans="1:16">
      <c r="A69" s="16" t="s">
        <v>44</v>
      </c>
      <c r="B69" s="59">
        <v>90</v>
      </c>
      <c r="C69" s="59">
        <v>97.872340425531917</v>
      </c>
      <c r="D69" s="59">
        <v>78.571428571428569</v>
      </c>
      <c r="E69" s="59">
        <v>100</v>
      </c>
      <c r="F69" s="59">
        <v>88.888888888888886</v>
      </c>
      <c r="G69" s="59">
        <v>85.714285714285708</v>
      </c>
      <c r="H69" s="59">
        <v>100</v>
      </c>
      <c r="I69" s="59">
        <v>83.333333333333329</v>
      </c>
      <c r="J69" s="61">
        <v>93.442622950819668</v>
      </c>
      <c r="K69" s="21">
        <v>93.277310924369743</v>
      </c>
      <c r="L69" s="59">
        <v>82.608695652173907</v>
      </c>
      <c r="M69" s="59">
        <v>92.307692307692307</v>
      </c>
      <c r="N69" s="59">
        <v>82.222222222222229</v>
      </c>
      <c r="O69" s="75" t="s">
        <v>67</v>
      </c>
      <c r="P69" s="59">
        <v>85.714285714285708</v>
      </c>
    </row>
    <row r="71" spans="1:16" ht="24" customHeight="1"/>
    <row r="72" spans="1:16" s="14" customFormat="1" ht="24" customHeight="1">
      <c r="A72" s="7" t="s">
        <v>0</v>
      </c>
      <c r="B72" s="5" t="s">
        <v>91</v>
      </c>
      <c r="C72" s="5" t="s">
        <v>92</v>
      </c>
      <c r="D72" s="5" t="s">
        <v>22</v>
      </c>
      <c r="E72" s="5" t="s">
        <v>23</v>
      </c>
      <c r="F72" s="5" t="s">
        <v>24</v>
      </c>
      <c r="G72" s="9" t="s">
        <v>25</v>
      </c>
      <c r="H72" s="5" t="s">
        <v>26</v>
      </c>
      <c r="I72" s="5" t="s">
        <v>27</v>
      </c>
      <c r="J72" s="5" t="s">
        <v>28</v>
      </c>
      <c r="K72" s="5" t="s">
        <v>29</v>
      </c>
      <c r="L72" s="5" t="s">
        <v>30</v>
      </c>
      <c r="M72" s="5" t="s">
        <v>31</v>
      </c>
      <c r="N72" s="5" t="s">
        <v>32</v>
      </c>
      <c r="O72" s="5" t="s">
        <v>13</v>
      </c>
      <c r="P72" s="5" t="s">
        <v>64</v>
      </c>
    </row>
    <row r="73" spans="1:16" s="25" customFormat="1" ht="24" customHeight="1" thickBot="1">
      <c r="A73" s="8" t="s">
        <v>8</v>
      </c>
      <c r="B73" s="24">
        <v>16</v>
      </c>
      <c r="C73" s="24">
        <v>54</v>
      </c>
      <c r="D73" s="24">
        <v>24</v>
      </c>
      <c r="E73" s="24">
        <v>15</v>
      </c>
      <c r="F73" s="24">
        <v>51</v>
      </c>
      <c r="G73" s="24">
        <v>32</v>
      </c>
      <c r="H73" s="24">
        <v>68</v>
      </c>
      <c r="I73" s="24">
        <v>63</v>
      </c>
      <c r="J73" s="24">
        <v>98</v>
      </c>
      <c r="K73" s="24">
        <v>59</v>
      </c>
      <c r="L73" s="24">
        <v>61</v>
      </c>
      <c r="M73" s="58" t="s">
        <v>66</v>
      </c>
      <c r="N73" s="58">
        <v>84</v>
      </c>
      <c r="O73" s="18">
        <v>17</v>
      </c>
      <c r="P73" s="58" t="s">
        <v>66</v>
      </c>
    </row>
    <row r="74" spans="1:16" ht="24" customHeight="1" thickBot="1">
      <c r="A74" s="81" t="s">
        <v>74</v>
      </c>
      <c r="B74" s="20">
        <v>4.125</v>
      </c>
      <c r="C74" s="20">
        <v>4.5555555555555571</v>
      </c>
      <c r="D74" s="20">
        <v>4.6250000000000009</v>
      </c>
      <c r="E74" s="20">
        <v>4.333333333333333</v>
      </c>
      <c r="F74" s="20">
        <v>4.7254901960784323</v>
      </c>
      <c r="G74" s="20">
        <v>4.53125</v>
      </c>
      <c r="H74" s="20">
        <v>4.5882352941176467</v>
      </c>
      <c r="I74" s="20">
        <v>4.4444444444444464</v>
      </c>
      <c r="J74" s="20">
        <v>4.6326530612244889</v>
      </c>
      <c r="K74" s="20">
        <v>4.7118644067796609</v>
      </c>
      <c r="L74" s="20">
        <v>4.6229508196721296</v>
      </c>
      <c r="M74" s="58" t="s">
        <v>66</v>
      </c>
      <c r="N74" s="20">
        <v>4.5833333333333321</v>
      </c>
      <c r="O74" s="20">
        <v>4.5882352941176459</v>
      </c>
      <c r="P74" s="58" t="s">
        <v>66</v>
      </c>
    </row>
    <row r="75" spans="1:16" ht="24" customHeight="1" thickBot="1">
      <c r="A75" s="82" t="s">
        <v>75</v>
      </c>
      <c r="B75" s="20">
        <v>4.1250000000000009</v>
      </c>
      <c r="C75" s="20">
        <v>4.481481481481481</v>
      </c>
      <c r="D75" s="20">
        <v>4.6666666666666679</v>
      </c>
      <c r="E75" s="20">
        <v>4.333333333333333</v>
      </c>
      <c r="F75" s="20">
        <v>4.6078431372549025</v>
      </c>
      <c r="G75" s="20">
        <v>4.5937499999999991</v>
      </c>
      <c r="H75" s="20">
        <v>4.5000000000000018</v>
      </c>
      <c r="I75" s="20">
        <v>4.4603174603174605</v>
      </c>
      <c r="J75" s="20">
        <v>4.6122448979591839</v>
      </c>
      <c r="K75" s="20">
        <v>4.6949152542372863</v>
      </c>
      <c r="L75" s="20">
        <v>4.5901639344262311</v>
      </c>
      <c r="M75" s="58" t="s">
        <v>66</v>
      </c>
      <c r="N75" s="20">
        <v>4.5595238095238102</v>
      </c>
      <c r="O75" s="20">
        <v>4.5294117647058822</v>
      </c>
      <c r="P75" s="58" t="s">
        <v>66</v>
      </c>
    </row>
    <row r="76" spans="1:16" ht="24" customHeight="1" thickBot="1">
      <c r="A76" s="82" t="s">
        <v>76</v>
      </c>
      <c r="B76" s="20">
        <v>4.1875000000000009</v>
      </c>
      <c r="C76" s="20">
        <v>4.3888888888888893</v>
      </c>
      <c r="D76" s="20">
        <v>4.625</v>
      </c>
      <c r="E76" s="20">
        <v>4.4666666666666668</v>
      </c>
      <c r="F76" s="20">
        <v>4.68627450980392</v>
      </c>
      <c r="G76" s="20">
        <v>4.625</v>
      </c>
      <c r="H76" s="20">
        <v>4.4411764705882373</v>
      </c>
      <c r="I76" s="20">
        <v>4.4285714285714279</v>
      </c>
      <c r="J76" s="20">
        <v>4.5918367346938771</v>
      </c>
      <c r="K76" s="20">
        <v>4.6949152542372863</v>
      </c>
      <c r="L76" s="20">
        <v>4.6065573770491808</v>
      </c>
      <c r="M76" s="58" t="s">
        <v>66</v>
      </c>
      <c r="N76" s="20">
        <v>4.53571428571429</v>
      </c>
      <c r="O76" s="20">
        <v>4.4705882352941169</v>
      </c>
      <c r="P76" s="58" t="s">
        <v>66</v>
      </c>
    </row>
    <row r="77" spans="1:16" ht="24" customHeight="1" thickBot="1">
      <c r="A77" s="82" t="s">
        <v>77</v>
      </c>
      <c r="B77" s="20">
        <v>4.0625</v>
      </c>
      <c r="C77" s="20">
        <v>4.4074074074074074</v>
      </c>
      <c r="D77" s="20">
        <v>4.5000000000000018</v>
      </c>
      <c r="E77" s="20">
        <v>4.4000000000000004</v>
      </c>
      <c r="F77" s="20">
        <v>4.6274509803921546</v>
      </c>
      <c r="G77" s="20">
        <v>4.53125</v>
      </c>
      <c r="H77" s="20">
        <v>4.4852941176470598</v>
      </c>
      <c r="I77" s="20">
        <v>4.4603174603174613</v>
      </c>
      <c r="J77" s="20">
        <v>4.5918367346938762</v>
      </c>
      <c r="K77" s="20">
        <v>4.6610169491525433</v>
      </c>
      <c r="L77" s="20">
        <v>4.5737704918032804</v>
      </c>
      <c r="M77" s="58" t="s">
        <v>66</v>
      </c>
      <c r="N77" s="20">
        <v>4.5595238095238102</v>
      </c>
      <c r="O77" s="20">
        <v>4.5882352941176467</v>
      </c>
      <c r="P77" s="58" t="s">
        <v>66</v>
      </c>
    </row>
    <row r="78" spans="1:16" ht="24" customHeight="1" thickBot="1">
      <c r="A78" s="82" t="s">
        <v>78</v>
      </c>
      <c r="B78" s="20">
        <v>4.3125</v>
      </c>
      <c r="C78" s="20">
        <v>4.5185185185185182</v>
      </c>
      <c r="D78" s="20">
        <v>4.5833333333333339</v>
      </c>
      <c r="E78" s="20">
        <v>4.333333333333333</v>
      </c>
      <c r="F78" s="20">
        <v>4.6078431372549025</v>
      </c>
      <c r="G78" s="20">
        <v>4.5625</v>
      </c>
      <c r="H78" s="20">
        <v>4.4705882352941195</v>
      </c>
      <c r="I78" s="20">
        <v>4.3968253968253963</v>
      </c>
      <c r="J78" s="20">
        <v>4.5816326530612237</v>
      </c>
      <c r="K78" s="20">
        <v>4.6271186440677949</v>
      </c>
      <c r="L78" s="20">
        <v>4.5573770491803289</v>
      </c>
      <c r="M78" s="58" t="s">
        <v>66</v>
      </c>
      <c r="N78" s="20">
        <v>4.5595238095238102</v>
      </c>
      <c r="O78" s="20">
        <v>4.6470588235294121</v>
      </c>
      <c r="P78" s="58" t="s">
        <v>66</v>
      </c>
    </row>
    <row r="79" spans="1:16" ht="24" customHeight="1" thickBot="1">
      <c r="A79" s="82" t="s">
        <v>79</v>
      </c>
      <c r="B79" s="20">
        <v>4.25</v>
      </c>
      <c r="C79" s="20">
        <v>4.518518518518519</v>
      </c>
      <c r="D79" s="20">
        <v>4.6250000000000009</v>
      </c>
      <c r="E79" s="20">
        <v>4.1999999999999993</v>
      </c>
      <c r="F79" s="20">
        <v>4.5490196078431362</v>
      </c>
      <c r="G79" s="20">
        <v>4.5624999999999991</v>
      </c>
      <c r="H79" s="20">
        <v>4.4558823529411793</v>
      </c>
      <c r="I79" s="20">
        <v>4.5079365079365088</v>
      </c>
      <c r="J79" s="20">
        <v>4.5306122448979611</v>
      </c>
      <c r="K79" s="20">
        <v>4.7118644067796609</v>
      </c>
      <c r="L79" s="20">
        <v>4.5573770491803289</v>
      </c>
      <c r="M79" s="58" t="s">
        <v>66</v>
      </c>
      <c r="N79" s="20">
        <v>4.5833333333333321</v>
      </c>
      <c r="O79" s="20">
        <v>4.7058823529411766</v>
      </c>
      <c r="P79" s="58" t="s">
        <v>66</v>
      </c>
    </row>
    <row r="80" spans="1:16" ht="24" customHeight="1" thickBot="1">
      <c r="A80" s="82" t="s">
        <v>80</v>
      </c>
      <c r="B80" s="20">
        <v>4.2500000000000009</v>
      </c>
      <c r="C80" s="20">
        <v>4.6481481481481488</v>
      </c>
      <c r="D80" s="20">
        <v>4.708333333333333</v>
      </c>
      <c r="E80" s="20">
        <v>4.333333333333333</v>
      </c>
      <c r="F80" s="20">
        <v>4.6666666666666679</v>
      </c>
      <c r="G80" s="20">
        <v>4.6875000000000009</v>
      </c>
      <c r="H80" s="20">
        <v>4.5588235294117672</v>
      </c>
      <c r="I80" s="20">
        <v>4.555555555555558</v>
      </c>
      <c r="J80" s="20">
        <v>4.6326530612244881</v>
      </c>
      <c r="K80" s="20">
        <v>4.6949152542372863</v>
      </c>
      <c r="L80" s="20">
        <v>4.6229508196721314</v>
      </c>
      <c r="M80" s="58" t="s">
        <v>66</v>
      </c>
      <c r="N80" s="20">
        <v>4.6428571428571441</v>
      </c>
      <c r="O80" s="20">
        <v>4.7647058823529402</v>
      </c>
      <c r="P80" s="58" t="s">
        <v>66</v>
      </c>
    </row>
    <row r="81" spans="1:16" ht="24" customHeight="1" thickBot="1">
      <c r="A81" s="82" t="s">
        <v>81</v>
      </c>
      <c r="B81" s="20">
        <v>4.3125</v>
      </c>
      <c r="C81" s="20">
        <v>4.4444444444444455</v>
      </c>
      <c r="D81" s="20">
        <v>4.5000000000000009</v>
      </c>
      <c r="E81" s="20">
        <v>4.4000000000000004</v>
      </c>
      <c r="F81" s="20">
        <v>4.5490196078431371</v>
      </c>
      <c r="G81" s="20">
        <v>4.59375</v>
      </c>
      <c r="H81" s="20">
        <v>4.4117647058823533</v>
      </c>
      <c r="I81" s="20">
        <v>4.412698412698413</v>
      </c>
      <c r="J81" s="20">
        <v>4.5612244897959133</v>
      </c>
      <c r="K81" s="20">
        <v>4.6779661016949152</v>
      </c>
      <c r="L81" s="20">
        <v>4.5409836065573783</v>
      </c>
      <c r="M81" s="58" t="s">
        <v>66</v>
      </c>
      <c r="N81" s="20">
        <v>4.5833333333333321</v>
      </c>
      <c r="O81" s="20">
        <v>4.7058823529411766</v>
      </c>
      <c r="P81" s="58" t="s">
        <v>66</v>
      </c>
    </row>
    <row r="82" spans="1:16" ht="24" customHeight="1" thickBot="1">
      <c r="A82" s="82" t="s">
        <v>82</v>
      </c>
      <c r="B82" s="20">
        <v>4.3125</v>
      </c>
      <c r="C82" s="20">
        <v>4.6851851851851842</v>
      </c>
      <c r="D82" s="20">
        <v>4.666666666666667</v>
      </c>
      <c r="E82" s="20">
        <v>4.3999999999999995</v>
      </c>
      <c r="F82" s="20">
        <v>4.6470588235294121</v>
      </c>
      <c r="G82" s="20">
        <v>4.6875000000000009</v>
      </c>
      <c r="H82" s="20">
        <v>4.514705882352942</v>
      </c>
      <c r="I82" s="20">
        <v>4.507936507936507</v>
      </c>
      <c r="J82" s="20">
        <v>4.6224489795918364</v>
      </c>
      <c r="K82" s="20">
        <v>4.6949152542372872</v>
      </c>
      <c r="L82" s="20">
        <v>4.6557377049180335</v>
      </c>
      <c r="M82" s="58" t="s">
        <v>66</v>
      </c>
      <c r="N82" s="20">
        <v>4.6666666666666679</v>
      </c>
      <c r="O82" s="20">
        <v>4.8235294117647056</v>
      </c>
      <c r="P82" s="58" t="s">
        <v>66</v>
      </c>
    </row>
    <row r="83" spans="1:16" ht="24" customHeight="1" thickBot="1">
      <c r="A83" s="82" t="s">
        <v>83</v>
      </c>
      <c r="B83" s="20">
        <v>4.2500000000000009</v>
      </c>
      <c r="C83" s="20">
        <v>4.5555555555555554</v>
      </c>
      <c r="D83" s="20">
        <v>4.666666666666667</v>
      </c>
      <c r="E83" s="20">
        <v>4.333333333333333</v>
      </c>
      <c r="F83" s="20">
        <v>4.6862745098039218</v>
      </c>
      <c r="G83" s="20">
        <v>4.5625</v>
      </c>
      <c r="H83" s="20">
        <v>4.4705882352941186</v>
      </c>
      <c r="I83" s="20">
        <v>4.4761904761904772</v>
      </c>
      <c r="J83" s="20">
        <v>4.6020408163265349</v>
      </c>
      <c r="K83" s="20">
        <v>4.6949152542372872</v>
      </c>
      <c r="L83" s="20">
        <v>4.6065573770491799</v>
      </c>
      <c r="M83" s="58" t="s">
        <v>66</v>
      </c>
      <c r="N83" s="20">
        <v>4.6309523809523805</v>
      </c>
      <c r="O83" s="20">
        <v>4.7058823529411766</v>
      </c>
      <c r="P83" s="58" t="s">
        <v>66</v>
      </c>
    </row>
    <row r="84" spans="1:16" ht="24" customHeight="1" thickBot="1">
      <c r="A84" s="82" t="s">
        <v>84</v>
      </c>
      <c r="B84" s="20">
        <v>4.0625000000000018</v>
      </c>
      <c r="C84" s="20">
        <v>4.5370370370370381</v>
      </c>
      <c r="D84" s="20">
        <v>4.541666666666667</v>
      </c>
      <c r="E84" s="20">
        <v>4.333333333333333</v>
      </c>
      <c r="F84" s="20">
        <v>4.666666666666667</v>
      </c>
      <c r="G84" s="20">
        <v>4.65625</v>
      </c>
      <c r="H84" s="20">
        <v>4.544117647058826</v>
      </c>
      <c r="I84" s="20">
        <v>4.4603174603174596</v>
      </c>
      <c r="J84" s="20">
        <v>4.6530612244897958</v>
      </c>
      <c r="K84" s="20">
        <v>4.7288135593220355</v>
      </c>
      <c r="L84" s="20">
        <v>4.6065573770491808</v>
      </c>
      <c r="M84" s="58" t="s">
        <v>66</v>
      </c>
      <c r="N84" s="20">
        <v>4.6547619047619087</v>
      </c>
      <c r="O84" s="20">
        <v>4.882352941176471</v>
      </c>
      <c r="P84" s="58" t="s">
        <v>66</v>
      </c>
    </row>
    <row r="85" spans="1:16" ht="24" customHeight="1" thickBot="1">
      <c r="A85" s="82" t="s">
        <v>85</v>
      </c>
      <c r="B85" s="20">
        <v>3.9999999999999996</v>
      </c>
      <c r="C85" s="20">
        <v>4.5370370370370381</v>
      </c>
      <c r="D85" s="20">
        <v>4.5416666666666679</v>
      </c>
      <c r="E85" s="20">
        <v>4.5333333333333323</v>
      </c>
      <c r="F85" s="20">
        <v>4.6274509803921564</v>
      </c>
      <c r="G85" s="20">
        <v>4.65625</v>
      </c>
      <c r="H85" s="20">
        <v>4.4705882352941178</v>
      </c>
      <c r="I85" s="20">
        <v>4.4761904761904754</v>
      </c>
      <c r="J85" s="20">
        <v>4.5816326530612237</v>
      </c>
      <c r="K85" s="20">
        <v>4.7796610169491522</v>
      </c>
      <c r="L85" s="20">
        <v>4.5409836065573774</v>
      </c>
      <c r="M85" s="58" t="s">
        <v>66</v>
      </c>
      <c r="N85" s="20">
        <v>4.6309523809523805</v>
      </c>
      <c r="O85" s="20">
        <v>4.7647058823529411</v>
      </c>
      <c r="P85" s="58" t="s">
        <v>66</v>
      </c>
    </row>
    <row r="86" spans="1:16" ht="24" customHeight="1" thickBot="1">
      <c r="A86" s="82" t="s">
        <v>86</v>
      </c>
      <c r="B86" s="20">
        <v>4.2500000000000009</v>
      </c>
      <c r="C86" s="20">
        <v>4.5370370370370372</v>
      </c>
      <c r="D86" s="20">
        <v>4.6666666666666661</v>
      </c>
      <c r="E86" s="20">
        <v>4.5999999999999988</v>
      </c>
      <c r="F86" s="20">
        <v>4.6078431372549016</v>
      </c>
      <c r="G86" s="20">
        <v>4.6250000000000009</v>
      </c>
      <c r="H86" s="20">
        <v>4.4264705882352935</v>
      </c>
      <c r="I86" s="20">
        <v>4.4761904761904763</v>
      </c>
      <c r="J86" s="20">
        <v>4.5612244897959133</v>
      </c>
      <c r="K86" s="20">
        <v>4.6949152542372863</v>
      </c>
      <c r="L86" s="20">
        <v>4.5409836065573765</v>
      </c>
      <c r="M86" s="58" t="s">
        <v>66</v>
      </c>
      <c r="N86" s="20">
        <v>4.5595238095238111</v>
      </c>
      <c r="O86" s="20">
        <v>4.8235294117647056</v>
      </c>
      <c r="P86" s="58" t="s">
        <v>66</v>
      </c>
    </row>
    <row r="87" spans="1:16" ht="24" customHeight="1" thickBot="1">
      <c r="A87" s="82" t="s">
        <v>87</v>
      </c>
      <c r="B87" s="20">
        <v>4.25</v>
      </c>
      <c r="C87" s="20">
        <v>4.6111111111111107</v>
      </c>
      <c r="D87" s="20">
        <v>4.708333333333333</v>
      </c>
      <c r="E87" s="20">
        <v>4.4666666666666668</v>
      </c>
      <c r="F87" s="20">
        <v>4.6666666666666687</v>
      </c>
      <c r="G87" s="20">
        <v>4.59375</v>
      </c>
      <c r="H87" s="20">
        <v>4.4411764705882373</v>
      </c>
      <c r="I87" s="20">
        <v>4.4603174603174605</v>
      </c>
      <c r="J87" s="20">
        <v>4.5714285714285721</v>
      </c>
      <c r="K87" s="20">
        <v>4.7627118644067812</v>
      </c>
      <c r="L87" s="20">
        <v>4.4918032786885238</v>
      </c>
      <c r="M87" s="58" t="s">
        <v>66</v>
      </c>
      <c r="N87" s="20">
        <v>4.6309523809523805</v>
      </c>
      <c r="O87" s="20">
        <v>4.8235294117647056</v>
      </c>
      <c r="P87" s="58" t="s">
        <v>66</v>
      </c>
    </row>
    <row r="88" spans="1:16" ht="24" customHeight="1" thickBot="1">
      <c r="A88" s="82" t="s">
        <v>88</v>
      </c>
      <c r="B88" s="20">
        <v>4.2500000000000009</v>
      </c>
      <c r="C88" s="20">
        <v>4.648148148148147</v>
      </c>
      <c r="D88" s="20">
        <v>4.6666666666666661</v>
      </c>
      <c r="E88" s="20">
        <v>4.6000000000000005</v>
      </c>
      <c r="F88" s="20">
        <v>4.6470588235294121</v>
      </c>
      <c r="G88" s="20">
        <v>4.65625</v>
      </c>
      <c r="H88" s="20">
        <v>4.514705882352942</v>
      </c>
      <c r="I88" s="20">
        <v>4.5396825396825422</v>
      </c>
      <c r="J88" s="20">
        <v>4.5918367346938771</v>
      </c>
      <c r="K88" s="20">
        <v>4.7627118644067803</v>
      </c>
      <c r="L88" s="20">
        <v>4.4754098360655741</v>
      </c>
      <c r="M88" s="58" t="s">
        <v>66</v>
      </c>
      <c r="N88" s="20">
        <v>4.666666666666667</v>
      </c>
      <c r="O88" s="20">
        <v>4.7647058823529402</v>
      </c>
      <c r="P88" s="58" t="s">
        <v>66</v>
      </c>
    </row>
    <row r="89" spans="1:16" ht="24" customHeight="1" thickBot="1">
      <c r="A89" s="82" t="s">
        <v>89</v>
      </c>
      <c r="B89" s="20">
        <v>4.1875000000000009</v>
      </c>
      <c r="C89" s="20">
        <v>4.6296296296296298</v>
      </c>
      <c r="D89" s="20">
        <v>4.708333333333333</v>
      </c>
      <c r="E89" s="20">
        <v>4.4666666666666659</v>
      </c>
      <c r="F89" s="20">
        <v>4.8235294117647065</v>
      </c>
      <c r="G89" s="20">
        <v>4.6875000000000009</v>
      </c>
      <c r="H89" s="20">
        <v>4.5735294117647065</v>
      </c>
      <c r="I89" s="20">
        <v>4.6190476190476204</v>
      </c>
      <c r="J89" s="20">
        <v>4.6326530612244889</v>
      </c>
      <c r="K89" s="20">
        <v>4.7288135593220355</v>
      </c>
      <c r="L89" s="20">
        <v>4.6393442622950811</v>
      </c>
      <c r="M89" s="58" t="s">
        <v>66</v>
      </c>
      <c r="N89" s="20">
        <v>4.6904761904761907</v>
      </c>
      <c r="O89" s="20">
        <v>4.8235294117647056</v>
      </c>
      <c r="P89" s="58" t="s">
        <v>66</v>
      </c>
    </row>
    <row r="90" spans="1:16" ht="24" customHeight="1">
      <c r="A90" s="8" t="s">
        <v>9</v>
      </c>
      <c r="B90" s="20">
        <v>4.19921875</v>
      </c>
      <c r="C90" s="20">
        <v>4.5439814814814827</v>
      </c>
      <c r="D90" s="20">
        <v>4.625</v>
      </c>
      <c r="E90" s="20">
        <v>4.4083333333333323</v>
      </c>
      <c r="F90" s="20">
        <v>4.6495098039215685</v>
      </c>
      <c r="G90" s="20">
        <v>4.6132812500000009</v>
      </c>
      <c r="H90" s="20">
        <v>4.4917279411764692</v>
      </c>
      <c r="I90" s="20">
        <v>4.4801587301587285</v>
      </c>
      <c r="J90" s="20">
        <v>4.5969387755102042</v>
      </c>
      <c r="K90" s="20">
        <v>4.7076271186440684</v>
      </c>
      <c r="L90" s="20">
        <v>4.576844262295082</v>
      </c>
      <c r="M90" s="58" t="s">
        <v>66</v>
      </c>
      <c r="N90" s="20">
        <v>4.6086309523809508</v>
      </c>
      <c r="O90" s="20">
        <v>4.7132352941176467</v>
      </c>
      <c r="P90" s="58" t="s">
        <v>66</v>
      </c>
    </row>
    <row r="91" spans="1:16" s="63" customFormat="1">
      <c r="A91" s="62" t="s">
        <v>10</v>
      </c>
      <c r="B91" s="64">
        <f t="shared" ref="B91:C91" si="8">B90*20</f>
        <v>83.984375</v>
      </c>
      <c r="C91" s="64">
        <f t="shared" si="8"/>
        <v>90.879629629629648</v>
      </c>
      <c r="D91" s="64">
        <f>D90*20</f>
        <v>92.5</v>
      </c>
      <c r="E91" s="60">
        <f>E90*20</f>
        <v>88.166666666666643</v>
      </c>
      <c r="F91" s="60">
        <f>F90*20</f>
        <v>92.990196078431367</v>
      </c>
      <c r="G91" s="60">
        <f t="shared" ref="G91:O91" si="9">G90*20</f>
        <v>92.265625000000014</v>
      </c>
      <c r="H91" s="60">
        <f t="shared" si="9"/>
        <v>89.834558823529392</v>
      </c>
      <c r="I91" s="60">
        <f t="shared" si="9"/>
        <v>89.603174603174566</v>
      </c>
      <c r="J91" s="60">
        <f t="shared" si="9"/>
        <v>91.938775510204081</v>
      </c>
      <c r="K91" s="60">
        <f t="shared" si="9"/>
        <v>94.152542372881371</v>
      </c>
      <c r="L91" s="60">
        <f t="shared" si="9"/>
        <v>91.536885245901644</v>
      </c>
      <c r="M91" s="58" t="s">
        <v>66</v>
      </c>
      <c r="N91" s="60">
        <f t="shared" ref="N91" si="10">N90*20</f>
        <v>92.172619047619008</v>
      </c>
      <c r="O91" s="60">
        <f t="shared" si="9"/>
        <v>94.264705882352928</v>
      </c>
      <c r="P91" s="58" t="s">
        <v>66</v>
      </c>
    </row>
    <row r="92" spans="1:16">
      <c r="A92" s="16" t="s">
        <v>44</v>
      </c>
      <c r="B92" s="59">
        <v>93.75</v>
      </c>
      <c r="C92" s="59">
        <v>90.740740740740748</v>
      </c>
      <c r="D92" s="59">
        <v>83.333333333333329</v>
      </c>
      <c r="E92" s="59">
        <v>100</v>
      </c>
      <c r="F92" s="59">
        <v>88.235294117647058</v>
      </c>
      <c r="G92" s="59">
        <v>84.375</v>
      </c>
      <c r="H92" s="59">
        <v>92.647058823529406</v>
      </c>
      <c r="I92" s="59">
        <v>100</v>
      </c>
      <c r="J92" s="59">
        <v>96.938775510204081</v>
      </c>
      <c r="K92" s="59">
        <v>100</v>
      </c>
      <c r="L92" s="59">
        <v>93.442622950819668</v>
      </c>
      <c r="M92" s="75" t="s">
        <v>67</v>
      </c>
      <c r="N92" s="21">
        <v>94.047619047619051</v>
      </c>
      <c r="O92" s="59">
        <v>100</v>
      </c>
      <c r="P92" s="75" t="s">
        <v>67</v>
      </c>
    </row>
    <row r="93" spans="1:16" ht="24" customHeight="1"/>
    <row r="94" spans="1:16" ht="24" customHeight="1"/>
    <row r="95" spans="1:16">
      <c r="B95" s="3"/>
      <c r="E95" s="10"/>
      <c r="F95" s="10"/>
    </row>
    <row r="96" spans="1:16">
      <c r="B96" s="3"/>
      <c r="E96" s="11"/>
      <c r="F96" s="11"/>
    </row>
    <row r="97" spans="2:6">
      <c r="B97" s="3"/>
      <c r="E97" s="11"/>
      <c r="F97" s="11"/>
    </row>
    <row r="98" spans="2:6">
      <c r="B98" s="3"/>
      <c r="E98" s="11"/>
      <c r="F98" s="11"/>
    </row>
    <row r="99" spans="2:6">
      <c r="B99" s="3"/>
      <c r="E99" s="11"/>
      <c r="F99" s="11"/>
    </row>
    <row r="100" spans="2:6">
      <c r="B100" s="3"/>
      <c r="E100" s="11"/>
      <c r="F100" s="11"/>
    </row>
    <row r="101" spans="2:6">
      <c r="B101" s="3"/>
      <c r="E101" s="11"/>
      <c r="F101" s="11"/>
    </row>
    <row r="102" spans="2:6">
      <c r="B102" s="3"/>
      <c r="E102" s="11"/>
      <c r="F102" s="11"/>
    </row>
    <row r="103" spans="2:6" ht="24" customHeight="1">
      <c r="B103" s="3"/>
      <c r="E103" s="11"/>
      <c r="F103" s="11"/>
    </row>
    <row r="104" spans="2:6" ht="24" customHeight="1">
      <c r="B104" s="3"/>
      <c r="E104" s="11"/>
      <c r="F104" s="11"/>
    </row>
    <row r="105" spans="2:6">
      <c r="B105" s="3"/>
      <c r="E105" s="11"/>
      <c r="F105" s="11"/>
    </row>
    <row r="106" spans="2:6">
      <c r="B106" s="3"/>
      <c r="E106" s="11"/>
      <c r="F106" s="11"/>
    </row>
    <row r="107" spans="2:6">
      <c r="B107" s="3"/>
      <c r="E107" s="11"/>
      <c r="F107" s="11"/>
    </row>
    <row r="108" spans="2:6">
      <c r="B108" s="3"/>
      <c r="E108" s="11"/>
      <c r="F108" s="11"/>
    </row>
    <row r="109" spans="2:6">
      <c r="B109" s="3"/>
      <c r="E109" s="11"/>
      <c r="F109" s="11"/>
    </row>
    <row r="110" spans="2:6">
      <c r="B110" s="3"/>
      <c r="E110" s="11"/>
      <c r="F110" s="11"/>
    </row>
    <row r="111" spans="2:6" ht="24" customHeight="1">
      <c r="B111" s="3"/>
      <c r="E111" s="11"/>
      <c r="F111" s="11"/>
    </row>
    <row r="112" spans="2:6" ht="24" customHeight="1">
      <c r="B112" s="3"/>
      <c r="E112" s="11"/>
      <c r="F112" s="11"/>
    </row>
    <row r="113" spans="2:6">
      <c r="B113" s="3"/>
      <c r="E113" s="12"/>
      <c r="F113" s="12"/>
    </row>
    <row r="114" spans="2:6">
      <c r="B114" s="3"/>
      <c r="E114" s="12"/>
      <c r="F114" s="12"/>
    </row>
    <row r="115" spans="2:6">
      <c r="B115" s="3"/>
    </row>
  </sheetData>
  <mergeCells count="1">
    <mergeCell ref="A1:P1"/>
  </mergeCells>
  <pageMargins left="0.31496062992125984" right="0" top="0.51181102362204722" bottom="0.11811023622047245" header="0.31496062992125984" footer="0.31496062992125984"/>
  <pageSetup scale="68" orientation="landscape" r:id="rId1"/>
  <rowBreaks count="4" manualBreakCount="4">
    <brk id="24" max="16383" man="1"/>
    <brk id="47" max="16383" man="1"/>
    <brk id="70" max="16383" man="1"/>
    <brk id="9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1"/>
  <sheetViews>
    <sheetView view="pageBreakPreview" zoomScaleNormal="100" zoomScaleSheetLayoutView="100" workbookViewId="0">
      <selection activeCell="H11" sqref="H11"/>
    </sheetView>
  </sheetViews>
  <sheetFormatPr defaultColWidth="9" defaultRowHeight="21"/>
  <cols>
    <col min="1" max="1" width="4.75" style="32" customWidth="1"/>
    <col min="2" max="2" width="27.625" style="32" customWidth="1"/>
    <col min="3" max="7" width="12" style="32" customWidth="1"/>
    <col min="8" max="8" width="71.875" style="32" customWidth="1"/>
    <col min="9" max="9" width="14.75" style="32" customWidth="1"/>
    <col min="10" max="10" width="7.25" style="32" customWidth="1"/>
    <col min="11" max="16384" width="9" style="32"/>
  </cols>
  <sheetData>
    <row r="1" spans="1:9" s="47" customFormat="1" ht="43.5" customHeight="1">
      <c r="A1" s="96" t="s">
        <v>97</v>
      </c>
      <c r="B1" s="97"/>
      <c r="C1" s="97"/>
      <c r="D1" s="97"/>
      <c r="E1" s="97"/>
      <c r="F1" s="97"/>
      <c r="G1" s="97"/>
      <c r="H1" s="97"/>
      <c r="I1" s="97"/>
    </row>
    <row r="2" spans="1:9" s="47" customFormat="1">
      <c r="A2" s="95" t="s">
        <v>98</v>
      </c>
      <c r="B2" s="95"/>
      <c r="C2" s="95"/>
      <c r="D2" s="95"/>
      <c r="E2" s="95"/>
      <c r="F2" s="95"/>
      <c r="G2" s="95"/>
      <c r="H2" s="95"/>
    </row>
    <row r="3" spans="1:9" s="34" customFormat="1">
      <c r="A3" s="95" t="s">
        <v>201</v>
      </c>
      <c r="B3" s="95"/>
      <c r="C3" s="95"/>
      <c r="D3" s="95"/>
      <c r="E3" s="95"/>
      <c r="F3" s="95"/>
      <c r="G3" s="95"/>
      <c r="H3" s="95"/>
      <c r="I3" s="47"/>
    </row>
    <row r="4" spans="1:9" s="47" customFormat="1">
      <c r="A4" s="49" t="s">
        <v>53</v>
      </c>
      <c r="B4" s="49"/>
      <c r="C4" s="49"/>
      <c r="D4" s="49"/>
      <c r="E4" s="49"/>
      <c r="F4" s="50"/>
      <c r="G4" s="50"/>
      <c r="H4" s="50"/>
      <c r="I4" s="34"/>
    </row>
    <row r="5" spans="1:9" s="47" customFormat="1">
      <c r="B5" s="99" t="s">
        <v>200</v>
      </c>
      <c r="C5" s="99"/>
      <c r="D5" s="99"/>
      <c r="E5" s="99"/>
      <c r="F5" s="99"/>
      <c r="G5" s="99"/>
      <c r="H5" s="99"/>
    </row>
    <row r="6" spans="1:9" s="79" customFormat="1">
      <c r="A6" s="47"/>
      <c r="B6" s="99" t="s">
        <v>191</v>
      </c>
      <c r="C6" s="99"/>
      <c r="D6" s="99"/>
      <c r="E6" s="99"/>
      <c r="F6" s="99"/>
      <c r="G6" s="99"/>
      <c r="H6" s="99"/>
      <c r="I6" s="47"/>
    </row>
    <row r="7" spans="1:9" s="34" customFormat="1" ht="21.75" customHeight="1">
      <c r="A7" s="79"/>
      <c r="B7" s="100" t="s">
        <v>192</v>
      </c>
      <c r="C7" s="100"/>
      <c r="D7" s="100"/>
      <c r="E7" s="100"/>
      <c r="F7" s="100"/>
      <c r="G7" s="100"/>
      <c r="H7" s="100"/>
      <c r="I7" s="79"/>
    </row>
    <row r="8" spans="1:9" s="34" customFormat="1" ht="21.75" customHeight="1">
      <c r="B8" s="51" t="s">
        <v>0</v>
      </c>
      <c r="C8" s="52" t="s">
        <v>33</v>
      </c>
      <c r="D8" s="52" t="s">
        <v>34</v>
      </c>
      <c r="E8" s="52" t="s">
        <v>35</v>
      </c>
      <c r="F8" s="52" t="s">
        <v>36</v>
      </c>
      <c r="G8" s="52" t="s">
        <v>37</v>
      </c>
    </row>
    <row r="9" spans="1:9" s="34" customFormat="1" ht="21.75" customHeight="1">
      <c r="B9" s="53" t="s">
        <v>8</v>
      </c>
      <c r="C9" s="86">
        <v>1060</v>
      </c>
      <c r="D9" s="86">
        <v>1190</v>
      </c>
      <c r="E9" s="87">
        <v>32</v>
      </c>
      <c r="F9" s="88" t="s">
        <v>199</v>
      </c>
      <c r="G9" s="88">
        <v>44</v>
      </c>
    </row>
    <row r="10" spans="1:9" s="34" customFormat="1" ht="21.75" customHeight="1">
      <c r="B10" s="53" t="s">
        <v>9</v>
      </c>
      <c r="C10" s="89">
        <v>4.3805424528301957</v>
      </c>
      <c r="D10" s="89">
        <v>4.5634978991596657</v>
      </c>
      <c r="E10" s="90">
        <v>3.7578125000000004</v>
      </c>
      <c r="F10" s="91">
        <v>4.8499999999999996</v>
      </c>
      <c r="G10" s="91">
        <v>4.6292613636363633</v>
      </c>
    </row>
    <row r="11" spans="1:9" s="34" customFormat="1" ht="21.75" customHeight="1">
      <c r="B11" s="53" t="s">
        <v>10</v>
      </c>
      <c r="C11" s="89">
        <v>87.610849056603897</v>
      </c>
      <c r="D11" s="89">
        <v>91.269957983193308</v>
      </c>
      <c r="E11" s="92">
        <f>E10*20</f>
        <v>75.156250000000014</v>
      </c>
      <c r="F11" s="93">
        <v>96.99</v>
      </c>
      <c r="G11" s="93">
        <v>92.585227272727266</v>
      </c>
    </row>
    <row r="12" spans="1:9" s="34" customFormat="1" ht="24" customHeight="1">
      <c r="B12" s="55"/>
      <c r="C12" s="56"/>
      <c r="D12" s="56"/>
      <c r="E12" s="56"/>
      <c r="F12" s="68"/>
      <c r="G12" s="68"/>
    </row>
    <row r="13" spans="1:9" s="34" customFormat="1" ht="24" customHeight="1">
      <c r="A13" s="98" t="s">
        <v>38</v>
      </c>
      <c r="B13" s="98"/>
      <c r="H13" s="34" t="s">
        <v>51</v>
      </c>
    </row>
    <row r="14" spans="1:9" s="34" customFormat="1" ht="24" customHeight="1">
      <c r="B14" s="37" t="s">
        <v>39</v>
      </c>
    </row>
    <row r="15" spans="1:9" s="67" customFormat="1" ht="24" customHeight="1">
      <c r="A15" s="32"/>
      <c r="B15" s="67" t="s">
        <v>138</v>
      </c>
      <c r="C15" s="35"/>
      <c r="D15" s="35"/>
      <c r="E15" s="35"/>
      <c r="F15" s="35"/>
      <c r="G15" s="35"/>
      <c r="H15" s="35"/>
      <c r="I15" s="32"/>
    </row>
    <row r="16" spans="1:9" s="67" customFormat="1" ht="24" customHeight="1">
      <c r="A16" s="32"/>
      <c r="B16" s="67" t="s">
        <v>122</v>
      </c>
      <c r="C16" s="35"/>
      <c r="D16" s="35"/>
      <c r="E16" s="35"/>
      <c r="F16" s="35"/>
      <c r="G16" s="35"/>
      <c r="H16" s="35"/>
      <c r="I16" s="32"/>
    </row>
    <row r="17" spans="1:9" s="67" customFormat="1" ht="24" customHeight="1">
      <c r="A17" s="32"/>
      <c r="B17" s="67" t="s">
        <v>137</v>
      </c>
      <c r="C17" s="35"/>
      <c r="D17" s="35"/>
      <c r="E17" s="35"/>
      <c r="F17" s="35"/>
      <c r="G17" s="35"/>
      <c r="H17" s="35"/>
      <c r="I17" s="32"/>
    </row>
    <row r="18" spans="1:9" s="67" customFormat="1" ht="24" customHeight="1">
      <c r="A18" s="32"/>
      <c r="B18" s="67" t="s">
        <v>124</v>
      </c>
      <c r="C18" s="35"/>
      <c r="D18" s="35"/>
      <c r="E18" s="35"/>
      <c r="F18" s="35"/>
      <c r="G18" s="35"/>
      <c r="H18" s="35"/>
      <c r="I18" s="32"/>
    </row>
    <row r="19" spans="1:9" s="67" customFormat="1" ht="24" customHeight="1">
      <c r="A19" s="32"/>
      <c r="B19" s="67" t="s">
        <v>123</v>
      </c>
      <c r="C19" s="35"/>
      <c r="D19" s="35"/>
      <c r="E19" s="35"/>
      <c r="F19" s="35"/>
      <c r="G19" s="35"/>
      <c r="H19" s="35"/>
      <c r="I19" s="32"/>
    </row>
    <row r="20" spans="1:9" s="67" customFormat="1" ht="24" customHeight="1">
      <c r="A20" s="32"/>
      <c r="B20" s="67" t="s">
        <v>127</v>
      </c>
      <c r="C20" s="35"/>
      <c r="D20" s="35"/>
      <c r="E20" s="35"/>
      <c r="F20" s="35"/>
      <c r="G20" s="35"/>
      <c r="H20" s="35"/>
      <c r="I20" s="32"/>
    </row>
    <row r="21" spans="1:9" s="67" customFormat="1" ht="24" customHeight="1">
      <c r="A21" s="32"/>
      <c r="B21" s="67" t="s">
        <v>121</v>
      </c>
      <c r="C21" s="35"/>
      <c r="D21" s="35"/>
      <c r="E21" s="35"/>
      <c r="F21" s="35"/>
      <c r="G21" s="35"/>
      <c r="H21" s="35"/>
      <c r="I21" s="32"/>
    </row>
    <row r="22" spans="1:9" s="67" customFormat="1" ht="24" customHeight="1">
      <c r="A22" s="32"/>
      <c r="B22" s="67" t="s">
        <v>149</v>
      </c>
      <c r="C22" s="35"/>
      <c r="D22" s="35"/>
      <c r="E22" s="35"/>
      <c r="F22" s="35"/>
      <c r="G22" s="35"/>
      <c r="H22" s="35"/>
      <c r="I22" s="32"/>
    </row>
    <row r="23" spans="1:9" s="67" customFormat="1" ht="24" customHeight="1">
      <c r="A23" s="32"/>
      <c r="B23" s="67" t="s">
        <v>105</v>
      </c>
      <c r="C23" s="35"/>
      <c r="D23" s="35"/>
      <c r="E23" s="35"/>
      <c r="F23" s="35"/>
      <c r="G23" s="35"/>
      <c r="H23" s="35"/>
      <c r="I23" s="32"/>
    </row>
    <row r="24" spans="1:9" s="67" customFormat="1" ht="24" customHeight="1">
      <c r="A24" s="32"/>
      <c r="B24" s="67" t="s">
        <v>111</v>
      </c>
      <c r="C24" s="35"/>
      <c r="D24" s="35"/>
      <c r="E24" s="35"/>
      <c r="F24" s="35"/>
      <c r="G24" s="35"/>
      <c r="H24" s="35"/>
      <c r="I24" s="32"/>
    </row>
    <row r="25" spans="1:9" s="67" customFormat="1" ht="24" customHeight="1">
      <c r="A25" s="32"/>
      <c r="B25" s="67" t="s">
        <v>112</v>
      </c>
      <c r="C25" s="35"/>
      <c r="D25" s="35"/>
      <c r="E25" s="35"/>
      <c r="F25" s="35"/>
      <c r="G25" s="35"/>
      <c r="H25" s="35"/>
      <c r="I25" s="32"/>
    </row>
    <row r="26" spans="1:9" s="67" customFormat="1" ht="24" customHeight="1">
      <c r="A26" s="32"/>
      <c r="B26" s="67" t="s">
        <v>104</v>
      </c>
      <c r="C26" s="35"/>
      <c r="D26" s="35"/>
      <c r="E26" s="35"/>
      <c r="F26" s="35"/>
      <c r="G26" s="35"/>
      <c r="H26" s="35"/>
      <c r="I26" s="32"/>
    </row>
    <row r="27" spans="1:9" s="67" customFormat="1" ht="24" customHeight="1">
      <c r="A27" s="32"/>
      <c r="B27" s="67" t="s">
        <v>148</v>
      </c>
      <c r="C27" s="35"/>
      <c r="D27" s="35"/>
      <c r="E27" s="35"/>
      <c r="F27" s="35"/>
      <c r="G27" s="35"/>
      <c r="H27" s="35"/>
      <c r="I27" s="32"/>
    </row>
    <row r="28" spans="1:9" s="67" customFormat="1" ht="24" customHeight="1">
      <c r="A28" s="32"/>
      <c r="B28" s="67" t="s">
        <v>117</v>
      </c>
      <c r="C28" s="35"/>
      <c r="D28" s="35"/>
      <c r="E28" s="35"/>
      <c r="F28" s="35"/>
      <c r="G28" s="35"/>
      <c r="H28" s="35"/>
      <c r="I28" s="32"/>
    </row>
    <row r="29" spans="1:9" s="67" customFormat="1" ht="24" customHeight="1">
      <c r="A29" s="32"/>
      <c r="B29" s="67" t="s">
        <v>109</v>
      </c>
      <c r="C29" s="35"/>
      <c r="D29" s="35"/>
      <c r="E29" s="35"/>
      <c r="F29" s="35"/>
      <c r="G29" s="35"/>
      <c r="H29" s="35"/>
      <c r="I29" s="32"/>
    </row>
    <row r="30" spans="1:9" s="67" customFormat="1" ht="24" customHeight="1">
      <c r="A30" s="32"/>
      <c r="B30" s="67" t="s">
        <v>118</v>
      </c>
      <c r="C30" s="35"/>
      <c r="D30" s="35"/>
      <c r="E30" s="35"/>
      <c r="F30" s="35"/>
      <c r="G30" s="35"/>
      <c r="H30" s="35"/>
      <c r="I30" s="32"/>
    </row>
    <row r="31" spans="1:9" s="67" customFormat="1" ht="24" customHeight="1">
      <c r="A31" s="32"/>
      <c r="B31" s="67" t="s">
        <v>132</v>
      </c>
      <c r="C31" s="35"/>
      <c r="D31" s="35"/>
      <c r="E31" s="35"/>
      <c r="F31" s="35"/>
      <c r="G31" s="35"/>
      <c r="H31" s="35"/>
      <c r="I31" s="32"/>
    </row>
    <row r="32" spans="1:9" s="67" customFormat="1" ht="25.5" customHeight="1">
      <c r="A32" s="32"/>
      <c r="B32" s="67" t="s">
        <v>126</v>
      </c>
      <c r="C32" s="35"/>
      <c r="D32" s="35"/>
      <c r="E32" s="35"/>
      <c r="F32" s="35"/>
      <c r="G32" s="35"/>
      <c r="H32" s="35"/>
      <c r="I32" s="32"/>
    </row>
    <row r="33" spans="1:9" s="67" customFormat="1" ht="24.75" customHeight="1">
      <c r="A33" s="32"/>
      <c r="B33" s="67" t="s">
        <v>193</v>
      </c>
      <c r="C33" s="35"/>
      <c r="D33" s="35"/>
      <c r="E33" s="35"/>
      <c r="F33" s="35"/>
      <c r="G33" s="35"/>
      <c r="H33" s="35"/>
      <c r="I33" s="32"/>
    </row>
    <row r="34" spans="1:9" s="67" customFormat="1" ht="24.75" customHeight="1">
      <c r="A34" s="32"/>
      <c r="B34" s="67" t="s">
        <v>129</v>
      </c>
      <c r="C34" s="35"/>
      <c r="D34" s="35"/>
      <c r="E34" s="35"/>
      <c r="F34" s="35"/>
      <c r="G34" s="35"/>
      <c r="H34" s="35"/>
      <c r="I34" s="32"/>
    </row>
    <row r="35" spans="1:9" s="67" customFormat="1" ht="24" customHeight="1">
      <c r="A35" s="32"/>
      <c r="B35" s="31" t="s">
        <v>103</v>
      </c>
      <c r="C35" s="35"/>
      <c r="D35" s="35"/>
      <c r="E35" s="35"/>
      <c r="F35" s="35"/>
      <c r="G35" s="35"/>
      <c r="H35" s="35"/>
      <c r="I35" s="32"/>
    </row>
    <row r="36" spans="1:9" s="67" customFormat="1" ht="24" customHeight="1">
      <c r="A36" s="32"/>
      <c r="B36" s="31" t="s">
        <v>135</v>
      </c>
      <c r="C36" s="35"/>
      <c r="D36" s="35"/>
      <c r="E36" s="35"/>
      <c r="F36" s="35"/>
      <c r="G36" s="35"/>
      <c r="H36" s="35"/>
      <c r="I36" s="32"/>
    </row>
    <row r="37" spans="1:9" s="67" customFormat="1" ht="24" customHeight="1">
      <c r="A37" s="32"/>
      <c r="B37" s="31" t="s">
        <v>134</v>
      </c>
      <c r="C37" s="35"/>
      <c r="D37" s="35"/>
      <c r="E37" s="35"/>
      <c r="F37" s="35"/>
      <c r="G37" s="35"/>
      <c r="H37" s="35"/>
      <c r="I37" s="32"/>
    </row>
    <row r="38" spans="1:9" s="67" customFormat="1" ht="24" customHeight="1">
      <c r="A38" s="32"/>
      <c r="B38" s="31" t="s">
        <v>125</v>
      </c>
      <c r="C38" s="35"/>
      <c r="D38" s="35"/>
      <c r="E38" s="35"/>
      <c r="F38" s="35"/>
      <c r="G38" s="35"/>
      <c r="H38" s="35"/>
      <c r="I38" s="32"/>
    </row>
    <row r="39" spans="1:9" s="67" customFormat="1" ht="24" customHeight="1">
      <c r="A39" s="32"/>
      <c r="B39" s="31" t="s">
        <v>100</v>
      </c>
      <c r="C39" s="35"/>
      <c r="D39" s="35"/>
      <c r="E39" s="35"/>
      <c r="F39" s="35"/>
      <c r="G39" s="35"/>
      <c r="H39" s="35"/>
      <c r="I39" s="32"/>
    </row>
    <row r="40" spans="1:9" s="67" customFormat="1" ht="24" customHeight="1">
      <c r="A40" s="32"/>
      <c r="B40" s="31" t="s">
        <v>101</v>
      </c>
      <c r="C40" s="35"/>
      <c r="D40" s="35"/>
      <c r="E40" s="35"/>
      <c r="F40" s="35"/>
      <c r="G40" s="35"/>
      <c r="H40" s="35"/>
      <c r="I40" s="32"/>
    </row>
    <row r="41" spans="1:9" s="67" customFormat="1" ht="24" customHeight="1">
      <c r="A41" s="32"/>
      <c r="B41" s="31" t="s">
        <v>113</v>
      </c>
      <c r="C41" s="35"/>
      <c r="D41" s="35"/>
      <c r="E41" s="35"/>
      <c r="F41" s="35"/>
      <c r="G41" s="35"/>
      <c r="H41" s="35"/>
      <c r="I41" s="32"/>
    </row>
    <row r="42" spans="1:9" s="67" customFormat="1" ht="24" customHeight="1">
      <c r="A42" s="32"/>
      <c r="B42" s="31" t="s">
        <v>110</v>
      </c>
      <c r="C42" s="35"/>
      <c r="D42" s="35"/>
      <c r="E42" s="35"/>
      <c r="F42" s="35"/>
      <c r="G42" s="35"/>
      <c r="H42" s="35"/>
      <c r="I42" s="32"/>
    </row>
    <row r="43" spans="1:9" s="67" customFormat="1" ht="24" customHeight="1">
      <c r="A43" s="32"/>
      <c r="B43" s="31" t="s">
        <v>115</v>
      </c>
      <c r="C43" s="35"/>
      <c r="D43" s="35"/>
      <c r="E43" s="35"/>
      <c r="F43" s="35"/>
      <c r="G43" s="35"/>
      <c r="H43" s="35"/>
      <c r="I43" s="32"/>
    </row>
    <row r="44" spans="1:9" s="67" customFormat="1" ht="24" customHeight="1">
      <c r="A44" s="32"/>
      <c r="B44" s="31" t="s">
        <v>161</v>
      </c>
      <c r="C44" s="35"/>
      <c r="D44" s="35"/>
      <c r="E44" s="35"/>
      <c r="F44" s="35"/>
      <c r="G44" s="35"/>
      <c r="H44" s="35"/>
      <c r="I44" s="32"/>
    </row>
    <row r="45" spans="1:9" s="67" customFormat="1" ht="24" customHeight="1">
      <c r="A45" s="32"/>
      <c r="B45" s="31" t="s">
        <v>136</v>
      </c>
      <c r="C45" s="35"/>
      <c r="D45" s="35"/>
      <c r="E45" s="35"/>
      <c r="F45" s="35"/>
      <c r="G45" s="35"/>
      <c r="H45" s="35"/>
      <c r="I45" s="32"/>
    </row>
    <row r="46" spans="1:9" s="67" customFormat="1" ht="24" customHeight="1">
      <c r="A46" s="32"/>
      <c r="B46" s="31" t="s">
        <v>140</v>
      </c>
      <c r="C46" s="35"/>
      <c r="D46" s="35"/>
      <c r="E46" s="35"/>
      <c r="F46" s="35"/>
      <c r="G46" s="35"/>
      <c r="H46" s="35"/>
      <c r="I46" s="32"/>
    </row>
    <row r="47" spans="1:9" s="67" customFormat="1" ht="24" customHeight="1">
      <c r="A47" s="32"/>
      <c r="B47" s="31" t="s">
        <v>143</v>
      </c>
      <c r="C47" s="35"/>
      <c r="D47" s="35"/>
      <c r="E47" s="35"/>
      <c r="F47" s="35"/>
      <c r="G47" s="35"/>
      <c r="H47" s="35"/>
      <c r="I47" s="32"/>
    </row>
    <row r="48" spans="1:9" s="67" customFormat="1" ht="24" customHeight="1">
      <c r="A48" s="32"/>
      <c r="B48" s="31" t="s">
        <v>144</v>
      </c>
      <c r="C48" s="35"/>
      <c r="D48" s="35"/>
      <c r="E48" s="35"/>
      <c r="F48" s="35"/>
      <c r="G48" s="35"/>
      <c r="H48" s="35"/>
      <c r="I48" s="32"/>
    </row>
    <row r="49" spans="1:9" s="67" customFormat="1" ht="24" customHeight="1">
      <c r="A49" s="32"/>
      <c r="B49" s="31" t="s">
        <v>147</v>
      </c>
      <c r="C49" s="35"/>
      <c r="D49" s="35"/>
      <c r="E49" s="35"/>
      <c r="F49" s="35"/>
      <c r="G49" s="35"/>
      <c r="H49" s="35"/>
      <c r="I49" s="32"/>
    </row>
    <row r="50" spans="1:9" s="67" customFormat="1" ht="24" customHeight="1">
      <c r="A50" s="32"/>
      <c r="B50" s="31" t="s">
        <v>145</v>
      </c>
      <c r="C50" s="35"/>
      <c r="D50" s="35"/>
      <c r="E50" s="35"/>
      <c r="F50" s="35"/>
      <c r="G50" s="35"/>
      <c r="H50" s="35"/>
      <c r="I50" s="32"/>
    </row>
    <row r="51" spans="1:9" s="67" customFormat="1" ht="24" customHeight="1">
      <c r="A51" s="32"/>
      <c r="B51" s="31" t="s">
        <v>146</v>
      </c>
      <c r="C51" s="35"/>
      <c r="D51" s="35"/>
      <c r="E51" s="35"/>
      <c r="F51" s="35"/>
      <c r="G51" s="35"/>
      <c r="H51" s="35"/>
      <c r="I51" s="32"/>
    </row>
    <row r="52" spans="1:9" s="67" customFormat="1" ht="24" customHeight="1">
      <c r="A52" s="32"/>
      <c r="B52" s="31" t="s">
        <v>106</v>
      </c>
      <c r="C52" s="35"/>
      <c r="D52" s="35"/>
      <c r="E52" s="35"/>
      <c r="F52" s="35"/>
      <c r="G52" s="35"/>
      <c r="H52" s="35"/>
      <c r="I52" s="32"/>
    </row>
    <row r="53" spans="1:9" s="67" customFormat="1" ht="24" customHeight="1">
      <c r="A53" s="32"/>
      <c r="B53" s="31" t="s">
        <v>107</v>
      </c>
      <c r="C53" s="35"/>
      <c r="D53" s="35"/>
      <c r="E53" s="35"/>
      <c r="F53" s="35"/>
      <c r="G53" s="35"/>
      <c r="H53" s="35"/>
      <c r="I53" s="32"/>
    </row>
    <row r="54" spans="1:9" s="67" customFormat="1" ht="24" customHeight="1">
      <c r="A54" s="32"/>
      <c r="B54" s="31" t="s">
        <v>150</v>
      </c>
      <c r="C54" s="35"/>
      <c r="D54" s="35"/>
      <c r="E54" s="35"/>
      <c r="F54" s="35"/>
      <c r="G54" s="35"/>
      <c r="H54" s="35"/>
      <c r="I54" s="32"/>
    </row>
    <row r="55" spans="1:9" s="67" customFormat="1" ht="24" customHeight="1">
      <c r="A55" s="32"/>
      <c r="B55" s="31" t="s">
        <v>151</v>
      </c>
      <c r="C55" s="35"/>
      <c r="D55" s="35"/>
      <c r="E55" s="35"/>
      <c r="F55" s="35"/>
      <c r="G55" s="35"/>
      <c r="H55" s="35"/>
      <c r="I55" s="32"/>
    </row>
    <row r="56" spans="1:9" s="67" customFormat="1" ht="24" customHeight="1">
      <c r="A56" s="32"/>
      <c r="B56" s="31"/>
      <c r="C56" s="35"/>
      <c r="D56" s="35"/>
      <c r="E56" s="35"/>
      <c r="F56" s="35"/>
      <c r="G56" s="35"/>
      <c r="H56" s="35"/>
      <c r="I56" s="32"/>
    </row>
    <row r="57" spans="1:9" s="67" customFormat="1" ht="24" customHeight="1">
      <c r="A57" s="69"/>
      <c r="B57" s="37" t="s">
        <v>40</v>
      </c>
      <c r="C57" s="36"/>
      <c r="D57" s="36"/>
      <c r="E57" s="36"/>
      <c r="F57" s="36"/>
      <c r="G57" s="36"/>
      <c r="H57" s="36"/>
    </row>
    <row r="58" spans="1:9" s="40" customFormat="1" ht="24" customHeight="1">
      <c r="A58" s="32"/>
      <c r="B58" s="31" t="s">
        <v>99</v>
      </c>
      <c r="C58" s="35"/>
      <c r="D58" s="35"/>
      <c r="E58" s="35"/>
      <c r="F58" s="35"/>
      <c r="G58" s="35"/>
      <c r="H58" s="35"/>
      <c r="I58" s="32"/>
    </row>
    <row r="59" spans="1:9" s="40" customFormat="1" ht="24" customHeight="1">
      <c r="A59" s="32"/>
      <c r="B59" s="32" t="s">
        <v>114</v>
      </c>
      <c r="C59" s="35"/>
      <c r="D59" s="35"/>
      <c r="E59" s="35"/>
      <c r="F59" s="35"/>
      <c r="G59" s="35"/>
      <c r="H59" s="35"/>
      <c r="I59" s="32"/>
    </row>
    <row r="60" spans="1:9" s="40" customFormat="1" ht="24" customHeight="1">
      <c r="A60" s="32"/>
      <c r="B60" s="32" t="s">
        <v>194</v>
      </c>
      <c r="C60" s="35"/>
      <c r="D60" s="35"/>
      <c r="E60" s="35"/>
      <c r="F60" s="35"/>
      <c r="G60" s="35"/>
      <c r="H60" s="35"/>
      <c r="I60" s="32"/>
    </row>
    <row r="61" spans="1:9" s="40" customFormat="1" ht="24" customHeight="1">
      <c r="A61" s="32"/>
      <c r="B61" s="32" t="s">
        <v>139</v>
      </c>
      <c r="C61" s="35"/>
      <c r="D61" s="35"/>
      <c r="E61" s="35"/>
      <c r="F61" s="35"/>
      <c r="G61" s="35"/>
      <c r="H61" s="35"/>
      <c r="I61" s="32"/>
    </row>
    <row r="62" spans="1:9" s="40" customFormat="1" ht="24" customHeight="1">
      <c r="A62" s="32"/>
      <c r="B62" s="32" t="s">
        <v>141</v>
      </c>
      <c r="C62" s="35"/>
      <c r="D62" s="35"/>
      <c r="E62" s="35"/>
      <c r="F62" s="35"/>
      <c r="G62" s="35"/>
      <c r="H62" s="35"/>
      <c r="I62" s="32"/>
    </row>
    <row r="63" spans="1:9" s="40" customFormat="1" ht="24" customHeight="1">
      <c r="A63" s="32"/>
      <c r="B63" s="32" t="s">
        <v>142</v>
      </c>
      <c r="C63" s="35"/>
      <c r="D63" s="35"/>
      <c r="E63" s="35"/>
      <c r="F63" s="35"/>
      <c r="G63" s="35"/>
      <c r="H63" s="35"/>
      <c r="I63" s="32"/>
    </row>
    <row r="64" spans="1:9" s="40" customFormat="1" ht="24" customHeight="1">
      <c r="A64" s="32"/>
      <c r="B64" s="32" t="s">
        <v>185</v>
      </c>
      <c r="C64" s="35"/>
      <c r="D64" s="35"/>
      <c r="E64" s="35"/>
      <c r="F64" s="35"/>
      <c r="G64" s="35"/>
      <c r="H64" s="35"/>
      <c r="I64" s="32"/>
    </row>
    <row r="65" spans="1:9" s="40" customFormat="1" ht="24" customHeight="1">
      <c r="A65" s="32"/>
      <c r="B65" s="32"/>
      <c r="C65" s="35"/>
      <c r="D65" s="35"/>
      <c r="E65" s="35"/>
      <c r="F65" s="35"/>
      <c r="G65" s="35"/>
      <c r="H65" s="35"/>
      <c r="I65" s="32"/>
    </row>
    <row r="66" spans="1:9" ht="24" customHeight="1">
      <c r="A66" s="54"/>
      <c r="B66" s="48" t="s">
        <v>41</v>
      </c>
      <c r="C66" s="48"/>
      <c r="D66" s="48"/>
      <c r="E66" s="48"/>
      <c r="F66" s="34"/>
      <c r="G66" s="34"/>
      <c r="H66" s="34"/>
      <c r="I66" s="40"/>
    </row>
    <row r="67" spans="1:9" ht="24" customHeight="1">
      <c r="A67" s="67"/>
      <c r="B67" s="31" t="s">
        <v>116</v>
      </c>
      <c r="C67" s="31"/>
      <c r="D67" s="36"/>
      <c r="E67" s="38"/>
      <c r="F67" s="38"/>
      <c r="G67" s="38"/>
      <c r="H67" s="38"/>
      <c r="I67" s="67"/>
    </row>
    <row r="68" spans="1:9" ht="24" customHeight="1">
      <c r="A68" s="67"/>
      <c r="B68" s="31" t="s">
        <v>130</v>
      </c>
      <c r="C68" s="31"/>
      <c r="D68" s="36"/>
      <c r="E68" s="38"/>
      <c r="F68" s="38"/>
      <c r="G68" s="38"/>
      <c r="H68" s="38"/>
      <c r="I68" s="67"/>
    </row>
    <row r="69" spans="1:9" ht="24" customHeight="1">
      <c r="A69" s="67"/>
      <c r="B69" s="31" t="s">
        <v>108</v>
      </c>
      <c r="C69" s="31"/>
      <c r="D69" s="36"/>
      <c r="E69" s="38"/>
      <c r="F69" s="38"/>
      <c r="G69" s="38"/>
      <c r="H69" s="38"/>
      <c r="I69" s="67"/>
    </row>
    <row r="70" spans="1:9" ht="24" customHeight="1">
      <c r="A70" s="67"/>
      <c r="B70" s="31" t="s">
        <v>119</v>
      </c>
      <c r="C70" s="31"/>
      <c r="D70" s="36"/>
      <c r="E70" s="38"/>
      <c r="F70" s="38"/>
      <c r="G70" s="38"/>
      <c r="H70" s="38"/>
      <c r="I70" s="67"/>
    </row>
    <row r="71" spans="1:9" ht="24" customHeight="1">
      <c r="A71" s="67"/>
      <c r="B71" s="31" t="s">
        <v>153</v>
      </c>
      <c r="C71" s="31"/>
      <c r="D71" s="36"/>
      <c r="E71" s="38"/>
      <c r="F71" s="38"/>
      <c r="G71" s="38"/>
      <c r="H71" s="38"/>
      <c r="I71" s="67"/>
    </row>
    <row r="72" spans="1:9" ht="24" customHeight="1">
      <c r="A72" s="67"/>
      <c r="B72" s="31" t="s">
        <v>152</v>
      </c>
      <c r="C72" s="31"/>
      <c r="D72" s="36"/>
      <c r="E72" s="38"/>
      <c r="F72" s="38"/>
      <c r="G72" s="38"/>
      <c r="H72" s="38"/>
      <c r="I72" s="67"/>
    </row>
    <row r="73" spans="1:9" ht="24" customHeight="1">
      <c r="A73" s="67"/>
      <c r="B73" s="31" t="s">
        <v>133</v>
      </c>
      <c r="C73" s="31"/>
      <c r="D73" s="36"/>
      <c r="E73" s="38"/>
      <c r="F73" s="38"/>
      <c r="G73" s="38"/>
      <c r="H73" s="38"/>
      <c r="I73" s="67"/>
    </row>
    <row r="74" spans="1:9" ht="24" customHeight="1">
      <c r="A74" s="67"/>
      <c r="B74" s="31" t="s">
        <v>131</v>
      </c>
      <c r="C74" s="31"/>
      <c r="D74" s="36"/>
      <c r="E74" s="38"/>
      <c r="F74" s="38"/>
      <c r="G74" s="38"/>
      <c r="H74" s="38"/>
      <c r="I74" s="67"/>
    </row>
    <row r="75" spans="1:9" ht="24" customHeight="1">
      <c r="A75" s="67"/>
      <c r="B75" s="31" t="s">
        <v>120</v>
      </c>
      <c r="C75" s="31"/>
      <c r="D75" s="36"/>
      <c r="E75" s="38"/>
      <c r="F75" s="38"/>
      <c r="G75" s="38"/>
      <c r="H75" s="38"/>
      <c r="I75" s="67"/>
    </row>
    <row r="76" spans="1:9" ht="24" customHeight="1">
      <c r="A76" s="67"/>
      <c r="B76" s="31" t="s">
        <v>102</v>
      </c>
      <c r="C76" s="31"/>
      <c r="D76" s="36"/>
      <c r="E76" s="38"/>
      <c r="F76" s="38"/>
      <c r="G76" s="38"/>
      <c r="H76" s="38"/>
      <c r="I76" s="67"/>
    </row>
    <row r="77" spans="1:9" ht="24" customHeight="1">
      <c r="A77" s="67"/>
      <c r="B77" s="31" t="s">
        <v>195</v>
      </c>
      <c r="C77" s="31"/>
      <c r="D77" s="36"/>
      <c r="E77" s="38"/>
      <c r="F77" s="38"/>
      <c r="G77" s="38"/>
      <c r="H77" s="38"/>
      <c r="I77" s="67"/>
    </row>
    <row r="78" spans="1:9" ht="24" customHeight="1">
      <c r="A78" s="67"/>
      <c r="B78" s="31" t="s">
        <v>128</v>
      </c>
      <c r="C78" s="31"/>
      <c r="D78" s="36"/>
      <c r="E78" s="38"/>
      <c r="F78" s="38"/>
      <c r="G78" s="38"/>
      <c r="H78" s="38"/>
      <c r="I78" s="67"/>
    </row>
    <row r="79" spans="1:9" ht="24" customHeight="1">
      <c r="A79" s="67"/>
      <c r="B79" s="31" t="s">
        <v>196</v>
      </c>
      <c r="C79" s="31"/>
      <c r="D79" s="36"/>
      <c r="E79" s="38"/>
      <c r="F79" s="38"/>
      <c r="G79" s="38"/>
      <c r="H79" s="38"/>
      <c r="I79" s="67"/>
    </row>
    <row r="80" spans="1:9" ht="24" customHeight="1">
      <c r="A80" s="67"/>
      <c r="B80" s="31"/>
      <c r="C80" s="31"/>
      <c r="D80" s="36"/>
      <c r="E80" s="38"/>
      <c r="F80" s="38"/>
      <c r="G80" s="38"/>
      <c r="H80" s="38"/>
      <c r="I80" s="67"/>
    </row>
    <row r="81" spans="1:8" ht="24" customHeight="1">
      <c r="A81" s="65" t="s">
        <v>42</v>
      </c>
      <c r="C81" s="34"/>
      <c r="D81" s="34"/>
      <c r="E81" s="34"/>
      <c r="F81" s="34"/>
      <c r="G81" s="34"/>
      <c r="H81" s="34"/>
    </row>
    <row r="82" spans="1:8" ht="24" customHeight="1">
      <c r="B82" s="37" t="s">
        <v>39</v>
      </c>
      <c r="C82" s="39"/>
      <c r="D82" s="39"/>
      <c r="E82" s="39"/>
      <c r="F82" s="39"/>
      <c r="G82" s="39"/>
      <c r="H82" s="39"/>
    </row>
    <row r="83" spans="1:8" s="67" customFormat="1" ht="24" customHeight="1">
      <c r="B83" s="67" t="s">
        <v>154</v>
      </c>
    </row>
    <row r="84" spans="1:8" s="67" customFormat="1" ht="24" customHeight="1">
      <c r="B84" s="67" t="s">
        <v>182</v>
      </c>
    </row>
    <row r="85" spans="1:8" s="67" customFormat="1" ht="24" customHeight="1">
      <c r="B85" s="67" t="s">
        <v>156</v>
      </c>
    </row>
    <row r="86" spans="1:8" s="67" customFormat="1" ht="24" customHeight="1">
      <c r="B86" s="67" t="s">
        <v>157</v>
      </c>
    </row>
    <row r="87" spans="1:8" s="67" customFormat="1" ht="24" customHeight="1">
      <c r="B87" s="67" t="s">
        <v>160</v>
      </c>
    </row>
    <row r="88" spans="1:8" s="67" customFormat="1" ht="24" customHeight="1">
      <c r="B88" s="67" t="s">
        <v>162</v>
      </c>
    </row>
    <row r="89" spans="1:8" s="67" customFormat="1" ht="24" customHeight="1">
      <c r="B89" s="67" t="s">
        <v>163</v>
      </c>
    </row>
    <row r="90" spans="1:8" s="67" customFormat="1" ht="24" customHeight="1">
      <c r="B90" s="67" t="s">
        <v>164</v>
      </c>
    </row>
    <row r="91" spans="1:8" s="67" customFormat="1" ht="24" customHeight="1">
      <c r="B91" s="67" t="s">
        <v>165</v>
      </c>
    </row>
    <row r="92" spans="1:8" s="67" customFormat="1" ht="24" customHeight="1">
      <c r="B92" s="67" t="s">
        <v>168</v>
      </c>
    </row>
    <row r="93" spans="1:8" s="67" customFormat="1" ht="24" customHeight="1">
      <c r="B93" s="67" t="s">
        <v>169</v>
      </c>
    </row>
    <row r="94" spans="1:8" s="67" customFormat="1" ht="24" customHeight="1">
      <c r="B94" s="67" t="s">
        <v>171</v>
      </c>
    </row>
    <row r="95" spans="1:8" s="67" customFormat="1" ht="24" customHeight="1">
      <c r="B95" s="67" t="s">
        <v>197</v>
      </c>
    </row>
    <row r="96" spans="1:8" s="67" customFormat="1" ht="24" customHeight="1">
      <c r="B96" s="67" t="s">
        <v>172</v>
      </c>
    </row>
    <row r="97" spans="1:9" s="67" customFormat="1" ht="24" customHeight="1">
      <c r="B97" s="67" t="s">
        <v>176</v>
      </c>
    </row>
    <row r="98" spans="1:9" s="67" customFormat="1" ht="24" customHeight="1">
      <c r="B98" s="67" t="s">
        <v>198</v>
      </c>
    </row>
    <row r="99" spans="1:9" s="67" customFormat="1" ht="24" customHeight="1">
      <c r="B99" s="67" t="s">
        <v>179</v>
      </c>
    </row>
    <row r="100" spans="1:9" s="67" customFormat="1" ht="24" customHeight="1">
      <c r="B100" s="67" t="s">
        <v>180</v>
      </c>
    </row>
    <row r="101" spans="1:9" s="67" customFormat="1" ht="24" customHeight="1">
      <c r="B101" s="67" t="s">
        <v>181</v>
      </c>
    </row>
    <row r="102" spans="1:9" s="67" customFormat="1" ht="24" customHeight="1">
      <c r="B102" s="67" t="s">
        <v>183</v>
      </c>
    </row>
    <row r="103" spans="1:9" s="67" customFormat="1" ht="24" customHeight="1">
      <c r="B103" s="67" t="s">
        <v>184</v>
      </c>
    </row>
    <row r="104" spans="1:9" s="67" customFormat="1" ht="24" customHeight="1">
      <c r="B104" s="67" t="s">
        <v>188</v>
      </c>
    </row>
    <row r="105" spans="1:9" s="67" customFormat="1" ht="24" customHeight="1"/>
    <row r="106" spans="1:9" ht="24" customHeight="1">
      <c r="A106" s="67"/>
      <c r="B106" s="42" t="s">
        <v>40</v>
      </c>
      <c r="C106" s="38"/>
      <c r="D106" s="38"/>
      <c r="E106" s="38"/>
      <c r="F106" s="38"/>
      <c r="G106" s="38"/>
      <c r="H106" s="38"/>
      <c r="I106" s="67"/>
    </row>
    <row r="107" spans="1:9" s="69" customFormat="1" ht="24" customHeight="1">
      <c r="B107" s="31"/>
      <c r="C107" s="66"/>
      <c r="D107" s="66"/>
      <c r="E107" s="38"/>
      <c r="F107" s="38"/>
      <c r="G107" s="38"/>
      <c r="H107" s="38"/>
      <c r="I107" s="66"/>
    </row>
    <row r="108" spans="1:9" s="69" customFormat="1" ht="24" customHeight="1">
      <c r="B108" s="31"/>
      <c r="C108" s="66"/>
      <c r="D108" s="66"/>
      <c r="E108" s="38"/>
      <c r="F108" s="38"/>
      <c r="G108" s="38"/>
      <c r="H108" s="38"/>
      <c r="I108" s="66"/>
    </row>
    <row r="109" spans="1:9" s="69" customFormat="1" ht="24" customHeight="1">
      <c r="B109" s="45" t="s">
        <v>41</v>
      </c>
      <c r="C109" s="36"/>
      <c r="D109" s="36"/>
      <c r="E109" s="36"/>
      <c r="F109" s="36"/>
      <c r="G109" s="36"/>
      <c r="H109" s="36"/>
    </row>
    <row r="110" spans="1:9" s="69" customFormat="1" ht="24" customHeight="1">
      <c r="B110" s="67" t="s">
        <v>155</v>
      </c>
      <c r="C110" s="36"/>
      <c r="D110" s="36"/>
      <c r="E110" s="36"/>
      <c r="F110" s="36"/>
      <c r="G110" s="36"/>
      <c r="H110" s="36"/>
    </row>
    <row r="111" spans="1:9" s="69" customFormat="1" ht="24" customHeight="1">
      <c r="B111" s="31" t="s">
        <v>158</v>
      </c>
      <c r="C111" s="33"/>
      <c r="D111" s="33"/>
      <c r="E111" s="33"/>
      <c r="F111" s="33"/>
      <c r="G111" s="33"/>
      <c r="H111" s="33"/>
    </row>
    <row r="112" spans="1:9" s="69" customFormat="1" ht="24" customHeight="1">
      <c r="B112" s="34" t="s">
        <v>159</v>
      </c>
      <c r="C112" s="33"/>
      <c r="D112" s="33"/>
      <c r="E112" s="33"/>
      <c r="F112" s="33"/>
      <c r="G112" s="33"/>
      <c r="H112" s="33"/>
    </row>
    <row r="113" spans="1:9" s="69" customFormat="1" ht="24" customHeight="1">
      <c r="B113" s="31" t="s">
        <v>166</v>
      </c>
      <c r="C113" s="36"/>
      <c r="D113" s="36"/>
      <c r="E113" s="36"/>
      <c r="F113" s="36"/>
      <c r="G113" s="36"/>
      <c r="H113" s="36"/>
    </row>
    <row r="114" spans="1:9" s="69" customFormat="1" ht="24" customHeight="1">
      <c r="B114" s="31" t="s">
        <v>167</v>
      </c>
      <c r="C114" s="36"/>
      <c r="D114" s="36"/>
      <c r="E114" s="36"/>
      <c r="F114" s="36"/>
      <c r="G114" s="36"/>
      <c r="H114" s="36"/>
    </row>
    <row r="115" spans="1:9" s="69" customFormat="1" ht="24" customHeight="1">
      <c r="A115" s="67"/>
      <c r="B115" s="31" t="s">
        <v>170</v>
      </c>
      <c r="C115" s="36"/>
      <c r="D115" s="36"/>
      <c r="E115" s="36"/>
      <c r="F115" s="36"/>
      <c r="G115" s="36"/>
      <c r="H115" s="36"/>
    </row>
    <row r="116" spans="1:9" ht="24" customHeight="1">
      <c r="A116" s="67"/>
      <c r="B116" s="67" t="s">
        <v>173</v>
      </c>
      <c r="C116" s="36"/>
      <c r="D116" s="36"/>
      <c r="E116" s="36"/>
      <c r="F116" s="36"/>
      <c r="G116" s="36"/>
      <c r="H116" s="36"/>
      <c r="I116" s="69"/>
    </row>
    <row r="117" spans="1:9" s="67" customFormat="1" ht="24" customHeight="1">
      <c r="B117" s="31" t="s">
        <v>174</v>
      </c>
      <c r="C117" s="43"/>
      <c r="D117" s="43"/>
      <c r="E117" s="46"/>
      <c r="F117" s="46"/>
      <c r="G117" s="46"/>
      <c r="H117" s="43"/>
      <c r="I117" s="32"/>
    </row>
    <row r="118" spans="1:9" s="67" customFormat="1" ht="24" customHeight="1">
      <c r="A118" s="69"/>
      <c r="B118" s="32" t="s">
        <v>175</v>
      </c>
      <c r="C118" s="38"/>
      <c r="D118" s="38"/>
      <c r="E118" s="38"/>
      <c r="F118" s="38"/>
      <c r="G118" s="38"/>
      <c r="H118" s="38"/>
    </row>
    <row r="119" spans="1:9" s="69" customFormat="1" ht="24" customHeight="1">
      <c r="A119" s="67"/>
      <c r="B119" s="67" t="s">
        <v>177</v>
      </c>
      <c r="C119" s="38"/>
      <c r="D119" s="38"/>
      <c r="E119" s="38"/>
      <c r="F119" s="38"/>
      <c r="G119" s="38"/>
      <c r="H119" s="38"/>
      <c r="I119" s="67"/>
    </row>
    <row r="120" spans="1:9" s="69" customFormat="1" ht="24" customHeight="1">
      <c r="A120" s="67"/>
      <c r="B120" s="67" t="s">
        <v>178</v>
      </c>
      <c r="C120" s="38"/>
      <c r="D120" s="38"/>
      <c r="E120" s="38"/>
      <c r="F120" s="38"/>
      <c r="G120" s="38"/>
      <c r="H120" s="38"/>
      <c r="I120" s="67"/>
    </row>
    <row r="121" spans="1:9" s="69" customFormat="1" ht="24" customHeight="1">
      <c r="A121" s="67"/>
      <c r="B121" s="67" t="s">
        <v>186</v>
      </c>
      <c r="C121" s="38"/>
      <c r="D121" s="38"/>
      <c r="E121" s="38"/>
      <c r="F121" s="38"/>
      <c r="G121" s="38"/>
      <c r="H121" s="38"/>
      <c r="I121" s="67"/>
    </row>
    <row r="122" spans="1:9" s="69" customFormat="1" ht="24" customHeight="1">
      <c r="A122" s="67"/>
      <c r="B122" s="67" t="s">
        <v>187</v>
      </c>
      <c r="C122" s="38"/>
      <c r="D122" s="38"/>
      <c r="E122" s="38"/>
      <c r="F122" s="38"/>
      <c r="G122" s="38"/>
      <c r="H122" s="38"/>
      <c r="I122" s="67"/>
    </row>
    <row r="123" spans="1:9" s="69" customFormat="1" ht="24" customHeight="1">
      <c r="A123" s="67"/>
      <c r="B123" s="67" t="s">
        <v>189</v>
      </c>
      <c r="C123" s="38"/>
      <c r="D123" s="38"/>
      <c r="E123" s="38"/>
      <c r="F123" s="38"/>
      <c r="G123" s="38"/>
      <c r="H123" s="38"/>
      <c r="I123" s="67"/>
    </row>
    <row r="124" spans="1:9" s="69" customFormat="1" ht="24" customHeight="1">
      <c r="A124" s="67"/>
      <c r="B124" s="67" t="s">
        <v>190</v>
      </c>
      <c r="C124" s="36"/>
      <c r="D124" s="36"/>
      <c r="E124" s="36"/>
      <c r="F124" s="36"/>
      <c r="G124" s="36"/>
      <c r="H124" s="36"/>
    </row>
    <row r="125" spans="1:9" s="67" customFormat="1" ht="24" customHeight="1">
      <c r="B125" s="69"/>
      <c r="C125" s="36"/>
      <c r="D125" s="36"/>
      <c r="E125" s="36"/>
      <c r="F125" s="36"/>
      <c r="G125" s="36"/>
      <c r="H125" s="36"/>
      <c r="I125" s="69"/>
    </row>
    <row r="126" spans="1:9" s="67" customFormat="1" ht="24" customHeight="1">
      <c r="B126" s="44"/>
      <c r="C126" s="38"/>
      <c r="D126" s="38"/>
      <c r="E126" s="38"/>
      <c r="F126" s="38"/>
      <c r="G126" s="38"/>
      <c r="H126" s="38"/>
    </row>
    <row r="127" spans="1:9" s="67" customFormat="1" ht="24" customHeight="1">
      <c r="A127" s="69"/>
      <c r="B127" s="44"/>
      <c r="C127" s="38"/>
      <c r="D127" s="38"/>
      <c r="E127" s="38"/>
      <c r="F127" s="38"/>
      <c r="G127" s="38"/>
      <c r="H127" s="38"/>
    </row>
    <row r="128" spans="1:9" s="67" customFormat="1" ht="24" customHeight="1">
      <c r="B128" s="44"/>
      <c r="C128" s="38"/>
      <c r="D128" s="38"/>
      <c r="E128" s="38"/>
      <c r="F128" s="38"/>
      <c r="G128" s="38"/>
      <c r="H128" s="38"/>
    </row>
    <row r="129" spans="1:9" s="69" customFormat="1" ht="24" customHeight="1">
      <c r="A129" s="67"/>
      <c r="B129" s="44"/>
      <c r="C129" s="38"/>
      <c r="D129" s="38"/>
      <c r="E129" s="38"/>
      <c r="F129" s="38"/>
      <c r="G129" s="38"/>
      <c r="H129" s="38"/>
      <c r="I129" s="67"/>
    </row>
    <row r="130" spans="1:9" s="67" customFormat="1" ht="24" customHeight="1">
      <c r="B130" s="44"/>
      <c r="C130" s="36"/>
      <c r="D130" s="36"/>
      <c r="E130" s="36"/>
      <c r="F130" s="36"/>
      <c r="G130" s="36"/>
      <c r="H130" s="36"/>
      <c r="I130" s="69"/>
    </row>
    <row r="131" spans="1:9" s="67" customFormat="1" ht="24" customHeight="1">
      <c r="B131" s="41"/>
      <c r="C131" s="38"/>
      <c r="D131" s="38"/>
      <c r="E131" s="38"/>
      <c r="F131" s="38"/>
      <c r="G131" s="38"/>
      <c r="H131" s="38"/>
    </row>
    <row r="132" spans="1:9" s="67" customFormat="1" ht="24" customHeight="1">
      <c r="B132" s="41"/>
      <c r="C132" s="38"/>
      <c r="D132" s="38"/>
      <c r="E132" s="38"/>
      <c r="F132" s="38"/>
      <c r="G132" s="38"/>
      <c r="H132" s="38"/>
    </row>
    <row r="133" spans="1:9" s="67" customFormat="1" ht="24" customHeight="1">
      <c r="B133" s="41"/>
      <c r="C133" s="38"/>
      <c r="D133" s="38"/>
      <c r="E133" s="38"/>
      <c r="F133" s="38"/>
      <c r="G133" s="38"/>
      <c r="H133" s="38"/>
    </row>
    <row r="134" spans="1:9" s="67" customFormat="1" ht="24" customHeight="1">
      <c r="B134" s="41"/>
      <c r="C134" s="38"/>
      <c r="D134" s="38"/>
      <c r="E134" s="38"/>
      <c r="F134" s="38"/>
      <c r="G134" s="38"/>
      <c r="H134" s="38"/>
    </row>
    <row r="135" spans="1:9" s="67" customFormat="1" ht="24" customHeight="1">
      <c r="B135" s="44"/>
      <c r="C135" s="38"/>
      <c r="D135" s="38"/>
      <c r="E135" s="38"/>
      <c r="F135" s="38"/>
      <c r="G135" s="38"/>
      <c r="H135" s="38"/>
    </row>
    <row r="136" spans="1:9" s="67" customFormat="1" ht="24" customHeight="1">
      <c r="B136" s="44"/>
      <c r="C136" s="38"/>
      <c r="D136" s="38"/>
      <c r="E136" s="38"/>
      <c r="F136" s="38"/>
      <c r="G136" s="38"/>
      <c r="H136" s="38"/>
    </row>
    <row r="137" spans="1:9" s="67" customFormat="1" ht="24" customHeight="1">
      <c r="B137" s="44"/>
      <c r="C137" s="38"/>
      <c r="D137" s="38"/>
      <c r="E137" s="38"/>
      <c r="F137" s="38"/>
      <c r="G137" s="38"/>
      <c r="H137" s="38"/>
    </row>
    <row r="138" spans="1:9" s="67" customFormat="1" ht="24" customHeight="1">
      <c r="B138" s="44"/>
      <c r="C138" s="38"/>
      <c r="D138" s="38"/>
      <c r="E138" s="38"/>
      <c r="F138" s="38"/>
      <c r="G138" s="38"/>
      <c r="H138" s="38"/>
    </row>
    <row r="139" spans="1:9" s="67" customFormat="1" ht="24" customHeight="1">
      <c r="B139" s="44"/>
      <c r="C139" s="38"/>
      <c r="D139" s="38"/>
      <c r="E139" s="38"/>
      <c r="F139" s="38"/>
      <c r="G139" s="38"/>
      <c r="H139" s="38"/>
    </row>
    <row r="140" spans="1:9" s="67" customFormat="1" ht="24" customHeight="1">
      <c r="B140" s="44"/>
      <c r="C140" s="38"/>
      <c r="D140" s="38"/>
      <c r="E140" s="38"/>
      <c r="F140" s="38"/>
      <c r="G140" s="38"/>
      <c r="H140" s="38"/>
    </row>
    <row r="141" spans="1:9" s="67" customFormat="1" ht="24" customHeight="1">
      <c r="B141" s="44"/>
      <c r="C141" s="38"/>
      <c r="D141" s="38"/>
      <c r="E141" s="38"/>
      <c r="F141" s="38"/>
      <c r="G141" s="38"/>
      <c r="H141" s="38"/>
    </row>
    <row r="142" spans="1:9" s="67" customFormat="1" ht="24" customHeight="1">
      <c r="B142" s="44"/>
      <c r="C142" s="38"/>
      <c r="D142" s="38"/>
      <c r="E142" s="38"/>
      <c r="F142" s="38"/>
      <c r="G142" s="38"/>
      <c r="H142" s="38"/>
    </row>
    <row r="143" spans="1:9" s="67" customFormat="1" ht="24" customHeight="1">
      <c r="B143" s="44"/>
      <c r="C143" s="38"/>
      <c r="D143" s="38"/>
      <c r="E143" s="38"/>
      <c r="F143" s="38"/>
      <c r="G143" s="38"/>
      <c r="H143" s="38"/>
    </row>
    <row r="144" spans="1:9" s="67" customFormat="1" ht="24" customHeight="1">
      <c r="B144" s="44"/>
      <c r="C144" s="38"/>
      <c r="D144" s="38"/>
      <c r="E144" s="38"/>
      <c r="F144" s="38"/>
      <c r="G144" s="38"/>
      <c r="H144" s="38"/>
    </row>
    <row r="145" spans="1:9" s="67" customFormat="1" ht="24" customHeight="1">
      <c r="B145" s="44"/>
      <c r="C145" s="38"/>
      <c r="D145" s="38"/>
      <c r="E145" s="38"/>
      <c r="F145" s="38"/>
      <c r="G145" s="38"/>
      <c r="H145" s="38"/>
    </row>
    <row r="146" spans="1:9" s="67" customFormat="1" ht="24" customHeight="1">
      <c r="B146" s="32"/>
      <c r="C146" s="38"/>
      <c r="D146" s="38"/>
      <c r="E146" s="38"/>
      <c r="F146" s="38"/>
      <c r="G146" s="38"/>
      <c r="H146" s="38"/>
    </row>
    <row r="147" spans="1:9" s="67" customFormat="1" ht="24" customHeight="1">
      <c r="B147" s="32"/>
      <c r="C147" s="38"/>
      <c r="D147" s="38"/>
      <c r="E147" s="38"/>
      <c r="F147" s="38"/>
      <c r="G147" s="38"/>
      <c r="H147" s="38"/>
    </row>
    <row r="148" spans="1:9" s="67" customFormat="1" ht="24" customHeight="1">
      <c r="B148" s="32"/>
      <c r="C148" s="38"/>
      <c r="D148" s="38"/>
      <c r="E148" s="38"/>
      <c r="F148" s="38"/>
      <c r="G148" s="38"/>
      <c r="H148" s="38"/>
    </row>
    <row r="149" spans="1:9" s="67" customFormat="1" ht="24" customHeight="1">
      <c r="A149" s="32"/>
      <c r="B149" s="32"/>
      <c r="C149" s="38"/>
      <c r="D149" s="38"/>
      <c r="E149" s="38"/>
      <c r="F149" s="38"/>
      <c r="G149" s="38"/>
      <c r="H149" s="38"/>
    </row>
    <row r="150" spans="1:9" s="67" customFormat="1" ht="24" customHeight="1">
      <c r="A150" s="32"/>
      <c r="B150" s="32"/>
      <c r="C150" s="38"/>
      <c r="D150" s="38"/>
      <c r="E150" s="38"/>
      <c r="F150" s="38"/>
      <c r="G150" s="38"/>
      <c r="H150" s="38"/>
    </row>
    <row r="151" spans="1:9">
      <c r="C151" s="38"/>
      <c r="D151" s="38"/>
      <c r="E151" s="38"/>
      <c r="F151" s="38"/>
      <c r="G151" s="38"/>
      <c r="H151" s="38"/>
      <c r="I151" s="67"/>
    </row>
  </sheetData>
  <mergeCells count="7">
    <mergeCell ref="A3:H3"/>
    <mergeCell ref="A1:I1"/>
    <mergeCell ref="A13:B13"/>
    <mergeCell ref="A2:H2"/>
    <mergeCell ref="B5:H5"/>
    <mergeCell ref="B7:H7"/>
    <mergeCell ref="B6:H6"/>
  </mergeCells>
  <phoneticPr fontId="11" type="noConversion"/>
  <pageMargins left="0.59055118110236227" right="0.15748031496062992" top="0.74803149606299213" bottom="0.74803149606299213" header="0.31496062992125984" footer="0.31496062992125984"/>
  <pageSetup paperSize="9" scale="54" orientation="portrait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Total Table</vt:lpstr>
      <vt:lpstr>Summary</vt:lpstr>
      <vt:lpstr>Summary!Print_Area</vt:lpstr>
      <vt:lpstr>'Total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เบญจวรรณ ยืนยงค์</dc:creator>
  <cp:lastModifiedBy>maneerat nerwong</cp:lastModifiedBy>
  <cp:lastPrinted>2024-05-20T07:51:08Z</cp:lastPrinted>
  <dcterms:created xsi:type="dcterms:W3CDTF">2023-02-02T03:43:01Z</dcterms:created>
  <dcterms:modified xsi:type="dcterms:W3CDTF">2025-04-21T09:45:03Z</dcterms:modified>
</cp:coreProperties>
</file>