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7\12.Dec\"/>
    </mc:Choice>
  </mc:AlternateContent>
  <xr:revisionPtr revIDLastSave="0" documentId="13_ncr:1_{8C2CA399-3E3F-4CA1-9ABC-EE596CF34A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 Table" sheetId="1" r:id="rId1"/>
    <sheet name="Summary" sheetId="2" r:id="rId2"/>
    <sheet name="BLD" sheetId="3" r:id="rId3"/>
  </sheets>
  <definedNames>
    <definedName name="OLE_LINK1" localSheetId="1">Summary!#REF!</definedName>
    <definedName name="_xlnm.Print_Area" localSheetId="1">Summary!$A$1:$N$95</definedName>
    <definedName name="_xlnm.Print_Area" localSheetId="0">'Total Table'!$A$1:$N$116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" l="1"/>
  <c r="E14" i="3"/>
  <c r="H45" i="1" l="1"/>
  <c r="G45" i="1"/>
  <c r="E11" i="2"/>
  <c r="I45" i="1"/>
  <c r="C45" i="1"/>
  <c r="K45" i="1"/>
  <c r="J22" i="1"/>
  <c r="D45" i="1"/>
  <c r="M91" i="1"/>
  <c r="R45" i="1"/>
  <c r="Q45" i="1"/>
  <c r="B22" i="1"/>
  <c r="C22" i="1"/>
  <c r="E22" i="1"/>
  <c r="F22" i="1"/>
  <c r="G22" i="1"/>
  <c r="I22" i="1"/>
  <c r="K22" i="1"/>
  <c r="L22" i="1"/>
  <c r="M22" i="1"/>
  <c r="N22" i="1"/>
  <c r="O22" i="1"/>
  <c r="P45" i="1" l="1"/>
  <c r="L91" i="1" l="1"/>
  <c r="F45" i="1"/>
  <c r="E45" i="1" l="1"/>
  <c r="J45" i="1"/>
  <c r="M45" i="1"/>
  <c r="N45" i="1"/>
  <c r="O45" i="1"/>
  <c r="J68" i="1"/>
  <c r="K68" i="1"/>
  <c r="L68" i="1"/>
  <c r="M68" i="1"/>
  <c r="N68" i="1"/>
  <c r="B91" i="1"/>
  <c r="C91" i="1"/>
  <c r="D91" i="1"/>
  <c r="E91" i="1"/>
  <c r="F91" i="1"/>
  <c r="G91" i="1"/>
  <c r="H91" i="1"/>
  <c r="I91" i="1"/>
  <c r="J91" i="1"/>
  <c r="B68" i="1"/>
  <c r="C68" i="1"/>
  <c r="D68" i="1"/>
  <c r="E68" i="1"/>
  <c r="G68" i="1"/>
  <c r="H68" i="1"/>
</calcChain>
</file>

<file path=xl/sharedStrings.xml><?xml version="1.0" encoding="utf-8"?>
<sst xmlns="http://schemas.openxmlformats.org/spreadsheetml/2006/main" count="456" uniqueCount="186">
  <si>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</si>
  <si>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</si>
  <si>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</si>
  <si>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</si>
  <si>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</si>
  <si>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</si>
  <si>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</si>
  <si>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</si>
  <si>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</si>
  <si>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</si>
  <si>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ระดับคะแนนเฉลี่ย</t>
  </si>
  <si>
    <t>คิดเป็นร้อยละ</t>
  </si>
  <si>
    <t>ไตเทียม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</si>
  <si>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</si>
  <si>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</si>
  <si>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</si>
  <si>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</si>
  <si>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</si>
  <si>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</si>
  <si>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</si>
  <si>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</si>
  <si>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</si>
  <si>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</si>
  <si>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</si>
  <si>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</si>
  <si>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</si>
  <si>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</si>
  <si>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</si>
  <si>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</si>
  <si>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</si>
  <si>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</si>
  <si>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</si>
  <si>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</si>
  <si>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</si>
  <si>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</si>
  <si>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</si>
  <si>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</si>
  <si>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</si>
  <si>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</si>
  <si>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</si>
  <si>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</si>
  <si>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</si>
  <si>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</si>
  <si>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</si>
  <si>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</si>
  <si>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</si>
  <si>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</si>
  <si>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</si>
  <si>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</si>
  <si>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</si>
  <si>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</si>
  <si>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</si>
  <si>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</si>
  <si>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</si>
  <si>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</si>
  <si>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</si>
  <si>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</si>
  <si>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</si>
  <si>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</si>
  <si>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</si>
  <si>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</si>
  <si>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</si>
  <si>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</si>
  <si>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</si>
  <si>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</si>
  <si>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</si>
  <si>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</si>
  <si>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</si>
  <si>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</si>
  <si>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</si>
  <si>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</si>
  <si>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</si>
  <si>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โรคเลือด</t>
  </si>
  <si>
    <t>หัตถการ</t>
  </si>
  <si>
    <t>ห้องบัตร ชั้น 1</t>
  </si>
  <si>
    <t>HBO</t>
  </si>
  <si>
    <t>1. แพทย์ให้ความสำคัญกับการตรวจร่างกายเพื่อวินิจฉัยโรค</t>
  </si>
  <si>
    <t>2. แพทย์ให้ข้อมูล/แนะนำวิธีการและทางเลือกในการรักษา</t>
  </si>
  <si>
    <t>3. คำถามและข้อสงสัย ได้รับคำตอบที่ชัดเจนจากแพทย์</t>
  </si>
  <si>
    <t>4. แพทย์รับฟัง/พูดคุยให้ท่านคลายความกังวลในอาการเจ็บป่วย</t>
  </si>
  <si>
    <t>5. ท่านได้มีโอกาสพูดคุยกับพยาบาลหรือเจ้าหน้าที่เรื่องอาการเจ็บป่วย</t>
  </si>
  <si>
    <t>6. พยาบาลเจ้าหน้าที่สามารถตอบข้อสงสัยได้ชัดเจน</t>
  </si>
  <si>
    <t>7. ท่านได้รับการดูแลเอาใจใส่</t>
  </si>
  <si>
    <t>8. ท่านมีส่วนร่วมในการตัดสินใจเรื่องการรักษาพยาบาล</t>
  </si>
  <si>
    <t>9. ท่านได้รับการดูแลอย่างเท่าเทียม ไม่เลือกปฏิบัติ</t>
  </si>
  <si>
    <t>10. ท่านได้รับคำแนะนำและขั้นตอนในการรับบริการโรงพยาบาล</t>
  </si>
  <si>
    <t>11. อาการเจ็บป่วยทางกายและใจได้รับการดูแลอย่างดี</t>
  </si>
  <si>
    <t>12. แพทย์เปิดโอกาสให้ผู้ป่วย/ญาติได้ซักถาม</t>
  </si>
  <si>
    <t>13. ผู้ป่วยและญาติได้รับข้อมูลการรักษาที่เป็นประโยชน์ สามารถดูแลตัวเองได้</t>
  </si>
  <si>
    <t>14. ท่านได้รับข้อมูลการใช้ยาและผลข้างเคียงอย่างชัดเจน</t>
  </si>
  <si>
    <t>15. ท่านได้รับคำแนะนำอย่างชัดเจนถึงอาการที่ควรกลับมาพบแพทย์</t>
  </si>
  <si>
    <t>16. ท่านพึงพอใจต่อการบริการของโรงพยาบาลโดยรวมในระดับใด</t>
  </si>
  <si>
    <t>การเงิน และบัญชี</t>
  </si>
  <si>
    <t>สรุปการประเมินผล OP-IP VOICE เดือนธันวาคม 2567</t>
  </si>
  <si>
    <t>985</t>
  </si>
  <si>
    <t>9</t>
  </si>
  <si>
    <t>611</t>
  </si>
  <si>
    <t xml:space="preserve">ค่าเฉลี่ยการแนะนำญาติหรือคนรู้จักให้มาใช้บริการที่โรงพยาบาล  OPD = 93.45% IPD = 96.35%  </t>
  </si>
  <si>
    <t xml:space="preserve"> - ผู้ป่วยมาใช้บริการไม่ทราบถึงกฎระเบียบการลงบทะเบียนเพื่อรับคิวการรักษา ในกรณีคิวเต็มควรช่วยผู้ป่วยแก้ไขปัญหา ไม่ใช่ไล่กลับบ้านแล้วค่อยมาลงทะเบียนใหม่ ทั้งที่ผู้ป่วยก็แจ้งความประสงค์แล้วว่าจะรักษานอกเวลาเพราะมีความจำเป็น </t>
  </si>
  <si>
    <t xml:space="preserve"> - การลงทะเบียนล่าสุดที่มีการปรับปรุงให้ผู้ป่วยที่จะมาพบแพทย์คลินิกนอกเวลา สามารถลงทะเบียนรับคิวได้ตั้งแต่เช้า เพื่อให้สะดวกกับคนที่ต้องมาเจาะเลือด แต่ข้อเสียที่เกิดขึ้นคือ ผู้ป่วยต้องเสียเวลามาเอาคิว หรือเสียเงินเพิ่มค่ารถ 
   </t>
  </si>
  <si>
    <t xml:space="preserve">   ค่าจ้างคนมาเอาคิว เพื่อให้ได้คิวแรก ๆ แล้วค่อยกลับบ้าน ทำให้ต้องมาโรงพยาบาลถึง 2 รอบ ดังนั้นจึงเสนอให้ปรับปรุงว่าถ้าผู้ป่วยคนใดมีนัดเจาะเลือดสามารถรับคิวเช้าได้ แต่นอกนั้นให้กลับไปรับช่วง 14.00 น. เป็นต้นไปเหมือนเมื่อก่อน </t>
  </si>
  <si>
    <t xml:space="preserve">   แล้วให้ขึ้นไปที่ชั้น 3 เพื่อหย่อนใบลงทะเบียนรอการซักประวัติ เป็นการเพิ่มขั้นตอน ถึงแม้ว่าจะมาตั้งแต่เช้า ถ้าไม่ได้มาหย่อนใบลงทะเบียนก็จะได้ซักประวัติช้า ทำให้ได้ตรวจล่าช้า และปัญหาของผู้ที่ไม่ได้มาพบแพทย์ที่ชั้น 3  ถ้าถูกซักประวัติช้า</t>
  </si>
  <si>
    <t xml:space="preserve">   ก็จะทำให้การรักษาล่าช้าไปเรื่อย ๆ  จึงเสนอให้มีการลงทะเบียนแล้วให้ขึ้นไปที่แผนกได้เลย เพื่อลดการรอคอย</t>
  </si>
  <si>
    <t xml:space="preserve"> - อยากให้มีอุปกรณ์ยกผู้ป่วยขึ้นรถแบบผ้ายกที่สอดเข้าใต้ตัวผู้ป่วยแล้วหามยกไปได้เลย จะได้สะดวกและป้องกันการบาดเจ็บได้ด้วยครับ</t>
  </si>
  <si>
    <t xml:space="preserve"> - รอตรวจช้ามาก</t>
  </si>
  <si>
    <t xml:space="preserve"> - ควรเพิ่มเวลาในการจอดรถฟรี</t>
  </si>
  <si>
    <t xml:space="preserve"> - อยากให้โอนย้ายงานบางส่วนไปที่ศูนย์ฟื้นฟูบางพระ เช่น สิทธิประกันสังคมที่มีอายุ 60 ปีขึ้นไป หรือมีภูมิลำเนาอยู่ในเขตหอพระ</t>
  </si>
  <si>
    <t xml:space="preserve"> - ควรจัดที่นั่งสำหรับผู้ป่วย เพื่อไม่ให้ต้องลงไปนั่งที่พื้น (คลินิกเวชปฏิบัติ)</t>
  </si>
  <si>
    <t xml:space="preserve"> - เรื่องการทำเเผลวันนี้ เข้าใจว่าเเผลลึกเป็นโพรงต้องล้วงล้างเเละซับให้สะอาดก่อนทายาเเต่มือค่อนข้างหนักไปหน่อยเอาฟอเซ็บล้วงเข้าไปข้างในเเบบคล้าย ๆ เเยงเเรงไปหน่อย เเอบมีเลือดติดมากับก๊อซ ทำเเผลทายาเเล้วซับด้วยก๊อต</t>
  </si>
  <si>
    <t xml:space="preserve">   เเล้วติดสก๊อตเทป ทำไม่ดีเลยวันนี้กลับมาถึงบ้านยาซึมออกเป็นเมือก ๆ เลอะเทอะไปหมด ผู้ป่วยใส่สายสวนคาไว้ก็เลอะเทอะ ซึ่งอาจทำให้เกิดการติดเชื้อขึ้นมาได้อยากให้ปรับปรุงเรื่องการทำแผลค่ะ</t>
  </si>
  <si>
    <t xml:space="preserve"> - ควรมีความตรงต่อเวลา </t>
  </si>
  <si>
    <t xml:space="preserve"> - ไม่พูดเรื่องส่วนตัวเยอะเกินไป ผู้ป่วยจะได้ไม่ต้องรอนาน</t>
  </si>
  <si>
    <t xml:space="preserve"> - รอแพทย์นาน</t>
  </si>
  <si>
    <t xml:space="preserve"> - รอจ่ายเงิน / บัญชี นาน</t>
  </si>
  <si>
    <t xml:space="preserve"> - อุปกรณ์เครื่องเสียง (คลินิกฝากครรภ์ ANC)</t>
  </si>
  <si>
    <t xml:space="preserve"> - อยากให้มีเก้าอี้เพิ่มในจุดเจาะเลือด ชั้น 4</t>
  </si>
  <si>
    <t xml:space="preserve"> - เจ้าหน้าที่ไม่เพียงพอ</t>
  </si>
  <si>
    <t xml:space="preserve"> - รอนาน (3)</t>
  </si>
  <si>
    <t xml:space="preserve"> - ที่จอดรถไม่เพียงพอ (2)</t>
  </si>
  <si>
    <t xml:space="preserve"> - อยากให้สามารถระบุแพทย์ที่รักษาอยู่ประจำ เมื่อมาตรวจจะได้รักษาต่อเนื่องโดยแพทย์ท่านเดิม </t>
  </si>
  <si>
    <t xml:space="preserve"> - ควรจะให้มีร้านอาหารเพิ่มเพื่อบริการญาติผู้ป่วยและผู้ป่วย</t>
  </si>
  <si>
    <t xml:space="preserve"> - ห้องน้ำลื่น มีน้ำขัง</t>
  </si>
  <si>
    <t xml:space="preserve"> - รอคิวนาน (2)</t>
  </si>
  <si>
    <t xml:space="preserve"> - จุดลงทะเบียนให้ข้อมูลไม่ชัดเจน</t>
  </si>
  <si>
    <t xml:space="preserve"> - เพิ่มจุดลงทะเบียน</t>
  </si>
  <si>
    <t xml:space="preserve"> - ห้องยาช้า</t>
  </si>
  <si>
    <t xml:space="preserve"> - ห้องน้ำอยู่ไกล ไม่สะดวก เนื่องจากผู้มาใช้บริการมีอาการบาดเจ็บ ทำให้เคลื่อนย้ายได้ยาก (HBO)</t>
  </si>
  <si>
    <t xml:space="preserve"> - OPD medicine เลื่อนนัดจากวันที่ 6 ธันวาคม 2567 เป็นวันที่ 3 ธันวาคม 2567 แจ้งว่าให้เปลี่ยนวันในใบนัดได้เลย ใบนัดให้ไปเจาะเลือดชั้น 4 หรือ 6 วันที่มาคือมาตรงนัด วันที่ 3 ธันวาคม 2567 เวลา 8.30 น.  ขึ้นไปเจาะเลือดชั้น 4 </t>
  </si>
  <si>
    <t xml:space="preserve">   ถึงออกใน OPD case 4-5 ชั่วโมง [พบแพทย์ไม่เกิน 5 นาที] และกรณีที่คนไข้ไม่ได้ทำอะไรผิด ความผิดเกิดจากระบบหรือบุคลากร ควรจะต้อง offer help ค่ะ ไม่ใช่ให้ต้องเดินไปเดินมา โดนเฉพาะผู้สูงอายุ disability หรือไม่มีญาติ</t>
  </si>
  <si>
    <t xml:space="preserve"> - ข้าวต้มจืดไปหน่อย</t>
  </si>
  <si>
    <t xml:space="preserve"> - การห้ามเด็กต่ำกว่า 12 ปีเข้า คิดว่าเป็นเรื่องที่ดีแต่ห้ามเลือกปฏิบัติ</t>
  </si>
  <si>
    <t xml:space="preserve"> - รสชาติอาหารจืด</t>
  </si>
  <si>
    <t xml:space="preserve"> - เอกสารรอกลับบ้านนาน ช้ามาก</t>
  </si>
  <si>
    <t xml:space="preserve"> - ป้ายติดประกาศที่มีความชัดเจนหน้าห้อง เกี่ยวกับเวลาเข้าเยี่ยม 11:00-15:00 น. และ 17:00-20:00 น. ญาติปฏิบัติตัวอย่างเคร่งครัดให้เกียรติสถานที่ คนไข้มีความกังวลรอคอยญาติกลับมาเยี่ยมเมื่อสัญญากับคนไข้ไว้ว่าเดี๋ยว17:00 น.  </t>
  </si>
  <si>
    <t xml:space="preserve">   แต่เมื่อคุณเลือกเดินสายอาชีพนี้แล้วควรต้องให้เกียรติอาชีพที่เลือกด้วย การทำงานด้วยใจรักไม่ใช่อารมณ์</t>
  </si>
  <si>
    <t xml:space="preserve"> - รถเข็นเสาน้ำเกลือเข็นยาก (19C)</t>
  </si>
  <si>
    <t xml:space="preserve"> - กดปุ่มขอความช่วยเหลือแล้วได้คำพูดกลับมาไม่ดี ถ้าไม่ปวดทำเองได้เราไม่ขอให้มาช่วยหรอก เกรงใจเหมือนกัน แต่ ณ เวลานั้นเราไม่ไหวจริง ๆ</t>
  </si>
  <si>
    <t xml:space="preserve"> - การบริการช้าไปหน่อย</t>
  </si>
  <si>
    <t xml:space="preserve"> - ยาช้ามาก</t>
  </si>
  <si>
    <t xml:space="preserve"> - ไม่มีวอร์ดสำหรับผู้ป่วยจิตเวชที่ชัดเจน</t>
  </si>
  <si>
    <t xml:space="preserve"> - แพทย์หรือเจ้าหน้าที่น้อย</t>
  </si>
  <si>
    <t xml:space="preserve"> - อยู่ห้องพิเศษยากให้ญาติเฝ้ามากกว่า 1 คน</t>
  </si>
  <si>
    <t xml:space="preserve"> - ความล่าช้าในการติดต่อของหน่วยงาน ด้านล่าง ชั้น 1 ในการ Admit ผู้ป่วย</t>
  </si>
  <si>
    <t xml:space="preserve"> - ที่จอดรถ</t>
  </si>
  <si>
    <t xml:space="preserve"> - อาหารที่จัดให้ผู้ป่วยไม่ควรเย็นเลย ควรจะทำให้มีความร้อน แต่ที่ได้รับในแต่ละมื้อที่เริ่มเป็นอาหารอ่อนและกับข้าวที่มาส่งเย็นมาก แม้แต่ความอุ่นของอาหารยังไม่มีเลย</t>
  </si>
  <si>
    <t xml:space="preserve"> - ให้ยาหลังอาหารช้าไปหน่อย</t>
  </si>
  <si>
    <t>อันดับ 2 อุปกรณ์ เครื่องมือ และสถานที่ไม่สมบูรณ์ (OPD : 10    IPD : 6 )</t>
  </si>
  <si>
    <t>อันดับ 3 การทำงานและพฤติกรรมของบุคลากร (OPD : 1  IPD : 1 )</t>
  </si>
  <si>
    <t xml:space="preserve"> - ที่รอ OPD medicine แออัดมากค่ะ มีแพทย์อาวุโส ต้องออกมาตรวจต้องเคาน์เตอร์พยาบาลด้านหน้า ในขณะที่ โรงพยาบาลเพิ่งเปิดตึกใหม่ น่าจะมีการบริการจัดการพื้นที่นั่งคอย ตรวจ privacy และความลับของคนไข้ได้ดีกว่านี้</t>
  </si>
  <si>
    <t xml:space="preserve">   เพื่อลดค่าใช้จ่ายของผู้ป่วยที่ต้องมาช่วงเช้าก่อน 1 รอบ แล้วกลับบ้านไปรอ ซึ่งถ้าปรับได้ก็จะดีขึ้นมาก ไม่ต้องมีบัตรคิว มาบ่าย 2 ลงทะเบียนแล้วรอตรวจเลยก็จะลดขั้นตอนในการพบแพทย์ได้ และยังมีเรื่องของขั้นตอนหลังลงทะเบียน</t>
  </si>
  <si>
    <t xml:space="preserve">   ไม่ใช่ให้คนไข้เดินไปเดินมา ซึ่งส่วนใหญ่คนไข้สูงอายุ OA knee ลิฟต์โรงพยาบาลก็ช้ามาก ต้องขึ้นบันไดเลื่อนขึ้น ๆ ลง ๆ และแต่ละจุดก็ช้ามากอยู่แล้ว มาโรงพยาบาลเจอหมอตรวจไม่ถึง 5 นาที แต่รวมเวลา waiting time จากเหยียบโรงพยาบาล</t>
  </si>
  <si>
    <t xml:space="preserve">   ได้รับการแจ้งว่าถ้ามาไม่ตรงนัด ต้องไปติดต่อการเงินให้ปลดระบบก่อน เพราะห้อง lab จะไม่เห็น order ซึ่งในความจริงคนไข้ไม่ได้ทำขั้นตอนอะไรผิดเลย ไม่ได้โทษคนหน้างานนะคะ แต่ทางโรงพยาบาลควรจะปรับปรุงให้ระบบมันเชื่อมต่อกัน </t>
  </si>
  <si>
    <t xml:space="preserve"> - เรื่องเดียวที่ทุกคนบ่นกันเกือบทุกคนที่คุยกันคืออาคารจอดรถ ที่เสียเงินที่สร้างใหม่พร้อมตึกใหม่ เป็นอาคารจอดรถที่แย่ที่สุด เท่าที่จอดรถมา เลี้ยวลำบาก ทำได้แย่มาก ๆ ขึ้นลงที่จอดรถยาก อันตราย ต้องคอยมีคนโบก วิศวกรคิดมาได้อย่างไร</t>
  </si>
  <si>
    <t xml:space="preserve">   ก็ควรประกาศแจ้งให้ชัดเจนถึงเวลาเข้าเยี่ยมเป็น 18:00 น. และควรต้องเพิ่มระยะเวลาในการเยี่ยมเป็น 21:00 น. ไม่ใช่มาใช้คำพูดจาไม่ดีกับญาติคนไข้ พูดด้วยน้ำเสียงที่มีอารมณ์ ญาติคนว่าหน้าที่พยาบาลอาจจะมีความเหนื่อยล้า </t>
  </si>
  <si>
    <t xml:space="preserve">   จะกลับเข้ามาอีกครั้งเมื่อญาติกลับเช้ามาอีกครั้งในเวลา 17:08 น. ญาติถูกพยาบาลและเจ้าหน้าที่แจ้งว่า กำลังทำหัตถการยังไม่สามารถเข้าเยี่ยมได้ญาติ สามารถเข้าเยี่ยมได้ในเวลา18:00น. เจ้าหน้าที่จะรู้บ้างไหมว่าคนไข้มีความรอและเริ่มวิตกกังวล</t>
  </si>
  <si>
    <t xml:space="preserve"> - ถ้าไม่รอตรวจนานเป็นวัน ๆ จะดีมาก แต่ยอมรับว่าคนไข้เยอะ </t>
  </si>
  <si>
    <t xml:space="preserve"> - ควรปรับปรุงรายการอาหาร อาหารแต่ละประเภทเหมือนคนทำอาหารทำไม่เป็น ไม่มีความรู้</t>
  </si>
  <si>
    <t>อันดับ 1 การให้บริการโดยรวม (OPD : 20  IPD : 17 )</t>
  </si>
  <si>
    <t xml:space="preserve">   ว่าถูกทอดทิ้งมันกระทบกระเทือนจิตใจคนไข้เป็นอย่างมาก แค่สภาวะทางกายที่คนไข้เจ็บปวดก็ทรมานอยู่แล้ว คนไข้กลับต้องเจ็บปวดเพิ่มเติมจากการกระทำของเจ้าหน้าที่ หากจะต้องทำหัตถการและเริ่มเข้าเยี่ยมได้ในเวลา 18:00 น. </t>
  </si>
  <si>
    <t xml:space="preserve">ค่าเฉลี่ยความพึงพอใจการใช้บริการของโรงพยาบาล OPD = 88.65 % IPD = 91.14%  </t>
  </si>
  <si>
    <t xml:space="preserve"> - ประตูห้องน้ำ ห้อง 14 ฝืด (26B)</t>
  </si>
  <si>
    <t xml:space="preserve"> - ปรับปรุงประตูห้องน้ำ B214 (26B)</t>
  </si>
  <si>
    <t>347</t>
  </si>
  <si>
    <t>Descriptive Statistics</t>
  </si>
  <si>
    <t>N</t>
  </si>
  <si>
    <t>Minimum</t>
  </si>
  <si>
    <t>Maximum</t>
  </si>
  <si>
    <t>Mean</t>
  </si>
  <si>
    <t>Std. Deviation</t>
  </si>
  <si>
    <t>V1</t>
  </si>
  <si>
    <t>V2</t>
  </si>
  <si>
    <t>V3</t>
  </si>
  <si>
    <t>V4</t>
  </si>
  <si>
    <t>V5</t>
  </si>
  <si>
    <t>V6</t>
  </si>
  <si>
    <t>V7</t>
  </si>
  <si>
    <t>tt</t>
  </si>
  <si>
    <t>Valid N (listwise)</t>
  </si>
  <si>
    <t xml:space="preserve"> - อยากให้มีช่วงเวลาที่ญาติได้คุยกับแพทย์เจ้าของไข้ อาจจะทางโทรศัพท์ก็ได้</t>
  </si>
  <si>
    <t xml:space="preserve"> - รสชาติอาหารควรปรับปรุง แม้เฉพาะโรคแต่ก็ควรมีวิธีทำให้อาหารทานได้</t>
  </si>
  <si>
    <t xml:space="preserve"> - ดำเนินการล่าช้ามาก มาตั้งแต่ช่วงสายเพราะถูกส่งตัวมา จน 1 ทุ่ม ยังไม่ได้รับการตรวจ แย่มาก</t>
  </si>
  <si>
    <t xml:space="preserve"> - อยากให้ทุกแผนกออกใบนัดโดยมีการระบุ วันจันทร์-ศุกร์ ไว้ในใบนัด เพื่ออำนวยความสะดวกให้แก่ผู้ป่วยที่ไม่ได้เล่นโซเชียลมีเดีย หรือคนที่ต้องคอยดูปฏิทิน หากมีวันระบุ ก็จะให้จำวันนัดได้ง่ายขึ้น</t>
  </si>
  <si>
    <t xml:space="preserve"> - ควรมีน้ำดื่มฟรีเหมือนเมื่อก่อนบ้าง ทุกวันนี้มีแต่ซื้อ-ขาย อย่างเดียว ควรมีบริการคนไข้ในส่วนน้ำดื่ม</t>
  </si>
  <si>
    <t xml:space="preserve">   คนตรวจรับตรวจได้อย่างไร แย่มาก ๆ เดือดร้อนรถเข้าจอด แต่จำเป็นต้องจอดเพราะหาที่จอดไม่ได้ บางคันรถขูดกับเสากับอาคารจอด ควรปรับปรุงแก้ไขเรื่องที่จอดรถมาก ๆ ให้พอเพียง และปลอดภัยกับผู้ป่วยและญาติ</t>
  </si>
  <si>
    <t xml:space="preserve"> - ควรปรับให้ญาติผู้ป่วยได้คุยกับแพทย์ สอบถามอาการผู้ป่วย เพราะคนไข้สูงอายุไม่ทราบข้อมูลการรักษา มีความกังวลใจไม่ทราบถึงแผนการรักษา นอนโรงพยาบาลต้องตรวจรักษาอะไรบ้าง</t>
  </si>
  <si>
    <t xml:space="preserve"> - ถ้ามีกางเกงสำหรับผู้ป่วยหญิงจะดีมาก (22D)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</si>
</sst>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###0.00"/>
    <numFmt numFmtId="188" formatCode="###0"/>
    <numFmt numFmtId="189" formatCode="####.000"/>
  </numFmts>
  <fonts count="37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  <font>
      <b/>
      <sz val="8"/>
      <color indexed="8"/>
      <name val="Arial Bold"/>
    </font>
    <font>
      <sz val="8"/>
      <color indexed="8"/>
      <name val="Arial"/>
      <family val="2"/>
    </font>
    <font>
      <sz val="16"/>
      <color indexed="8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</borders>
  <cellStyleXfs count="19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  <xf numFmtId="0" fontId="16" fillId="0" borderId="0"/>
  </cellStyleXfs>
  <cellXfs count="1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7" fontId="19" fillId="0" borderId="1" xfId="11" applyNumberFormat="1" applyFont="1" applyBorder="1" applyAlignment="1">
      <alignment horizontal="center" vertical="center"/>
    </xf>
    <xf numFmtId="187" fontId="19" fillId="0" borderId="1" xfId="13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2" fontId="21" fillId="6" borderId="1" xfId="0" applyNumberFormat="1" applyFont="1" applyFill="1" applyBorder="1" applyAlignment="1">
      <alignment horizontal="center" vertical="center" wrapText="1"/>
    </xf>
    <xf numFmtId="187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87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87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8" fillId="6" borderId="1" xfId="14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87" fontId="27" fillId="0" borderId="1" xfId="11" applyNumberFormat="1" applyFont="1" applyBorder="1" applyAlignment="1">
      <alignment horizontal="center" vertical="center"/>
    </xf>
    <xf numFmtId="187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2" fontId="19" fillId="0" borderId="0" xfId="14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2" fontId="28" fillId="0" borderId="0" xfId="14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2" fontId="21" fillId="0" borderId="4" xfId="0" applyNumberFormat="1" applyFont="1" applyBorder="1" applyAlignment="1">
      <alignment horizontal="left" vertical="top" wrapText="1"/>
    </xf>
    <xf numFmtId="0" fontId="32" fillId="0" borderId="0" xfId="18" applyFont="1" applyAlignment="1">
      <alignment horizontal="center" vertical="center" wrapText="1"/>
    </xf>
    <xf numFmtId="0" fontId="16" fillId="0" borderId="0" xfId="18"/>
    <xf numFmtId="0" fontId="33" fillId="0" borderId="11" xfId="18" applyFont="1" applyBorder="1" applyAlignment="1">
      <alignment horizontal="left" wrapText="1"/>
    </xf>
    <xf numFmtId="0" fontId="33" fillId="0" borderId="12" xfId="18" applyFont="1" applyBorder="1" applyAlignment="1">
      <alignment horizontal="center" wrapText="1"/>
    </xf>
    <xf numFmtId="0" fontId="33" fillId="0" borderId="13" xfId="18" applyFont="1" applyBorder="1" applyAlignment="1">
      <alignment horizontal="center" wrapText="1"/>
    </xf>
    <xf numFmtId="0" fontId="33" fillId="0" borderId="14" xfId="18" applyFont="1" applyBorder="1" applyAlignment="1">
      <alignment horizontal="center" wrapText="1"/>
    </xf>
    <xf numFmtId="0" fontId="33" fillId="0" borderId="15" xfId="18" applyFont="1" applyBorder="1" applyAlignment="1">
      <alignment horizontal="left" vertical="top" wrapText="1"/>
    </xf>
    <xf numFmtId="188" fontId="33" fillId="0" borderId="16" xfId="18" applyNumberFormat="1" applyFont="1" applyBorder="1" applyAlignment="1">
      <alignment horizontal="right" vertical="top"/>
    </xf>
    <xf numFmtId="188" fontId="33" fillId="0" borderId="17" xfId="18" applyNumberFormat="1" applyFont="1" applyBorder="1" applyAlignment="1">
      <alignment horizontal="right" vertical="top"/>
    </xf>
    <xf numFmtId="187" fontId="33" fillId="0" borderId="17" xfId="18" applyNumberFormat="1" applyFont="1" applyBorder="1" applyAlignment="1">
      <alignment horizontal="right" vertical="top"/>
    </xf>
    <xf numFmtId="189" fontId="33" fillId="0" borderId="18" xfId="18" applyNumberFormat="1" applyFont="1" applyBorder="1" applyAlignment="1">
      <alignment horizontal="right" vertical="top"/>
    </xf>
    <xf numFmtId="0" fontId="33" fillId="0" borderId="19" xfId="18" applyFont="1" applyBorder="1" applyAlignment="1">
      <alignment horizontal="left" vertical="top" wrapText="1"/>
    </xf>
    <xf numFmtId="188" fontId="33" fillId="0" borderId="20" xfId="18" applyNumberFormat="1" applyFont="1" applyBorder="1" applyAlignment="1">
      <alignment horizontal="right" vertical="top"/>
    </xf>
    <xf numFmtId="188" fontId="33" fillId="0" borderId="21" xfId="18" applyNumberFormat="1" applyFont="1" applyBorder="1" applyAlignment="1">
      <alignment horizontal="right" vertical="top"/>
    </xf>
    <xf numFmtId="187" fontId="33" fillId="0" borderId="21" xfId="18" applyNumberFormat="1" applyFont="1" applyBorder="1" applyAlignment="1">
      <alignment horizontal="right" vertical="top"/>
    </xf>
    <xf numFmtId="189" fontId="33" fillId="0" borderId="22" xfId="18" applyNumberFormat="1" applyFont="1" applyBorder="1" applyAlignment="1">
      <alignment horizontal="right" vertical="top"/>
    </xf>
    <xf numFmtId="0" fontId="33" fillId="0" borderId="23" xfId="18" applyFont="1" applyBorder="1" applyAlignment="1">
      <alignment horizontal="left" vertical="top" wrapText="1"/>
    </xf>
    <xf numFmtId="188" fontId="33" fillId="0" borderId="24" xfId="18" applyNumberFormat="1" applyFont="1" applyBorder="1" applyAlignment="1">
      <alignment horizontal="right" vertical="top"/>
    </xf>
    <xf numFmtId="0" fontId="33" fillId="0" borderId="25" xfId="18" applyFont="1" applyBorder="1" applyAlignment="1">
      <alignment horizontal="left" vertical="top" wrapText="1"/>
    </xf>
    <xf numFmtId="0" fontId="33" fillId="0" borderId="26" xfId="18" applyFont="1" applyBorder="1" applyAlignment="1">
      <alignment horizontal="left" vertical="top" wrapText="1"/>
    </xf>
    <xf numFmtId="2" fontId="0" fillId="0" borderId="0" xfId="0" applyNumberFormat="1"/>
    <xf numFmtId="187" fontId="34" fillId="0" borderId="1" xfId="18" applyNumberFormat="1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 wrapText="1"/>
    </xf>
    <xf numFmtId="187" fontId="36" fillId="7" borderId="4" xfId="1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 wrapText="1"/>
    </xf>
    <xf numFmtId="49" fontId="26" fillId="0" borderId="0" xfId="0" applyNumberFormat="1" applyFont="1" applyAlignment="1">
      <alignment horizontal="left" vertical="top" wrapText="1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</cellXfs>
  <cellStyles count="19"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Normal_Sheet1" xfId="18" xr:uid="{00000000-0005-0000-0000-000006000000}"/>
    <cellStyle name="style1683707694983" xfId="1" xr:uid="{00000000-0005-0000-0000-000007000000}"/>
    <cellStyle name="style1683707695268" xfId="2" xr:uid="{00000000-0005-0000-0000-000008000000}"/>
    <cellStyle name="style1683707695497" xfId="3" xr:uid="{00000000-0005-0000-0000-000009000000}"/>
    <cellStyle name="style1683873781043" xfId="4" xr:uid="{00000000-0005-0000-0000-00000A000000}"/>
    <cellStyle name="style1683873781293" xfId="5" xr:uid="{00000000-0005-0000-0000-00000B000000}"/>
    <cellStyle name="style1683873781509" xfId="6" xr:uid="{00000000-0005-0000-0000-00000C000000}"/>
    <cellStyle name="style1690951585398" xfId="8" xr:uid="{00000000-0005-0000-0000-00000D000000}"/>
    <cellStyle name="style1690951585625" xfId="9" xr:uid="{00000000-0005-0000-0000-00000E000000}"/>
    <cellStyle name="style1690951585802" xfId="7" xr:uid="{00000000-0005-0000-0000-00000F000000}"/>
    <cellStyle name="ปกติ" xfId="0" builtinId="0"/>
    <cellStyle name="ปกติ 2" xfId="16" xr:uid="{00000000-0005-0000-0000-000010000000}"/>
    <cellStyle name="ปกติ 3" xfId="17" xr:uid="{00000000-0005-0000-0000-000011000000}"/>
    <cellStyle name="ปกติ 4" xfId="15" xr:uid="{00000000-0005-0000-0000-000012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abSelected="1" topLeftCell="A79" zoomScale="90" zoomScaleNormal="90" zoomScaleSheetLayoutView="80" workbookViewId="0">
      <selection activeCell="N44" sqref="N44"/>
    </sheetView>
  </sheetViews>
  <sheetFormatPr defaultColWidth="9" defaultRowHeight="21"/>
  <cols>
    <col min="1" max="1" width="62.625" style="4" customWidth="1"/>
    <col min="2" max="2" width="9" style="4" customWidth="1"/>
    <col min="3" max="4" width="9" style="3"/>
    <col min="5" max="5" width="9.375" style="3" bestFit="1" customWidth="1"/>
    <col min="6" max="6" width="9.625" style="3" customWidth="1"/>
    <col min="7" max="8" width="9" style="3"/>
    <col min="9" max="9" width="9.625" style="3" bestFit="1" customWidth="1"/>
    <col min="10" max="12" width="9" style="3"/>
    <col min="13" max="13" width="10.75" style="3" customWidth="1"/>
    <col min="14" max="14" width="10.125" style="3" bestFit="1" customWidth="1"/>
    <col min="15" max="16384" width="9" style="3"/>
  </cols>
  <sheetData>
    <row r="1" spans="1:17" s="13" customFormat="1" ht="50.25" customHeight="1">
      <c r="A1" s="125" t="s">
        <v>93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7" s="13" customFormat="1" ht="49.7" customHeigh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7" s="2" customFormat="1" ht="54.75" customHeight="1">
      <c r="A3" s="6" t="s">
        <v>0</v>
      </c>
      <c r="B3" s="88" t="s">
        <v>71</v>
      </c>
      <c r="C3" s="88" t="s">
        <v>74</v>
      </c>
      <c r="D3" s="88" t="s">
        <v>69</v>
      </c>
      <c r="E3" s="1" t="s">
        <v>2</v>
      </c>
      <c r="F3" s="1" t="s">
        <v>58</v>
      </c>
      <c r="G3" s="1" t="s">
        <v>64</v>
      </c>
      <c r="H3" s="1" t="s">
        <v>59</v>
      </c>
      <c r="I3" s="1" t="s">
        <v>3</v>
      </c>
      <c r="J3" s="1" t="s">
        <v>4</v>
      </c>
      <c r="K3" s="1" t="s">
        <v>61</v>
      </c>
      <c r="L3" s="1" t="s">
        <v>50</v>
      </c>
      <c r="M3" s="1" t="s">
        <v>44</v>
      </c>
      <c r="N3" s="1" t="s">
        <v>5</v>
      </c>
      <c r="O3" s="1" t="s">
        <v>66</v>
      </c>
      <c r="P3" s="1" t="s">
        <v>62</v>
      </c>
      <c r="Q3" s="1" t="s">
        <v>70</v>
      </c>
    </row>
    <row r="4" spans="1:17" s="84" customFormat="1" ht="24.75" customHeight="1" thickBot="1">
      <c r="A4" s="81" t="s">
        <v>9</v>
      </c>
      <c r="B4" s="25">
        <v>5</v>
      </c>
      <c r="C4" s="82">
        <v>1</v>
      </c>
      <c r="D4" s="62" t="s">
        <v>67</v>
      </c>
      <c r="E4" s="83">
        <v>2</v>
      </c>
      <c r="F4" s="92">
        <v>6</v>
      </c>
      <c r="G4" s="92">
        <v>12</v>
      </c>
      <c r="H4" s="62" t="s">
        <v>67</v>
      </c>
      <c r="I4" s="82">
        <v>28</v>
      </c>
      <c r="J4" s="62">
        <v>5</v>
      </c>
      <c r="K4" s="82">
        <v>5</v>
      </c>
      <c r="L4" s="82">
        <v>29</v>
      </c>
      <c r="M4" s="82">
        <v>94</v>
      </c>
      <c r="N4" s="82">
        <v>127</v>
      </c>
      <c r="O4" s="82">
        <v>21</v>
      </c>
      <c r="P4" s="82" t="s">
        <v>67</v>
      </c>
      <c r="Q4" s="82" t="s">
        <v>67</v>
      </c>
    </row>
    <row r="5" spans="1:17" s="2" customFormat="1" ht="24" customHeight="1" thickBot="1">
      <c r="A5" s="90" t="s">
        <v>76</v>
      </c>
      <c r="B5" s="24">
        <v>4.5999999999999996</v>
      </c>
      <c r="C5" s="76">
        <v>5</v>
      </c>
      <c r="D5" s="62" t="s">
        <v>67</v>
      </c>
      <c r="E5" s="30">
        <v>4</v>
      </c>
      <c r="F5" s="76">
        <v>4</v>
      </c>
      <c r="G5" s="24">
        <v>3.9166666666666665</v>
      </c>
      <c r="H5" s="62" t="s">
        <v>67</v>
      </c>
      <c r="I5" s="19">
        <v>4.2142857142857144</v>
      </c>
      <c r="J5" s="76">
        <v>4.8</v>
      </c>
      <c r="K5" s="19">
        <v>4.4000000000000004</v>
      </c>
      <c r="L5" s="19">
        <v>4.4137931034482758</v>
      </c>
      <c r="M5" s="19">
        <v>4.4361702127659557</v>
      </c>
      <c r="N5" s="19">
        <v>4.2440944881889777</v>
      </c>
      <c r="O5" s="24">
        <v>4.8571428571428577</v>
      </c>
      <c r="P5" s="62" t="s">
        <v>67</v>
      </c>
      <c r="Q5" s="62" t="s">
        <v>67</v>
      </c>
    </row>
    <row r="6" spans="1:17" s="2" customFormat="1" ht="24" customHeight="1" thickBot="1">
      <c r="A6" s="91" t="s">
        <v>77</v>
      </c>
      <c r="B6" s="24">
        <v>4.5999999999999996</v>
      </c>
      <c r="C6" s="76">
        <v>5</v>
      </c>
      <c r="D6" s="62" t="s">
        <v>67</v>
      </c>
      <c r="E6" s="30">
        <v>4</v>
      </c>
      <c r="F6" s="76">
        <v>4.166666666666667</v>
      </c>
      <c r="G6" s="24">
        <v>4</v>
      </c>
      <c r="H6" s="62" t="s">
        <v>67</v>
      </c>
      <c r="I6" s="19">
        <v>4.1071428571428585</v>
      </c>
      <c r="J6" s="76">
        <v>4.8</v>
      </c>
      <c r="K6" s="19">
        <v>4.4000000000000004</v>
      </c>
      <c r="L6" s="19">
        <v>4.4137931034482758</v>
      </c>
      <c r="M6" s="19">
        <v>4.4148936170212751</v>
      </c>
      <c r="N6" s="19">
        <v>4.409448818897638</v>
      </c>
      <c r="O6" s="24">
        <v>4.9047619047619051</v>
      </c>
      <c r="P6" s="62" t="s">
        <v>67</v>
      </c>
      <c r="Q6" s="62" t="s">
        <v>67</v>
      </c>
    </row>
    <row r="7" spans="1:17" s="2" customFormat="1" ht="24" customHeight="1" thickBot="1">
      <c r="A7" s="91" t="s">
        <v>78</v>
      </c>
      <c r="B7" s="24">
        <v>4.5999999999999996</v>
      </c>
      <c r="C7" s="76">
        <v>5</v>
      </c>
      <c r="D7" s="62" t="s">
        <v>67</v>
      </c>
      <c r="E7" s="30">
        <v>4</v>
      </c>
      <c r="F7" s="76">
        <v>4</v>
      </c>
      <c r="G7" s="24">
        <v>4</v>
      </c>
      <c r="H7" s="62" t="s">
        <v>67</v>
      </c>
      <c r="I7" s="19">
        <v>3.9285714285714288</v>
      </c>
      <c r="J7" s="76">
        <v>4.8</v>
      </c>
      <c r="K7" s="19">
        <v>4.4000000000000004</v>
      </c>
      <c r="L7" s="19">
        <v>4.4827586206896548</v>
      </c>
      <c r="M7" s="19">
        <v>4.3936170212765937</v>
      </c>
      <c r="N7" s="19">
        <v>4.3149606299212584</v>
      </c>
      <c r="O7" s="24">
        <v>4.8095238095238093</v>
      </c>
      <c r="P7" s="62" t="s">
        <v>67</v>
      </c>
      <c r="Q7" s="62" t="s">
        <v>67</v>
      </c>
    </row>
    <row r="8" spans="1:17" s="2" customFormat="1" ht="24" customHeight="1" thickBot="1">
      <c r="A8" s="91" t="s">
        <v>79</v>
      </c>
      <c r="B8" s="24">
        <v>4.5999999999999996</v>
      </c>
      <c r="C8" s="76">
        <v>5</v>
      </c>
      <c r="D8" s="62" t="s">
        <v>67</v>
      </c>
      <c r="E8" s="30">
        <v>4.5</v>
      </c>
      <c r="F8" s="76">
        <v>3.833333333333333</v>
      </c>
      <c r="G8" s="24">
        <v>4.333333333333333</v>
      </c>
      <c r="H8" s="62" t="s">
        <v>67</v>
      </c>
      <c r="I8" s="19">
        <v>4</v>
      </c>
      <c r="J8" s="76">
        <v>4.8</v>
      </c>
      <c r="K8" s="19">
        <v>4.5999999999999996</v>
      </c>
      <c r="L8" s="19">
        <v>4.5172413793103461</v>
      </c>
      <c r="M8" s="19">
        <v>4.4255319148936154</v>
      </c>
      <c r="N8" s="19">
        <v>4.2913385826771639</v>
      </c>
      <c r="O8" s="24">
        <v>4.8095238095238093</v>
      </c>
      <c r="P8" s="62" t="s">
        <v>67</v>
      </c>
      <c r="Q8" s="62" t="s">
        <v>67</v>
      </c>
    </row>
    <row r="9" spans="1:17" s="2" customFormat="1" ht="24" customHeight="1" thickBot="1">
      <c r="A9" s="91" t="s">
        <v>80</v>
      </c>
      <c r="B9" s="24">
        <v>4.4000000000000004</v>
      </c>
      <c r="C9" s="76">
        <v>5</v>
      </c>
      <c r="D9" s="62" t="s">
        <v>67</v>
      </c>
      <c r="E9" s="30">
        <v>4</v>
      </c>
      <c r="F9" s="76">
        <v>3.6666666666666665</v>
      </c>
      <c r="G9" s="24">
        <v>4.25</v>
      </c>
      <c r="H9" s="62" t="s">
        <v>67</v>
      </c>
      <c r="I9" s="19">
        <v>3.6428571428571432</v>
      </c>
      <c r="J9" s="76">
        <v>4.5999999999999996</v>
      </c>
      <c r="K9" s="19">
        <v>4.2</v>
      </c>
      <c r="L9" s="19">
        <v>4.3103448275862055</v>
      </c>
      <c r="M9" s="19">
        <v>4.2978723404255303</v>
      </c>
      <c r="N9" s="19">
        <v>4.2834645669291307</v>
      </c>
      <c r="O9" s="24">
        <v>4.6666666666666661</v>
      </c>
      <c r="P9" s="62" t="s">
        <v>67</v>
      </c>
      <c r="Q9" s="62" t="s">
        <v>67</v>
      </c>
    </row>
    <row r="10" spans="1:17" s="2" customFormat="1" ht="24" customHeight="1" thickBot="1">
      <c r="A10" s="91" t="s">
        <v>81</v>
      </c>
      <c r="B10" s="24">
        <v>4.5999999999999996</v>
      </c>
      <c r="C10" s="76">
        <v>5</v>
      </c>
      <c r="D10" s="62" t="s">
        <v>67</v>
      </c>
      <c r="E10" s="30">
        <v>4</v>
      </c>
      <c r="F10" s="76">
        <v>4</v>
      </c>
      <c r="G10" s="24">
        <v>4.083333333333333</v>
      </c>
      <c r="H10" s="62" t="s">
        <v>67</v>
      </c>
      <c r="I10" s="19">
        <v>3.714285714285714</v>
      </c>
      <c r="J10" s="76">
        <v>4.5999999999999996</v>
      </c>
      <c r="K10" s="19">
        <v>4.2</v>
      </c>
      <c r="L10" s="19">
        <v>4.4827586206896548</v>
      </c>
      <c r="M10" s="19">
        <v>4.3510638297872335</v>
      </c>
      <c r="N10" s="19">
        <v>4.3307086614173205</v>
      </c>
      <c r="O10" s="24">
        <v>4.7142857142857135</v>
      </c>
      <c r="P10" s="62" t="s">
        <v>67</v>
      </c>
      <c r="Q10" s="62" t="s">
        <v>67</v>
      </c>
    </row>
    <row r="11" spans="1:17" s="2" customFormat="1" ht="24" customHeight="1" thickBot="1">
      <c r="A11" s="91" t="s">
        <v>82</v>
      </c>
      <c r="B11" s="24">
        <v>4.8</v>
      </c>
      <c r="C11" s="76">
        <v>5</v>
      </c>
      <c r="D11" s="62" t="s">
        <v>67</v>
      </c>
      <c r="E11" s="30">
        <v>4</v>
      </c>
      <c r="F11" s="76">
        <v>4</v>
      </c>
      <c r="G11" s="24">
        <v>3.833333333333333</v>
      </c>
      <c r="H11" s="62" t="s">
        <v>67</v>
      </c>
      <c r="I11" s="19">
        <v>3.9285714285714288</v>
      </c>
      <c r="J11" s="76">
        <v>4.4000000000000004</v>
      </c>
      <c r="K11" s="19">
        <v>3.6</v>
      </c>
      <c r="L11" s="19">
        <v>4.5517241379310347</v>
      </c>
      <c r="M11" s="19">
        <v>4.3404255319148941</v>
      </c>
      <c r="N11" s="19">
        <v>4.3464566929133843</v>
      </c>
      <c r="O11" s="24">
        <v>4.761904761904761</v>
      </c>
      <c r="P11" s="62" t="s">
        <v>67</v>
      </c>
      <c r="Q11" s="62" t="s">
        <v>67</v>
      </c>
    </row>
    <row r="12" spans="1:17" s="2" customFormat="1" ht="24" customHeight="1" thickBot="1">
      <c r="A12" s="91" t="s">
        <v>83</v>
      </c>
      <c r="B12" s="24">
        <v>4.5999999999999996</v>
      </c>
      <c r="C12" s="76">
        <v>5</v>
      </c>
      <c r="D12" s="62" t="s">
        <v>67</v>
      </c>
      <c r="E12" s="30">
        <v>4</v>
      </c>
      <c r="F12" s="76">
        <v>3.6666666666666665</v>
      </c>
      <c r="G12" s="24">
        <v>4.083333333333333</v>
      </c>
      <c r="H12" s="62" t="s">
        <v>67</v>
      </c>
      <c r="I12" s="19">
        <v>4.0357142857142847</v>
      </c>
      <c r="J12" s="76">
        <v>4.8</v>
      </c>
      <c r="K12" s="19">
        <v>4.4000000000000004</v>
      </c>
      <c r="L12" s="19">
        <v>4.4482758620689653</v>
      </c>
      <c r="M12" s="19">
        <v>4.3617021276595738</v>
      </c>
      <c r="N12" s="19">
        <v>4.2992125984251954</v>
      </c>
      <c r="O12" s="24">
        <v>4.7142857142857144</v>
      </c>
      <c r="P12" s="62" t="s">
        <v>67</v>
      </c>
      <c r="Q12" s="62" t="s">
        <v>67</v>
      </c>
    </row>
    <row r="13" spans="1:17" s="2" customFormat="1" ht="24" customHeight="1" thickBot="1">
      <c r="A13" s="91" t="s">
        <v>84</v>
      </c>
      <c r="B13" s="24">
        <v>4.5999999999999996</v>
      </c>
      <c r="C13" s="76">
        <v>5</v>
      </c>
      <c r="D13" s="62" t="s">
        <v>67</v>
      </c>
      <c r="E13" s="30">
        <v>4</v>
      </c>
      <c r="F13" s="76">
        <v>4</v>
      </c>
      <c r="G13" s="24">
        <v>3.9166666666666665</v>
      </c>
      <c r="H13" s="62" t="s">
        <v>67</v>
      </c>
      <c r="I13" s="19">
        <v>4</v>
      </c>
      <c r="J13" s="76">
        <v>4.5999999999999996</v>
      </c>
      <c r="K13" s="19">
        <v>3.8</v>
      </c>
      <c r="L13" s="19">
        <v>4.5517241379310347</v>
      </c>
      <c r="M13" s="19">
        <v>4.4361702127659557</v>
      </c>
      <c r="N13" s="19">
        <v>4.3543307086614167</v>
      </c>
      <c r="O13" s="24">
        <v>4.8095238095238093</v>
      </c>
      <c r="P13" s="62" t="s">
        <v>67</v>
      </c>
      <c r="Q13" s="62" t="s">
        <v>67</v>
      </c>
    </row>
    <row r="14" spans="1:17" s="2" customFormat="1" ht="24" customHeight="1" thickBot="1">
      <c r="A14" s="91" t="s">
        <v>85</v>
      </c>
      <c r="B14" s="24">
        <v>4.4000000000000004</v>
      </c>
      <c r="C14" s="76">
        <v>5</v>
      </c>
      <c r="D14" s="62" t="s">
        <v>67</v>
      </c>
      <c r="E14" s="30">
        <v>4</v>
      </c>
      <c r="F14" s="76">
        <v>3.666666666666667</v>
      </c>
      <c r="G14" s="24">
        <v>4.0833333333333321</v>
      </c>
      <c r="H14" s="62" t="s">
        <v>67</v>
      </c>
      <c r="I14" s="19">
        <v>4.0714285714285721</v>
      </c>
      <c r="J14" s="76">
        <v>4.5999999999999996</v>
      </c>
      <c r="K14" s="19">
        <v>4</v>
      </c>
      <c r="L14" s="19">
        <v>4.4482758620689653</v>
      </c>
      <c r="M14" s="19">
        <v>4.4468085106382969</v>
      </c>
      <c r="N14" s="19">
        <v>4.3622047244094464</v>
      </c>
      <c r="O14" s="24">
        <v>4.8095238095238093</v>
      </c>
      <c r="P14" s="62" t="s">
        <v>67</v>
      </c>
      <c r="Q14" s="62" t="s">
        <v>67</v>
      </c>
    </row>
    <row r="15" spans="1:17" s="2" customFormat="1" ht="24" customHeight="1" thickBot="1">
      <c r="A15" s="91" t="s">
        <v>86</v>
      </c>
      <c r="B15" s="24">
        <v>4.4000000000000004</v>
      </c>
      <c r="C15" s="76">
        <v>5</v>
      </c>
      <c r="D15" s="62" t="s">
        <v>67</v>
      </c>
      <c r="E15" s="30">
        <v>3.5</v>
      </c>
      <c r="F15" s="76">
        <v>3.6666666666666665</v>
      </c>
      <c r="G15" s="24">
        <v>4</v>
      </c>
      <c r="H15" s="62" t="s">
        <v>67</v>
      </c>
      <c r="I15" s="19">
        <v>3.8928571428571428</v>
      </c>
      <c r="J15" s="76">
        <v>4.5999999999999996</v>
      </c>
      <c r="K15" s="19">
        <v>4</v>
      </c>
      <c r="L15" s="19">
        <v>4.4137931034482758</v>
      </c>
      <c r="M15" s="19">
        <v>4.4255319148936172</v>
      </c>
      <c r="N15" s="19">
        <v>4.346456692913387</v>
      </c>
      <c r="O15" s="24">
        <v>4.8095238095238093</v>
      </c>
      <c r="P15" s="62" t="s">
        <v>67</v>
      </c>
      <c r="Q15" s="62" t="s">
        <v>67</v>
      </c>
    </row>
    <row r="16" spans="1:17" s="2" customFormat="1" ht="24" customHeight="1" thickBot="1">
      <c r="A16" s="91" t="s">
        <v>87</v>
      </c>
      <c r="B16" s="24">
        <v>4.5999999999999996</v>
      </c>
      <c r="C16" s="76">
        <v>5</v>
      </c>
      <c r="D16" s="62" t="s">
        <v>67</v>
      </c>
      <c r="E16" s="30">
        <v>3.5</v>
      </c>
      <c r="F16" s="76">
        <v>3.833333333333333</v>
      </c>
      <c r="G16" s="24">
        <v>4.083333333333333</v>
      </c>
      <c r="H16" s="62" t="s">
        <v>67</v>
      </c>
      <c r="I16" s="19">
        <v>4.1785714285714279</v>
      </c>
      <c r="J16" s="76">
        <v>4.5999999999999996</v>
      </c>
      <c r="K16" s="19">
        <v>4.5999999999999996</v>
      </c>
      <c r="L16" s="19">
        <v>4.6206896551724137</v>
      </c>
      <c r="M16" s="19">
        <v>4.4042553191489366</v>
      </c>
      <c r="N16" s="19">
        <v>4.3937007874015741</v>
      </c>
      <c r="O16" s="24">
        <v>4.8095238095238093</v>
      </c>
      <c r="P16" s="62" t="s">
        <v>67</v>
      </c>
      <c r="Q16" s="62" t="s">
        <v>67</v>
      </c>
    </row>
    <row r="17" spans="1:18" s="2" customFormat="1" ht="24" customHeight="1" thickBot="1">
      <c r="A17" s="91" t="s">
        <v>88</v>
      </c>
      <c r="B17" s="24">
        <v>4.5999999999999996</v>
      </c>
      <c r="C17" s="76">
        <v>5</v>
      </c>
      <c r="D17" s="62" t="s">
        <v>67</v>
      </c>
      <c r="E17" s="30">
        <v>4</v>
      </c>
      <c r="F17" s="76">
        <v>4.166666666666667</v>
      </c>
      <c r="G17" s="24">
        <v>4.1666666666666661</v>
      </c>
      <c r="H17" s="62" t="s">
        <v>67</v>
      </c>
      <c r="I17" s="19">
        <v>4.0357142857142847</v>
      </c>
      <c r="J17" s="76">
        <v>4.8</v>
      </c>
      <c r="K17" s="19">
        <v>4.2</v>
      </c>
      <c r="L17" s="19">
        <v>4.5517241379310347</v>
      </c>
      <c r="M17" s="19">
        <v>4.4574468085106353</v>
      </c>
      <c r="N17" s="19">
        <v>4.3937007874015768</v>
      </c>
      <c r="O17" s="24">
        <v>4.8571428571428603</v>
      </c>
      <c r="P17" s="62" t="s">
        <v>67</v>
      </c>
      <c r="Q17" s="62" t="s">
        <v>67</v>
      </c>
    </row>
    <row r="18" spans="1:18" s="2" customFormat="1" ht="24" customHeight="1" thickBot="1">
      <c r="A18" s="91" t="s">
        <v>89</v>
      </c>
      <c r="B18" s="24">
        <v>4.5999999999999996</v>
      </c>
      <c r="C18" s="76">
        <v>5</v>
      </c>
      <c r="D18" s="62" t="s">
        <v>67</v>
      </c>
      <c r="E18" s="30">
        <v>4</v>
      </c>
      <c r="F18" s="76">
        <v>4.3333333333333339</v>
      </c>
      <c r="G18" s="24">
        <v>4.333333333333333</v>
      </c>
      <c r="H18" s="62" t="s">
        <v>67</v>
      </c>
      <c r="I18" s="19">
        <v>4.1071428571428577</v>
      </c>
      <c r="J18" s="76">
        <v>4.5999999999999996</v>
      </c>
      <c r="K18" s="19">
        <v>4.4000000000000004</v>
      </c>
      <c r="L18" s="19">
        <v>4.3793103448275863</v>
      </c>
      <c r="M18" s="19">
        <v>4.4574468085106362</v>
      </c>
      <c r="N18" s="19">
        <v>4.377952755905512</v>
      </c>
      <c r="O18" s="24">
        <v>4.8571428571428577</v>
      </c>
      <c r="P18" s="62" t="s">
        <v>67</v>
      </c>
      <c r="Q18" s="62" t="s">
        <v>67</v>
      </c>
    </row>
    <row r="19" spans="1:18" s="2" customFormat="1" ht="24" customHeight="1" thickBot="1">
      <c r="A19" s="91" t="s">
        <v>90</v>
      </c>
      <c r="B19" s="24">
        <v>4.5999999999999996</v>
      </c>
      <c r="C19" s="76">
        <v>5</v>
      </c>
      <c r="D19" s="62" t="s">
        <v>67</v>
      </c>
      <c r="E19" s="30">
        <v>4</v>
      </c>
      <c r="F19" s="76">
        <v>4.3333333333333339</v>
      </c>
      <c r="G19" s="24">
        <v>4.1666666666666661</v>
      </c>
      <c r="H19" s="62" t="s">
        <v>67</v>
      </c>
      <c r="I19" s="19">
        <v>4.1428571428571423</v>
      </c>
      <c r="J19" s="76">
        <v>4.4000000000000004</v>
      </c>
      <c r="K19" s="19">
        <v>4.4000000000000004</v>
      </c>
      <c r="L19" s="19">
        <v>4.5172413793103452</v>
      </c>
      <c r="M19" s="19">
        <v>4.5212765957446832</v>
      </c>
      <c r="N19" s="19">
        <v>4.409448818897638</v>
      </c>
      <c r="O19" s="24">
        <v>4.9047619047619051</v>
      </c>
      <c r="P19" s="62" t="s">
        <v>67</v>
      </c>
      <c r="Q19" s="62" t="s">
        <v>67</v>
      </c>
    </row>
    <row r="20" spans="1:18" s="2" customFormat="1" ht="24" customHeight="1" thickBot="1">
      <c r="A20" s="91" t="s">
        <v>91</v>
      </c>
      <c r="B20" s="24">
        <v>4.5999999999999996</v>
      </c>
      <c r="C20" s="76">
        <v>5</v>
      </c>
      <c r="D20" s="62" t="s">
        <v>67</v>
      </c>
      <c r="E20" s="30">
        <v>3.5</v>
      </c>
      <c r="F20" s="76">
        <v>3.666666666666667</v>
      </c>
      <c r="G20" s="24">
        <v>4.083333333333333</v>
      </c>
      <c r="H20" s="62" t="s">
        <v>67</v>
      </c>
      <c r="I20" s="19">
        <v>4.1785714285714279</v>
      </c>
      <c r="J20" s="76">
        <v>4.8</v>
      </c>
      <c r="K20" s="19">
        <v>4</v>
      </c>
      <c r="L20" s="19">
        <v>4.4827586206896548</v>
      </c>
      <c r="M20" s="19">
        <v>4.5106382978723429</v>
      </c>
      <c r="N20" s="19">
        <v>4.4645669291338548</v>
      </c>
      <c r="O20" s="24">
        <v>4.8571428571428577</v>
      </c>
      <c r="P20" s="62" t="s">
        <v>67</v>
      </c>
      <c r="Q20" s="62" t="s">
        <v>67</v>
      </c>
    </row>
    <row r="21" spans="1:18" s="2" customFormat="1" ht="24" customHeight="1">
      <c r="A21" s="15" t="s">
        <v>10</v>
      </c>
      <c r="B21" s="24">
        <v>4.5750000000000002</v>
      </c>
      <c r="C21" s="76">
        <v>5</v>
      </c>
      <c r="D21" s="62" t="s">
        <v>67</v>
      </c>
      <c r="E21" s="30">
        <v>3.9375</v>
      </c>
      <c r="F21" s="76">
        <v>3.9375</v>
      </c>
      <c r="G21" s="24">
        <v>4.083333333333333</v>
      </c>
      <c r="H21" s="62" t="s">
        <v>67</v>
      </c>
      <c r="I21" s="19">
        <v>4.0111607142857144</v>
      </c>
      <c r="J21" s="76">
        <v>4.6624999999999996</v>
      </c>
      <c r="K21" s="19">
        <v>4.2249999999999996</v>
      </c>
      <c r="L21" s="19">
        <v>4.4741379310344822</v>
      </c>
      <c r="M21" s="19">
        <v>4.4175531914893602</v>
      </c>
      <c r="N21" s="19">
        <v>4.3513779527559029</v>
      </c>
      <c r="O21" s="24">
        <v>4.8095238095238102</v>
      </c>
      <c r="P21" s="62" t="s">
        <v>67</v>
      </c>
      <c r="Q21" s="62" t="s">
        <v>67</v>
      </c>
    </row>
    <row r="22" spans="1:18" s="2" customFormat="1" ht="24.75" customHeight="1">
      <c r="A22" s="8" t="s">
        <v>11</v>
      </c>
      <c r="B22" s="64">
        <f t="shared" ref="B22:M22" si="0">B21*20</f>
        <v>91.5</v>
      </c>
      <c r="C22" s="64">
        <f t="shared" si="0"/>
        <v>100</v>
      </c>
      <c r="D22" s="62" t="s">
        <v>67</v>
      </c>
      <c r="E22" s="64">
        <f t="shared" si="0"/>
        <v>78.75</v>
      </c>
      <c r="F22" s="64">
        <f t="shared" si="0"/>
        <v>78.75</v>
      </c>
      <c r="G22" s="64">
        <f t="shared" si="0"/>
        <v>81.666666666666657</v>
      </c>
      <c r="H22" s="62" t="s">
        <v>67</v>
      </c>
      <c r="I22" s="64">
        <f t="shared" si="0"/>
        <v>80.223214285714292</v>
      </c>
      <c r="J22" s="64">
        <f t="shared" si="0"/>
        <v>93.25</v>
      </c>
      <c r="K22" s="64">
        <f t="shared" si="0"/>
        <v>84.5</v>
      </c>
      <c r="L22" s="64">
        <f t="shared" si="0"/>
        <v>89.482758620689651</v>
      </c>
      <c r="M22" s="64">
        <f t="shared" si="0"/>
        <v>88.351063829787208</v>
      </c>
      <c r="N22" s="64">
        <f t="shared" ref="N22" si="1">N21*20</f>
        <v>87.027559055118061</v>
      </c>
      <c r="O22" s="64">
        <f>O21*20</f>
        <v>96.190476190476204</v>
      </c>
      <c r="P22" s="62" t="s">
        <v>67</v>
      </c>
      <c r="Q22" s="62" t="s">
        <v>67</v>
      </c>
    </row>
    <row r="23" spans="1:18">
      <c r="A23" s="16" t="s">
        <v>45</v>
      </c>
      <c r="B23" s="63">
        <v>100</v>
      </c>
      <c r="C23" s="63">
        <v>100</v>
      </c>
      <c r="D23" s="80" t="s">
        <v>68</v>
      </c>
      <c r="E23" s="63">
        <v>100</v>
      </c>
      <c r="F23" s="22">
        <v>100</v>
      </c>
      <c r="G23" s="63">
        <v>83.333333333333343</v>
      </c>
      <c r="H23" s="80" t="s">
        <v>68</v>
      </c>
      <c r="I23" s="63">
        <v>89.285714285714292</v>
      </c>
      <c r="J23" s="80">
        <v>60</v>
      </c>
      <c r="K23" s="63">
        <v>60</v>
      </c>
      <c r="L23" s="63">
        <v>93.103448275862064</v>
      </c>
      <c r="M23" s="63">
        <v>93.61702127659575</v>
      </c>
      <c r="N23" s="63">
        <v>97.637795275590548</v>
      </c>
      <c r="O23" s="78">
        <v>90.476190476190482</v>
      </c>
      <c r="P23" s="21" t="s">
        <v>68</v>
      </c>
      <c r="Q23" s="21" t="s">
        <v>68</v>
      </c>
    </row>
    <row r="24" spans="1:18">
      <c r="A24" s="93"/>
      <c r="B24" s="94"/>
      <c r="C24" s="95"/>
      <c r="D24" s="96"/>
      <c r="E24" s="94"/>
      <c r="F24" s="97"/>
      <c r="G24" s="94"/>
      <c r="H24" s="96"/>
      <c r="I24" s="94"/>
      <c r="J24" s="96"/>
      <c r="K24" s="94"/>
      <c r="L24" s="94"/>
      <c r="M24" s="94"/>
      <c r="N24" s="94"/>
      <c r="O24" s="98"/>
      <c r="P24" s="95"/>
      <c r="Q24" s="95"/>
    </row>
    <row r="26" spans="1:18" ht="59.25" customHeight="1">
      <c r="A26" s="6" t="s">
        <v>0</v>
      </c>
      <c r="B26" s="1" t="s">
        <v>55</v>
      </c>
      <c r="C26" s="1" t="s">
        <v>7</v>
      </c>
      <c r="D26" s="1" t="s">
        <v>6</v>
      </c>
      <c r="E26" s="1" t="s">
        <v>8</v>
      </c>
      <c r="F26" s="1" t="s">
        <v>57</v>
      </c>
      <c r="G26" s="1" t="s">
        <v>63</v>
      </c>
      <c r="H26" s="1" t="s">
        <v>60</v>
      </c>
      <c r="I26" s="1" t="s">
        <v>12</v>
      </c>
      <c r="J26" s="1" t="s">
        <v>46</v>
      </c>
      <c r="K26" s="1" t="s">
        <v>72</v>
      </c>
      <c r="L26" s="1" t="s">
        <v>73</v>
      </c>
      <c r="M26" s="1" t="s">
        <v>51</v>
      </c>
      <c r="N26" s="1" t="s">
        <v>56</v>
      </c>
      <c r="O26" s="1" t="s">
        <v>1</v>
      </c>
      <c r="P26" s="1" t="s">
        <v>36</v>
      </c>
      <c r="Q26" s="1" t="s">
        <v>75</v>
      </c>
      <c r="R26" s="1" t="s">
        <v>92</v>
      </c>
    </row>
    <row r="27" spans="1:18" s="26" customFormat="1" ht="24" customHeight="1" thickBot="1">
      <c r="A27" s="8" t="s">
        <v>9</v>
      </c>
      <c r="B27" s="62" t="s">
        <v>67</v>
      </c>
      <c r="C27" s="62">
        <v>39</v>
      </c>
      <c r="D27" s="62">
        <v>27</v>
      </c>
      <c r="E27" s="25">
        <v>11</v>
      </c>
      <c r="F27" s="25">
        <v>32</v>
      </c>
      <c r="G27" s="62">
        <v>27</v>
      </c>
      <c r="H27" s="25">
        <v>9</v>
      </c>
      <c r="I27" s="62">
        <v>74</v>
      </c>
      <c r="J27" s="25">
        <v>14</v>
      </c>
      <c r="K27" s="62">
        <v>10</v>
      </c>
      <c r="L27" s="62" t="s">
        <v>67</v>
      </c>
      <c r="M27" s="25">
        <v>2</v>
      </c>
      <c r="N27" s="25">
        <v>3</v>
      </c>
      <c r="O27" s="25">
        <v>2</v>
      </c>
      <c r="P27" s="25">
        <v>14</v>
      </c>
      <c r="Q27" s="62">
        <v>11</v>
      </c>
      <c r="R27" s="62">
        <v>1</v>
      </c>
    </row>
    <row r="28" spans="1:18" ht="24" customHeight="1" thickBot="1">
      <c r="A28" s="90" t="s">
        <v>76</v>
      </c>
      <c r="B28" s="62" t="s">
        <v>67</v>
      </c>
      <c r="C28" s="76">
        <v>4.5897435897435903</v>
      </c>
      <c r="D28" s="76">
        <v>4.185185185185186</v>
      </c>
      <c r="E28" s="19">
        <v>4.8181818181818183</v>
      </c>
      <c r="F28" s="24">
        <v>4.75</v>
      </c>
      <c r="G28" s="89">
        <v>4.6296296296296306</v>
      </c>
      <c r="H28" s="19">
        <v>4.8888888888888893</v>
      </c>
      <c r="I28" s="76">
        <v>4.4054054054054053</v>
      </c>
      <c r="J28" s="19">
        <v>4.4285714285714288</v>
      </c>
      <c r="K28" s="76">
        <v>4.8000000000000007</v>
      </c>
      <c r="L28" s="62" t="s">
        <v>67</v>
      </c>
      <c r="M28" s="24">
        <v>4.5</v>
      </c>
      <c r="N28" s="19">
        <v>5</v>
      </c>
      <c r="O28" s="24">
        <v>5</v>
      </c>
      <c r="P28" s="24">
        <v>4.5000000000000009</v>
      </c>
      <c r="Q28" s="76">
        <v>4.7272727272727275</v>
      </c>
      <c r="R28" s="76">
        <v>5</v>
      </c>
    </row>
    <row r="29" spans="1:18" ht="24" customHeight="1" thickBot="1">
      <c r="A29" s="91" t="s">
        <v>77</v>
      </c>
      <c r="B29" s="62" t="s">
        <v>67</v>
      </c>
      <c r="C29" s="76">
        <v>4.5897435897435903</v>
      </c>
      <c r="D29" s="76">
        <v>4.2222222222222214</v>
      </c>
      <c r="E29" s="19">
        <v>4.8181818181818183</v>
      </c>
      <c r="F29" s="24">
        <v>4.7187500000000009</v>
      </c>
      <c r="G29" s="89">
        <v>4.6296296296296298</v>
      </c>
      <c r="H29" s="19">
        <v>4.8888888888888893</v>
      </c>
      <c r="I29" s="76">
        <v>4.3918918918918912</v>
      </c>
      <c r="J29" s="19">
        <v>4.3571428571428568</v>
      </c>
      <c r="K29" s="76">
        <v>4.8000000000000007</v>
      </c>
      <c r="L29" s="62" t="s">
        <v>67</v>
      </c>
      <c r="M29" s="24">
        <v>4.5</v>
      </c>
      <c r="N29" s="19">
        <v>5</v>
      </c>
      <c r="O29" s="24">
        <v>5</v>
      </c>
      <c r="P29" s="24">
        <v>4.5</v>
      </c>
      <c r="Q29" s="76">
        <v>4.6363636363636358</v>
      </c>
      <c r="R29" s="76">
        <v>4</v>
      </c>
    </row>
    <row r="30" spans="1:18" ht="24" customHeight="1" thickBot="1">
      <c r="A30" s="91" t="s">
        <v>78</v>
      </c>
      <c r="B30" s="62" t="s">
        <v>67</v>
      </c>
      <c r="C30" s="76">
        <v>4.5897435897435903</v>
      </c>
      <c r="D30" s="76">
        <v>4.2222222222222214</v>
      </c>
      <c r="E30" s="19">
        <v>4.9090909090909092</v>
      </c>
      <c r="F30" s="24">
        <v>4.6875</v>
      </c>
      <c r="G30" s="89">
        <v>4.5185185185185182</v>
      </c>
      <c r="H30" s="19">
        <v>4.8888888888888893</v>
      </c>
      <c r="I30" s="76">
        <v>4.4054054054054053</v>
      </c>
      <c r="J30" s="19">
        <v>4.4285714285714288</v>
      </c>
      <c r="K30" s="76">
        <v>4.5999999999999996</v>
      </c>
      <c r="L30" s="62" t="s">
        <v>67</v>
      </c>
      <c r="M30" s="24">
        <v>5</v>
      </c>
      <c r="N30" s="19">
        <v>5</v>
      </c>
      <c r="O30" s="24">
        <v>5</v>
      </c>
      <c r="P30" s="24">
        <v>4.5000000000000009</v>
      </c>
      <c r="Q30" s="76">
        <v>4.6363636363636358</v>
      </c>
      <c r="R30" s="76">
        <v>4</v>
      </c>
    </row>
    <row r="31" spans="1:18" ht="24" customHeight="1" thickBot="1">
      <c r="A31" s="91" t="s">
        <v>79</v>
      </c>
      <c r="B31" s="62" t="s">
        <v>67</v>
      </c>
      <c r="C31" s="76">
        <v>4.5897435897435903</v>
      </c>
      <c r="D31" s="76">
        <v>4.185185185185186</v>
      </c>
      <c r="E31" s="19">
        <v>4.8181818181818183</v>
      </c>
      <c r="F31" s="24">
        <v>4.75</v>
      </c>
      <c r="G31" s="89">
        <v>4.5185185185185182</v>
      </c>
      <c r="H31" s="19">
        <v>4.7777777777777768</v>
      </c>
      <c r="I31" s="76">
        <v>4.3918918918918912</v>
      </c>
      <c r="J31" s="19">
        <v>4.3571428571428568</v>
      </c>
      <c r="K31" s="76">
        <v>4.6999999999999993</v>
      </c>
      <c r="L31" s="62" t="s">
        <v>67</v>
      </c>
      <c r="M31" s="24">
        <v>4.5</v>
      </c>
      <c r="N31" s="19">
        <v>5</v>
      </c>
      <c r="O31" s="24">
        <v>5</v>
      </c>
      <c r="P31" s="24">
        <v>4.3571428571428577</v>
      </c>
      <c r="Q31" s="76">
        <v>4.6363636363636358</v>
      </c>
      <c r="R31" s="76">
        <v>4</v>
      </c>
    </row>
    <row r="32" spans="1:18" ht="24" customHeight="1" thickBot="1">
      <c r="A32" s="91" t="s">
        <v>80</v>
      </c>
      <c r="B32" s="62" t="s">
        <v>67</v>
      </c>
      <c r="C32" s="76">
        <v>4.4102564102564088</v>
      </c>
      <c r="D32" s="76">
        <v>3.925925925925926</v>
      </c>
      <c r="E32" s="19">
        <v>4.6363636363636367</v>
      </c>
      <c r="F32" s="24">
        <v>4.4375</v>
      </c>
      <c r="G32" s="89">
        <v>4.4814814814814818</v>
      </c>
      <c r="H32" s="19">
        <v>4.5555555555555545</v>
      </c>
      <c r="I32" s="76">
        <v>4.3108108108108096</v>
      </c>
      <c r="J32" s="19">
        <v>4.4285714285714288</v>
      </c>
      <c r="K32" s="76">
        <v>4.2999999999999989</v>
      </c>
      <c r="L32" s="62" t="s">
        <v>67</v>
      </c>
      <c r="M32" s="24">
        <v>5</v>
      </c>
      <c r="N32" s="19">
        <v>5</v>
      </c>
      <c r="O32" s="24">
        <v>5</v>
      </c>
      <c r="P32" s="24">
        <v>4.4285714285714288</v>
      </c>
      <c r="Q32" s="76">
        <v>4.6363636363636358</v>
      </c>
      <c r="R32" s="76">
        <v>4</v>
      </c>
    </row>
    <row r="33" spans="1:18" ht="24" customHeight="1" thickBot="1">
      <c r="A33" s="91" t="s">
        <v>81</v>
      </c>
      <c r="B33" s="62" t="s">
        <v>67</v>
      </c>
      <c r="C33" s="76">
        <v>4.6153846153846168</v>
      </c>
      <c r="D33" s="76">
        <v>4.0370370370370372</v>
      </c>
      <c r="E33" s="19">
        <v>4.7272727272727275</v>
      </c>
      <c r="F33" s="24">
        <v>4.65625</v>
      </c>
      <c r="G33" s="89">
        <v>4.518518518518519</v>
      </c>
      <c r="H33" s="19">
        <v>4.5555555555555545</v>
      </c>
      <c r="I33" s="76">
        <v>4.4324324324324333</v>
      </c>
      <c r="J33" s="19">
        <v>4.5714285714285712</v>
      </c>
      <c r="K33" s="76">
        <v>4.7</v>
      </c>
      <c r="L33" s="62" t="s">
        <v>67</v>
      </c>
      <c r="M33" s="24">
        <v>5</v>
      </c>
      <c r="N33" s="19">
        <v>5</v>
      </c>
      <c r="O33" s="24">
        <v>5</v>
      </c>
      <c r="P33" s="24">
        <v>4.4285714285714288</v>
      </c>
      <c r="Q33" s="76">
        <v>4.7272727272727266</v>
      </c>
      <c r="R33" s="76">
        <v>4</v>
      </c>
    </row>
    <row r="34" spans="1:18" ht="24" customHeight="1" thickBot="1">
      <c r="A34" s="91" t="s">
        <v>82</v>
      </c>
      <c r="B34" s="62" t="s">
        <v>67</v>
      </c>
      <c r="C34" s="76">
        <v>4.4871794871794863</v>
      </c>
      <c r="D34" s="76">
        <v>3.9999999999999996</v>
      </c>
      <c r="E34" s="19">
        <v>4.7272727272727275</v>
      </c>
      <c r="F34" s="24">
        <v>4.7187500000000009</v>
      </c>
      <c r="G34" s="89">
        <v>4.5925925925925926</v>
      </c>
      <c r="H34" s="19">
        <v>4.8888888888888893</v>
      </c>
      <c r="I34" s="76">
        <v>4.4054054054054053</v>
      </c>
      <c r="J34" s="19">
        <v>4.5714285714285712</v>
      </c>
      <c r="K34" s="76">
        <v>4.7999999999999989</v>
      </c>
      <c r="L34" s="62" t="s">
        <v>67</v>
      </c>
      <c r="M34" s="24">
        <v>5</v>
      </c>
      <c r="N34" s="19">
        <v>5</v>
      </c>
      <c r="O34" s="24">
        <v>5</v>
      </c>
      <c r="P34" s="24">
        <v>4.4285714285714288</v>
      </c>
      <c r="Q34" s="76">
        <v>4.7272727272727266</v>
      </c>
      <c r="R34" s="76">
        <v>4</v>
      </c>
    </row>
    <row r="35" spans="1:18" ht="24" customHeight="1" thickBot="1">
      <c r="A35" s="91" t="s">
        <v>83</v>
      </c>
      <c r="B35" s="62" t="s">
        <v>67</v>
      </c>
      <c r="C35" s="76">
        <v>4.5897435897435903</v>
      </c>
      <c r="D35" s="76">
        <v>3.9999999999999996</v>
      </c>
      <c r="E35" s="19">
        <v>4.8181818181818192</v>
      </c>
      <c r="F35" s="24">
        <v>4.5937499999999982</v>
      </c>
      <c r="G35" s="89">
        <v>4.5555555555555562</v>
      </c>
      <c r="H35" s="19">
        <v>4.666666666666667</v>
      </c>
      <c r="I35" s="76">
        <v>4.2837837837837807</v>
      </c>
      <c r="J35" s="19">
        <v>4.5714285714285712</v>
      </c>
      <c r="K35" s="76">
        <v>4.6999999999999993</v>
      </c>
      <c r="L35" s="62" t="s">
        <v>67</v>
      </c>
      <c r="M35" s="24">
        <v>5</v>
      </c>
      <c r="N35" s="19">
        <v>5</v>
      </c>
      <c r="O35" s="24">
        <v>5</v>
      </c>
      <c r="P35" s="24">
        <v>4.3571428571428577</v>
      </c>
      <c r="Q35" s="76">
        <v>4.6363636363636358</v>
      </c>
      <c r="R35" s="76">
        <v>4</v>
      </c>
    </row>
    <row r="36" spans="1:18" ht="24" customHeight="1" thickBot="1">
      <c r="A36" s="91" t="s">
        <v>84</v>
      </c>
      <c r="B36" s="62" t="s">
        <v>67</v>
      </c>
      <c r="C36" s="76">
        <v>4.5897435897435903</v>
      </c>
      <c r="D36" s="76">
        <v>4.1481481481481488</v>
      </c>
      <c r="E36" s="19">
        <v>4.8181818181818183</v>
      </c>
      <c r="F36" s="24">
        <v>4.7187500000000009</v>
      </c>
      <c r="G36" s="89">
        <v>4.6296296296296298</v>
      </c>
      <c r="H36" s="19">
        <v>4.7777777777777768</v>
      </c>
      <c r="I36" s="76">
        <v>4.4459459459459438</v>
      </c>
      <c r="J36" s="19">
        <v>4.5714285714285712</v>
      </c>
      <c r="K36" s="76">
        <v>4.6999999999999993</v>
      </c>
      <c r="L36" s="62" t="s">
        <v>67</v>
      </c>
      <c r="M36" s="24">
        <v>5</v>
      </c>
      <c r="N36" s="19">
        <v>5</v>
      </c>
      <c r="O36" s="24">
        <v>5</v>
      </c>
      <c r="P36" s="24">
        <v>4.2857142857142856</v>
      </c>
      <c r="Q36" s="76">
        <v>4.7272727272727266</v>
      </c>
      <c r="R36" s="76">
        <v>4</v>
      </c>
    </row>
    <row r="37" spans="1:18" ht="24" customHeight="1" thickBot="1">
      <c r="A37" s="91" t="s">
        <v>85</v>
      </c>
      <c r="B37" s="62" t="s">
        <v>67</v>
      </c>
      <c r="C37" s="76">
        <v>4.6410256410256423</v>
      </c>
      <c r="D37" s="76">
        <v>4.1481481481481479</v>
      </c>
      <c r="E37" s="19">
        <v>4.7272727272727275</v>
      </c>
      <c r="F37" s="24">
        <v>4.7499999999999991</v>
      </c>
      <c r="G37" s="89">
        <v>4.7777777777777777</v>
      </c>
      <c r="H37" s="19">
        <v>4.8888888888888893</v>
      </c>
      <c r="I37" s="76">
        <v>4.4324324324324333</v>
      </c>
      <c r="J37" s="19">
        <v>4.5714285714285712</v>
      </c>
      <c r="K37" s="76">
        <v>4.4000000000000004</v>
      </c>
      <c r="L37" s="62" t="s">
        <v>67</v>
      </c>
      <c r="M37" s="24">
        <v>5</v>
      </c>
      <c r="N37" s="19">
        <v>5</v>
      </c>
      <c r="O37" s="24">
        <v>5</v>
      </c>
      <c r="P37" s="24">
        <v>4.4285714285714288</v>
      </c>
      <c r="Q37" s="76">
        <v>4.6363636363636349</v>
      </c>
      <c r="R37" s="76">
        <v>4</v>
      </c>
    </row>
    <row r="38" spans="1:18" ht="24" customHeight="1" thickBot="1">
      <c r="A38" s="91" t="s">
        <v>86</v>
      </c>
      <c r="B38" s="62" t="s">
        <v>67</v>
      </c>
      <c r="C38" s="76">
        <v>4.6410256410256405</v>
      </c>
      <c r="D38" s="76">
        <v>4.0370370370370372</v>
      </c>
      <c r="E38" s="19">
        <v>4.8181818181818183</v>
      </c>
      <c r="F38" s="24">
        <v>4.6874999999999991</v>
      </c>
      <c r="G38" s="89">
        <v>4.5185185185185182</v>
      </c>
      <c r="H38" s="19">
        <v>4.8888888888888893</v>
      </c>
      <c r="I38" s="76">
        <v>4.35135135135135</v>
      </c>
      <c r="J38" s="19">
        <v>4.6428571428571432</v>
      </c>
      <c r="K38" s="76">
        <v>4.7</v>
      </c>
      <c r="L38" s="62" t="s">
        <v>67</v>
      </c>
      <c r="M38" s="24">
        <v>5</v>
      </c>
      <c r="N38" s="19">
        <v>5</v>
      </c>
      <c r="O38" s="24">
        <v>5</v>
      </c>
      <c r="P38" s="24">
        <v>4.3571428571428577</v>
      </c>
      <c r="Q38" s="76">
        <v>4.7272727272727266</v>
      </c>
      <c r="R38" s="76">
        <v>4</v>
      </c>
    </row>
    <row r="39" spans="1:18" ht="24" customHeight="1" thickBot="1">
      <c r="A39" s="91" t="s">
        <v>87</v>
      </c>
      <c r="B39" s="62" t="s">
        <v>67</v>
      </c>
      <c r="C39" s="76">
        <v>4.6153846153846159</v>
      </c>
      <c r="D39" s="76">
        <v>4.0370370370370372</v>
      </c>
      <c r="E39" s="19">
        <v>4.8181818181818183</v>
      </c>
      <c r="F39" s="24">
        <v>4.75</v>
      </c>
      <c r="G39" s="89">
        <v>4.4814814814814818</v>
      </c>
      <c r="H39" s="19">
        <v>4.7777777777777768</v>
      </c>
      <c r="I39" s="76">
        <v>4.3378378378378377</v>
      </c>
      <c r="J39" s="19">
        <v>4.4999999999999991</v>
      </c>
      <c r="K39" s="76">
        <v>4.4999999999999991</v>
      </c>
      <c r="L39" s="62" t="s">
        <v>67</v>
      </c>
      <c r="M39" s="24">
        <v>5</v>
      </c>
      <c r="N39" s="19">
        <v>5</v>
      </c>
      <c r="O39" s="24">
        <v>5</v>
      </c>
      <c r="P39" s="24">
        <v>4.4285714285714288</v>
      </c>
      <c r="Q39" s="76">
        <v>4.7272727272727266</v>
      </c>
      <c r="R39" s="76">
        <v>4</v>
      </c>
    </row>
    <row r="40" spans="1:18" ht="24" customHeight="1" thickBot="1">
      <c r="A40" s="91" t="s">
        <v>88</v>
      </c>
      <c r="B40" s="62" t="s">
        <v>67</v>
      </c>
      <c r="C40" s="76">
        <v>4.5384615384615383</v>
      </c>
      <c r="D40" s="76">
        <v>3.9629629629629628</v>
      </c>
      <c r="E40" s="19">
        <v>4.8181818181818183</v>
      </c>
      <c r="F40" s="24">
        <v>4.6562500000000009</v>
      </c>
      <c r="G40" s="89">
        <v>4.4074074074074074</v>
      </c>
      <c r="H40" s="19">
        <v>4.666666666666667</v>
      </c>
      <c r="I40" s="76">
        <v>4.4054054054054053</v>
      </c>
      <c r="J40" s="19">
        <v>4.6428571428571432</v>
      </c>
      <c r="K40" s="76">
        <v>4.7</v>
      </c>
      <c r="L40" s="62" t="s">
        <v>67</v>
      </c>
      <c r="M40" s="24">
        <v>5</v>
      </c>
      <c r="N40" s="19">
        <v>5</v>
      </c>
      <c r="O40" s="24">
        <v>5</v>
      </c>
      <c r="P40" s="24">
        <v>4.2857142857142865</v>
      </c>
      <c r="Q40" s="76">
        <v>4.7272727272727266</v>
      </c>
      <c r="R40" s="76">
        <v>4</v>
      </c>
    </row>
    <row r="41" spans="1:18" ht="24" customHeight="1" thickBot="1">
      <c r="A41" s="91" t="s">
        <v>89</v>
      </c>
      <c r="B41" s="62" t="s">
        <v>67</v>
      </c>
      <c r="C41" s="76">
        <v>4.5641025641025639</v>
      </c>
      <c r="D41" s="76">
        <v>4.185185185185186</v>
      </c>
      <c r="E41" s="19">
        <v>4.8181818181818201</v>
      </c>
      <c r="F41" s="24">
        <v>4.6875</v>
      </c>
      <c r="G41" s="89">
        <v>4.3333333333333348</v>
      </c>
      <c r="H41" s="19">
        <v>4.666666666666667</v>
      </c>
      <c r="I41" s="76">
        <v>4.3108108108108096</v>
      </c>
      <c r="J41" s="19">
        <v>4.5714285714285712</v>
      </c>
      <c r="K41" s="100">
        <v>4.8000000000000007</v>
      </c>
      <c r="L41" s="62" t="s">
        <v>67</v>
      </c>
      <c r="M41" s="24">
        <v>5</v>
      </c>
      <c r="N41" s="19">
        <v>5</v>
      </c>
      <c r="O41" s="24">
        <v>5</v>
      </c>
      <c r="P41" s="24">
        <v>4.3571428571428577</v>
      </c>
      <c r="Q41" s="76">
        <v>4.6363636363636358</v>
      </c>
      <c r="R41" s="76">
        <v>4</v>
      </c>
    </row>
    <row r="42" spans="1:18" ht="24" customHeight="1" thickBot="1">
      <c r="A42" s="91" t="s">
        <v>90</v>
      </c>
      <c r="B42" s="62" t="s">
        <v>67</v>
      </c>
      <c r="C42" s="76">
        <v>4.6153846153846159</v>
      </c>
      <c r="D42" s="76">
        <v>4.1481481481481488</v>
      </c>
      <c r="E42" s="19">
        <v>4.8181818181818192</v>
      </c>
      <c r="F42" s="24">
        <v>4.6875000000000009</v>
      </c>
      <c r="G42" s="89">
        <v>4.5925925925925926</v>
      </c>
      <c r="H42" s="19">
        <v>4.7777777777777768</v>
      </c>
      <c r="I42" s="76">
        <v>4.364864864864864</v>
      </c>
      <c r="J42" s="19">
        <v>4.5714285714285712</v>
      </c>
      <c r="K42" s="76">
        <v>4.6999999999999993</v>
      </c>
      <c r="L42" s="62" t="s">
        <v>67</v>
      </c>
      <c r="M42" s="24">
        <v>5</v>
      </c>
      <c r="N42" s="19">
        <v>5</v>
      </c>
      <c r="O42" s="24">
        <v>5</v>
      </c>
      <c r="P42" s="24">
        <v>4.3571428571428577</v>
      </c>
      <c r="Q42" s="76">
        <v>4.7272727272727266</v>
      </c>
      <c r="R42" s="76">
        <v>4</v>
      </c>
    </row>
    <row r="43" spans="1:18" ht="24" customHeight="1" thickBot="1">
      <c r="A43" s="91" t="s">
        <v>91</v>
      </c>
      <c r="B43" s="62" t="s">
        <v>67</v>
      </c>
      <c r="C43" s="76">
        <v>4.6666666666666661</v>
      </c>
      <c r="D43" s="76">
        <v>4.2592592592592586</v>
      </c>
      <c r="E43" s="19">
        <v>4.8181818181818183</v>
      </c>
      <c r="F43" s="24">
        <v>4.65625</v>
      </c>
      <c r="G43" s="89">
        <v>4.7777777777777777</v>
      </c>
      <c r="H43" s="19">
        <v>4.8888888888888893</v>
      </c>
      <c r="I43" s="76">
        <v>4.4054054054054044</v>
      </c>
      <c r="J43" s="19">
        <v>4.7142857142857144</v>
      </c>
      <c r="K43" s="76">
        <v>4.8</v>
      </c>
      <c r="L43" s="62" t="s">
        <v>67</v>
      </c>
      <c r="M43" s="24">
        <v>5</v>
      </c>
      <c r="N43" s="19">
        <v>5</v>
      </c>
      <c r="O43" s="24">
        <v>5</v>
      </c>
      <c r="P43" s="24">
        <v>4.5</v>
      </c>
      <c r="Q43" s="76">
        <v>4.7272727272727266</v>
      </c>
      <c r="R43" s="76">
        <v>3</v>
      </c>
    </row>
    <row r="44" spans="1:18" ht="24" customHeight="1">
      <c r="A44" s="8" t="s">
        <v>10</v>
      </c>
      <c r="B44" s="62" t="s">
        <v>67</v>
      </c>
      <c r="C44" s="76">
        <v>4.5833333333333348</v>
      </c>
      <c r="D44" s="76">
        <v>4.1064814814814818</v>
      </c>
      <c r="E44" s="19">
        <v>4.7954545454545441</v>
      </c>
      <c r="F44" s="24">
        <v>4.681640625</v>
      </c>
      <c r="G44" s="89">
        <v>4.560185185185186</v>
      </c>
      <c r="H44" s="19">
        <v>4.7777777777777786</v>
      </c>
      <c r="I44" s="76">
        <v>4.3800675675675684</v>
      </c>
      <c r="J44" s="19">
        <v>4.53125</v>
      </c>
      <c r="K44" s="76">
        <v>4.6687500000000002</v>
      </c>
      <c r="L44" s="62" t="s">
        <v>67</v>
      </c>
      <c r="M44" s="24">
        <v>4.90625</v>
      </c>
      <c r="N44" s="19">
        <v>5</v>
      </c>
      <c r="O44" s="24">
        <v>5</v>
      </c>
      <c r="P44" s="24">
        <v>4.4062499999999991</v>
      </c>
      <c r="Q44" s="76">
        <v>4.6875</v>
      </c>
      <c r="R44" s="76">
        <v>4</v>
      </c>
    </row>
    <row r="45" spans="1:18">
      <c r="A45" s="8" t="s">
        <v>11</v>
      </c>
      <c r="B45" s="62" t="s">
        <v>67</v>
      </c>
      <c r="C45" s="64">
        <f t="shared" ref="C45:O45" si="2">C44*20</f>
        <v>91.6666666666667</v>
      </c>
      <c r="D45" s="64">
        <f t="shared" si="2"/>
        <v>82.129629629629633</v>
      </c>
      <c r="E45" s="64">
        <f t="shared" si="2"/>
        <v>95.909090909090878</v>
      </c>
      <c r="F45" s="64">
        <f t="shared" si="2"/>
        <v>93.6328125</v>
      </c>
      <c r="G45" s="64">
        <f>G44*20</f>
        <v>91.203703703703724</v>
      </c>
      <c r="H45" s="64">
        <f>H44*20</f>
        <v>95.555555555555571</v>
      </c>
      <c r="I45" s="64">
        <f t="shared" si="2"/>
        <v>87.601351351351369</v>
      </c>
      <c r="J45" s="64">
        <f t="shared" si="2"/>
        <v>90.625</v>
      </c>
      <c r="K45" s="64">
        <f t="shared" si="2"/>
        <v>93.375</v>
      </c>
      <c r="L45" s="62" t="s">
        <v>67</v>
      </c>
      <c r="M45" s="64">
        <f t="shared" si="2"/>
        <v>98.125</v>
      </c>
      <c r="N45" s="64">
        <f t="shared" si="2"/>
        <v>100</v>
      </c>
      <c r="O45" s="64">
        <f t="shared" si="2"/>
        <v>100</v>
      </c>
      <c r="P45" s="64">
        <f>P44*20</f>
        <v>88.124999999999986</v>
      </c>
      <c r="Q45" s="64">
        <f>Q44*20</f>
        <v>93.75</v>
      </c>
      <c r="R45" s="64">
        <f>R44*20</f>
        <v>80</v>
      </c>
    </row>
    <row r="46" spans="1:18">
      <c r="A46" s="77" t="s">
        <v>45</v>
      </c>
      <c r="B46" s="80" t="s">
        <v>68</v>
      </c>
      <c r="C46" s="79">
        <v>97.435897435897431</v>
      </c>
      <c r="D46" s="78">
        <v>92.592592592592595</v>
      </c>
      <c r="E46" s="78">
        <v>100</v>
      </c>
      <c r="F46" s="78">
        <v>96.875</v>
      </c>
      <c r="G46" s="79">
        <v>92.592592592592595</v>
      </c>
      <c r="H46" s="78">
        <v>100</v>
      </c>
      <c r="I46" s="79">
        <v>93.243243243243199</v>
      </c>
      <c r="J46" s="78">
        <v>92.857142857142861</v>
      </c>
      <c r="K46" s="63">
        <v>100</v>
      </c>
      <c r="L46" s="80" t="s">
        <v>68</v>
      </c>
      <c r="M46" s="78">
        <v>100</v>
      </c>
      <c r="N46" s="78">
        <v>100</v>
      </c>
      <c r="O46" s="79">
        <v>100</v>
      </c>
      <c r="P46" s="79">
        <v>71.428571428571431</v>
      </c>
      <c r="Q46" s="79">
        <v>81.818181818181827</v>
      </c>
      <c r="R46" s="63">
        <v>100</v>
      </c>
    </row>
    <row r="48" spans="1:18" ht="24" customHeight="1"/>
    <row r="49" spans="1:14" s="14" customFormat="1" ht="24" customHeight="1">
      <c r="A49" s="6" t="s">
        <v>0</v>
      </c>
      <c r="B49" s="5" t="s">
        <v>47</v>
      </c>
      <c r="C49" s="5" t="s">
        <v>13</v>
      </c>
      <c r="D49" s="5" t="s">
        <v>49</v>
      </c>
      <c r="E49" s="5" t="s">
        <v>15</v>
      </c>
      <c r="F49" s="17" t="s">
        <v>53</v>
      </c>
      <c r="G49" s="5" t="s">
        <v>16</v>
      </c>
      <c r="H49" s="5" t="s">
        <v>17</v>
      </c>
      <c r="I49" s="5" t="s">
        <v>18</v>
      </c>
      <c r="J49" s="5" t="s">
        <v>19</v>
      </c>
      <c r="K49" s="5" t="s">
        <v>20</v>
      </c>
      <c r="L49" s="5" t="s">
        <v>48</v>
      </c>
      <c r="M49" s="5" t="s">
        <v>21</v>
      </c>
      <c r="N49" s="5" t="s">
        <v>22</v>
      </c>
    </row>
    <row r="50" spans="1:14" s="26" customFormat="1" ht="24" customHeight="1" thickBot="1">
      <c r="A50" s="8" t="s">
        <v>9</v>
      </c>
      <c r="B50" s="25">
        <v>31</v>
      </c>
      <c r="C50" s="31">
        <v>39</v>
      </c>
      <c r="D50" s="25">
        <v>22</v>
      </c>
      <c r="E50" s="25">
        <v>29</v>
      </c>
      <c r="F50" s="62" t="s">
        <v>67</v>
      </c>
      <c r="G50" s="25">
        <v>66</v>
      </c>
      <c r="H50" s="25">
        <v>109</v>
      </c>
      <c r="I50" s="62" t="s">
        <v>67</v>
      </c>
      <c r="J50" s="27">
        <v>34</v>
      </c>
      <c r="K50" s="28">
        <v>52</v>
      </c>
      <c r="L50" s="25">
        <v>43</v>
      </c>
      <c r="M50" s="25">
        <v>91</v>
      </c>
      <c r="N50" s="25">
        <v>71</v>
      </c>
    </row>
    <row r="51" spans="1:14" ht="24" customHeight="1" thickBot="1">
      <c r="A51" s="90" t="s">
        <v>76</v>
      </c>
      <c r="B51" s="20">
        <v>4.645161290322581</v>
      </c>
      <c r="C51" s="32">
        <v>4.1025641025641031</v>
      </c>
      <c r="D51" s="20">
        <v>4.5454545454545459</v>
      </c>
      <c r="E51" s="20">
        <v>4.5862068965517242</v>
      </c>
      <c r="F51" s="62" t="s">
        <v>67</v>
      </c>
      <c r="G51" s="20">
        <v>4.3484848484848486</v>
      </c>
      <c r="H51" s="20">
        <v>4.5688073394495401</v>
      </c>
      <c r="I51" s="62" t="s">
        <v>67</v>
      </c>
      <c r="J51" s="20">
        <v>4.4117647058823497</v>
      </c>
      <c r="K51" s="20">
        <v>4.5384615384615383</v>
      </c>
      <c r="L51" s="20">
        <v>4.5116279069767442</v>
      </c>
      <c r="M51" s="20">
        <v>4.4725274725274717</v>
      </c>
      <c r="N51" s="23">
        <v>4.5774647887323949</v>
      </c>
    </row>
    <row r="52" spans="1:14" ht="24" customHeight="1" thickBot="1">
      <c r="A52" s="91" t="s">
        <v>77</v>
      </c>
      <c r="B52" s="20">
        <v>4.6774193548387091</v>
      </c>
      <c r="C52" s="32">
        <v>4.1282051282051295</v>
      </c>
      <c r="D52" s="20">
        <v>4.4090909090909092</v>
      </c>
      <c r="E52" s="20">
        <v>4.5172413793103443</v>
      </c>
      <c r="F52" s="62" t="s">
        <v>67</v>
      </c>
      <c r="G52" s="20">
        <v>4.4242424242424239</v>
      </c>
      <c r="H52" s="20">
        <v>4.5321100917431192</v>
      </c>
      <c r="I52" s="62" t="s">
        <v>67</v>
      </c>
      <c r="J52" s="20">
        <v>4.4411764705882346</v>
      </c>
      <c r="K52" s="20">
        <v>4.5961538461538458</v>
      </c>
      <c r="L52" s="20">
        <v>4.395348837209303</v>
      </c>
      <c r="M52" s="20">
        <v>4.4945054945054945</v>
      </c>
      <c r="N52" s="23">
        <v>4.5211267605633791</v>
      </c>
    </row>
    <row r="53" spans="1:14" ht="24" customHeight="1" thickBot="1">
      <c r="A53" s="91" t="s">
        <v>78</v>
      </c>
      <c r="B53" s="20">
        <v>4.5161290322580649</v>
      </c>
      <c r="C53" s="32">
        <v>4.2051282051282053</v>
      </c>
      <c r="D53" s="20">
        <v>4.4999999999999991</v>
      </c>
      <c r="E53" s="20">
        <v>4.5862068965517242</v>
      </c>
      <c r="F53" s="62" t="s">
        <v>67</v>
      </c>
      <c r="G53" s="20">
        <v>4.3939393939393945</v>
      </c>
      <c r="H53" s="20">
        <v>4.5045871559633017</v>
      </c>
      <c r="I53" s="62" t="s">
        <v>67</v>
      </c>
      <c r="J53" s="20">
        <v>4.470588235294116</v>
      </c>
      <c r="K53" s="20">
        <v>4.5769230769230758</v>
      </c>
      <c r="L53" s="20">
        <v>4.4651162790697674</v>
      </c>
      <c r="M53" s="20">
        <v>4.4615384615384608</v>
      </c>
      <c r="N53" s="23">
        <v>4.5352112676056358</v>
      </c>
    </row>
    <row r="54" spans="1:14" ht="24" customHeight="1" thickBot="1">
      <c r="A54" s="91" t="s">
        <v>79</v>
      </c>
      <c r="B54" s="20">
        <v>4.4516129032258061</v>
      </c>
      <c r="C54" s="32">
        <v>4.1794871794871797</v>
      </c>
      <c r="D54" s="20">
        <v>4.3636363636363642</v>
      </c>
      <c r="E54" s="20">
        <v>4.5517241379310338</v>
      </c>
      <c r="F54" s="62" t="s">
        <v>67</v>
      </c>
      <c r="G54" s="20">
        <v>4.424242424242423</v>
      </c>
      <c r="H54" s="20">
        <v>4.5045871559633062</v>
      </c>
      <c r="I54" s="62" t="s">
        <v>67</v>
      </c>
      <c r="J54" s="20">
        <v>4.470588235294116</v>
      </c>
      <c r="K54" s="20">
        <v>4.5769230769230758</v>
      </c>
      <c r="L54" s="20">
        <v>4.3953488372093039</v>
      </c>
      <c r="M54" s="20">
        <v>4.4505494505494516</v>
      </c>
      <c r="N54" s="23">
        <v>4.5633802816901392</v>
      </c>
    </row>
    <row r="55" spans="1:14" ht="24" customHeight="1" thickBot="1">
      <c r="A55" s="91" t="s">
        <v>80</v>
      </c>
      <c r="B55" s="20">
        <v>4.5806451612903221</v>
      </c>
      <c r="C55" s="32">
        <v>4.1538461538461551</v>
      </c>
      <c r="D55" s="20">
        <v>4.6818181818181817</v>
      </c>
      <c r="E55" s="20">
        <v>4.6551724137931023</v>
      </c>
      <c r="F55" s="62" t="s">
        <v>67</v>
      </c>
      <c r="G55" s="20">
        <v>4.424242424242423</v>
      </c>
      <c r="H55" s="20">
        <v>4.4495412844036686</v>
      </c>
      <c r="I55" s="62" t="s">
        <v>67</v>
      </c>
      <c r="J55" s="20">
        <v>4.382352941176471</v>
      </c>
      <c r="K55" s="20">
        <v>4.5384615384615383</v>
      </c>
      <c r="L55" s="20">
        <v>4.441860465116279</v>
      </c>
      <c r="M55" s="20">
        <v>4.4615384615384581</v>
      </c>
      <c r="N55" s="23">
        <v>4.5633802816901401</v>
      </c>
    </row>
    <row r="56" spans="1:14" ht="24" customHeight="1" thickBot="1">
      <c r="A56" s="91" t="s">
        <v>81</v>
      </c>
      <c r="B56" s="20">
        <v>4.5483870967741931</v>
      </c>
      <c r="C56" s="32">
        <v>4.1538461538461542</v>
      </c>
      <c r="D56" s="20">
        <v>4.6363636363636376</v>
      </c>
      <c r="E56" s="20">
        <v>4.6896551724137927</v>
      </c>
      <c r="F56" s="62" t="s">
        <v>67</v>
      </c>
      <c r="G56" s="20">
        <v>4.5000000000000018</v>
      </c>
      <c r="H56" s="20">
        <v>4.4862385321100913</v>
      </c>
      <c r="I56" s="62" t="s">
        <v>67</v>
      </c>
      <c r="J56" s="20">
        <v>4.4117647058823533</v>
      </c>
      <c r="K56" s="20">
        <v>4.5576923076923066</v>
      </c>
      <c r="L56" s="20">
        <v>4.3720930232558146</v>
      </c>
      <c r="M56" s="20">
        <v>4.439560439560438</v>
      </c>
      <c r="N56" s="23">
        <v>4.5633802816901392</v>
      </c>
    </row>
    <row r="57" spans="1:14" ht="24" customHeight="1" thickBot="1">
      <c r="A57" s="91" t="s">
        <v>82</v>
      </c>
      <c r="B57" s="20">
        <v>4.6451612903225801</v>
      </c>
      <c r="C57" s="32">
        <v>4.2564102564102564</v>
      </c>
      <c r="D57" s="20">
        <v>4.454545454545455</v>
      </c>
      <c r="E57" s="20">
        <v>4.6896551724137927</v>
      </c>
      <c r="F57" s="62" t="s">
        <v>67</v>
      </c>
      <c r="G57" s="20">
        <v>4.5454545454545441</v>
      </c>
      <c r="H57" s="20">
        <v>4.6788990825688082</v>
      </c>
      <c r="I57" s="62" t="s">
        <v>67</v>
      </c>
      <c r="J57" s="20">
        <v>4.4411764705882346</v>
      </c>
      <c r="K57" s="20">
        <v>4.6153846153846141</v>
      </c>
      <c r="L57" s="20">
        <v>4.4651162790697683</v>
      </c>
      <c r="M57" s="20">
        <v>4.4835164835164827</v>
      </c>
      <c r="N57" s="23">
        <v>4.5915492957746507</v>
      </c>
    </row>
    <row r="58" spans="1:14" ht="24" customHeight="1" thickBot="1">
      <c r="A58" s="91" t="s">
        <v>83</v>
      </c>
      <c r="B58" s="20">
        <v>4.3870967741935489</v>
      </c>
      <c r="C58" s="32">
        <v>4.1538461538461542</v>
      </c>
      <c r="D58" s="20">
        <v>4.5909090909090908</v>
      </c>
      <c r="E58" s="20">
        <v>4.4482758620689662</v>
      </c>
      <c r="F58" s="62" t="s">
        <v>67</v>
      </c>
      <c r="G58" s="20">
        <v>4.5000000000000027</v>
      </c>
      <c r="H58" s="20">
        <v>4.4954128440367009</v>
      </c>
      <c r="I58" s="62" t="s">
        <v>67</v>
      </c>
      <c r="J58" s="20">
        <v>4.3235294117647065</v>
      </c>
      <c r="K58" s="20">
        <v>4.4807692307692299</v>
      </c>
      <c r="L58" s="20">
        <v>4.3953488372093013</v>
      </c>
      <c r="M58" s="20">
        <v>4.4175824175824188</v>
      </c>
      <c r="N58" s="23">
        <v>4.6478873239436602</v>
      </c>
    </row>
    <row r="59" spans="1:14" ht="24" customHeight="1" thickBot="1">
      <c r="A59" s="91" t="s">
        <v>84</v>
      </c>
      <c r="B59" s="20">
        <v>4.4838709677419351</v>
      </c>
      <c r="C59" s="32">
        <v>4.1282051282051286</v>
      </c>
      <c r="D59" s="20">
        <v>4.6363636363636358</v>
      </c>
      <c r="E59" s="20">
        <v>4.5862068965517242</v>
      </c>
      <c r="F59" s="62" t="s">
        <v>67</v>
      </c>
      <c r="G59" s="20">
        <v>4.5757575757575761</v>
      </c>
      <c r="H59" s="20">
        <v>4.6605504587155968</v>
      </c>
      <c r="I59" s="62" t="s">
        <v>67</v>
      </c>
      <c r="J59" s="20">
        <v>4.4411764705882346</v>
      </c>
      <c r="K59" s="20">
        <v>4.5769230769230758</v>
      </c>
      <c r="L59" s="20">
        <v>4.5581395348837219</v>
      </c>
      <c r="M59" s="20">
        <v>4.3956043956043951</v>
      </c>
      <c r="N59" s="23">
        <v>4.5774647887323923</v>
      </c>
    </row>
    <row r="60" spans="1:14" ht="24" customHeight="1" thickBot="1">
      <c r="A60" s="91" t="s">
        <v>85</v>
      </c>
      <c r="B60" s="20">
        <v>4.6129032258064502</v>
      </c>
      <c r="C60" s="32">
        <v>4.1794871794871797</v>
      </c>
      <c r="D60" s="20">
        <v>4.6818181818181817</v>
      </c>
      <c r="E60" s="20">
        <v>4.6206896551724128</v>
      </c>
      <c r="F60" s="62" t="s">
        <v>67</v>
      </c>
      <c r="G60" s="20">
        <v>4.5303030303030294</v>
      </c>
      <c r="H60" s="20">
        <v>4.568807339449541</v>
      </c>
      <c r="I60" s="62" t="s">
        <v>67</v>
      </c>
      <c r="J60" s="20">
        <v>4.5294117647058822</v>
      </c>
      <c r="K60" s="20">
        <v>4.5576923076923066</v>
      </c>
      <c r="L60" s="20">
        <v>4.3953488372093039</v>
      </c>
      <c r="M60" s="20">
        <v>4.3406593406593394</v>
      </c>
      <c r="N60" s="23">
        <v>4.6478873239436611</v>
      </c>
    </row>
    <row r="61" spans="1:14" ht="24" customHeight="1" thickBot="1">
      <c r="A61" s="91" t="s">
        <v>86</v>
      </c>
      <c r="B61" s="20">
        <v>4.645161290322581</v>
      </c>
      <c r="C61" s="32">
        <v>4.1538461538461542</v>
      </c>
      <c r="D61" s="20">
        <v>4.6363636363636358</v>
      </c>
      <c r="E61" s="20">
        <v>4.6551724137931032</v>
      </c>
      <c r="F61" s="62" t="s">
        <v>67</v>
      </c>
      <c r="G61" s="20">
        <v>4.4696969696969688</v>
      </c>
      <c r="H61" s="20">
        <v>4.5779816513761498</v>
      </c>
      <c r="I61" s="62" t="s">
        <v>67</v>
      </c>
      <c r="J61" s="20">
        <v>4.5294117647058822</v>
      </c>
      <c r="K61" s="20">
        <v>4.634615384615385</v>
      </c>
      <c r="L61" s="20">
        <v>4.5348837209302326</v>
      </c>
      <c r="M61" s="20">
        <v>4.3516483516483522</v>
      </c>
      <c r="N61" s="23">
        <v>4.6056338028169019</v>
      </c>
    </row>
    <row r="62" spans="1:14" ht="24" customHeight="1" thickBot="1">
      <c r="A62" s="91" t="s">
        <v>87</v>
      </c>
      <c r="B62" s="20">
        <v>4.4838709677419342</v>
      </c>
      <c r="C62" s="32">
        <v>4.1025641025641022</v>
      </c>
      <c r="D62" s="20">
        <v>4.5000000000000009</v>
      </c>
      <c r="E62" s="20">
        <v>4.4482758620689653</v>
      </c>
      <c r="F62" s="62" t="s">
        <v>67</v>
      </c>
      <c r="G62" s="20">
        <v>4.4696969696969697</v>
      </c>
      <c r="H62" s="20">
        <v>4.5045871559633053</v>
      </c>
      <c r="I62" s="62" t="s">
        <v>67</v>
      </c>
      <c r="J62" s="20">
        <v>4.4999999999999991</v>
      </c>
      <c r="K62" s="20">
        <v>4.6153846153846141</v>
      </c>
      <c r="L62" s="20">
        <v>4.395348837209303</v>
      </c>
      <c r="M62" s="20">
        <v>4.4725274725274726</v>
      </c>
      <c r="N62" s="23">
        <v>4.5915492957746507</v>
      </c>
    </row>
    <row r="63" spans="1:14" ht="24" customHeight="1" thickBot="1">
      <c r="A63" s="91" t="s">
        <v>88</v>
      </c>
      <c r="B63" s="20">
        <v>4.3870967741935489</v>
      </c>
      <c r="C63" s="32">
        <v>4.1025641025641031</v>
      </c>
      <c r="D63" s="20">
        <v>4.5000000000000009</v>
      </c>
      <c r="E63" s="20">
        <v>4.5862068965517251</v>
      </c>
      <c r="F63" s="62" t="s">
        <v>67</v>
      </c>
      <c r="G63" s="20">
        <v>4.5151515151515147</v>
      </c>
      <c r="H63" s="20">
        <v>4.5229357798165113</v>
      </c>
      <c r="I63" s="62" t="s">
        <v>67</v>
      </c>
      <c r="J63" s="20">
        <v>4.4411764705882346</v>
      </c>
      <c r="K63" s="20">
        <v>4.5576923076923066</v>
      </c>
      <c r="L63" s="20">
        <v>4.4186046511627914</v>
      </c>
      <c r="M63" s="20">
        <v>4.4505494505494507</v>
      </c>
      <c r="N63" s="23">
        <v>4.52112676056338</v>
      </c>
    </row>
    <row r="64" spans="1:14" ht="24" customHeight="1" thickBot="1">
      <c r="A64" s="91" t="s">
        <v>89</v>
      </c>
      <c r="B64" s="20">
        <v>4.4838709677419351</v>
      </c>
      <c r="C64" s="32">
        <v>4.1538461538461542</v>
      </c>
      <c r="D64" s="20">
        <v>4.6363636363636367</v>
      </c>
      <c r="E64" s="20">
        <v>4.5517241379310347</v>
      </c>
      <c r="F64" s="62" t="s">
        <v>67</v>
      </c>
      <c r="G64" s="20">
        <v>4.4848484848484844</v>
      </c>
      <c r="H64" s="20">
        <v>4.4587155963302774</v>
      </c>
      <c r="I64" s="62" t="s">
        <v>67</v>
      </c>
      <c r="J64" s="20">
        <v>4.5</v>
      </c>
      <c r="K64" s="20">
        <v>4.5384615384615392</v>
      </c>
      <c r="L64" s="20">
        <v>4.4651162790697674</v>
      </c>
      <c r="M64" s="20">
        <v>4.4065934065934078</v>
      </c>
      <c r="N64" s="23">
        <v>4.5915492957746507</v>
      </c>
    </row>
    <row r="65" spans="1:16" ht="24" customHeight="1" thickBot="1">
      <c r="A65" s="91" t="s">
        <v>90</v>
      </c>
      <c r="B65" s="20">
        <v>4.5806451612903221</v>
      </c>
      <c r="C65" s="32">
        <v>4.1282051282051286</v>
      </c>
      <c r="D65" s="20">
        <v>4.545454545454545</v>
      </c>
      <c r="E65" s="20">
        <v>4.4827586206896557</v>
      </c>
      <c r="F65" s="62" t="s">
        <v>67</v>
      </c>
      <c r="G65" s="20">
        <v>4.5000000000000027</v>
      </c>
      <c r="H65" s="20">
        <v>4.623853211009175</v>
      </c>
      <c r="I65" s="62" t="s">
        <v>67</v>
      </c>
      <c r="J65" s="20">
        <v>4.4117647058823524</v>
      </c>
      <c r="K65" s="20">
        <v>4.5192307692307683</v>
      </c>
      <c r="L65" s="20">
        <v>4.5116279069767442</v>
      </c>
      <c r="M65" s="20">
        <v>4.5164835164835146</v>
      </c>
      <c r="N65" s="23">
        <v>4.5915492957746507</v>
      </c>
    </row>
    <row r="66" spans="1:16" ht="24" customHeight="1" thickBot="1">
      <c r="A66" s="91" t="s">
        <v>91</v>
      </c>
      <c r="B66" s="20">
        <v>4.6451612903225818</v>
      </c>
      <c r="C66" s="32">
        <v>4.1794871794871797</v>
      </c>
      <c r="D66" s="20">
        <v>4.5454545454545459</v>
      </c>
      <c r="E66" s="20">
        <v>4.5517241379310347</v>
      </c>
      <c r="F66" s="62" t="s">
        <v>67</v>
      </c>
      <c r="G66" s="20">
        <v>4.575757575757577</v>
      </c>
      <c r="H66" s="20">
        <v>4.7431192660550474</v>
      </c>
      <c r="I66" s="62" t="s">
        <v>67</v>
      </c>
      <c r="J66" s="20">
        <v>4.5294117647058822</v>
      </c>
      <c r="K66" s="20">
        <v>4.615384615384615</v>
      </c>
      <c r="L66" s="20">
        <v>4.6279069767441863</v>
      </c>
      <c r="M66" s="20">
        <v>4.4725274725274735</v>
      </c>
      <c r="N66" s="23">
        <v>4.605633802816901</v>
      </c>
    </row>
    <row r="67" spans="1:16" ht="24" customHeight="1">
      <c r="A67" s="8" t="s">
        <v>10</v>
      </c>
      <c r="B67" s="20">
        <v>4.5483870967741939</v>
      </c>
      <c r="C67" s="75">
        <v>4.1538461538461542</v>
      </c>
      <c r="D67" s="20">
        <v>4.5539772727272725</v>
      </c>
      <c r="E67" s="20">
        <v>4.5754310344827571</v>
      </c>
      <c r="F67" s="62" t="s">
        <v>67</v>
      </c>
      <c r="G67" s="20">
        <v>4.4801136363636358</v>
      </c>
      <c r="H67" s="20">
        <v>4.5550458715596331</v>
      </c>
      <c r="I67" s="62" t="s">
        <v>67</v>
      </c>
      <c r="J67" s="20">
        <v>4.452205882352942</v>
      </c>
      <c r="K67" s="20">
        <v>4.5685096153846159</v>
      </c>
      <c r="L67" s="20">
        <v>4.4593023255813939</v>
      </c>
      <c r="M67" s="20">
        <v>4.4429945054945046</v>
      </c>
      <c r="N67" s="23">
        <v>4.5809859154929544</v>
      </c>
    </row>
    <row r="68" spans="1:16">
      <c r="A68" s="8" t="s">
        <v>11</v>
      </c>
      <c r="B68" s="64">
        <f t="shared" ref="B68:N68" si="3">B67*20</f>
        <v>90.967741935483872</v>
      </c>
      <c r="C68" s="64">
        <f t="shared" si="3"/>
        <v>83.07692307692308</v>
      </c>
      <c r="D68" s="64">
        <f t="shared" si="3"/>
        <v>91.079545454545453</v>
      </c>
      <c r="E68" s="64">
        <f t="shared" si="3"/>
        <v>91.508620689655146</v>
      </c>
      <c r="F68" s="62" t="s">
        <v>67</v>
      </c>
      <c r="G68" s="64">
        <f t="shared" si="3"/>
        <v>89.60227272727272</v>
      </c>
      <c r="H68" s="64">
        <f t="shared" si="3"/>
        <v>91.10091743119267</v>
      </c>
      <c r="I68" s="62" t="s">
        <v>67</v>
      </c>
      <c r="J68" s="64">
        <f t="shared" si="3"/>
        <v>89.04411764705884</v>
      </c>
      <c r="K68" s="64">
        <f t="shared" si="3"/>
        <v>91.370192307692321</v>
      </c>
      <c r="L68" s="64">
        <f t="shared" si="3"/>
        <v>89.186046511627879</v>
      </c>
      <c r="M68" s="64">
        <f t="shared" si="3"/>
        <v>88.859890109890088</v>
      </c>
      <c r="N68" s="64">
        <f t="shared" si="3"/>
        <v>91.619718309859081</v>
      </c>
    </row>
    <row r="69" spans="1:16">
      <c r="A69" s="16" t="s">
        <v>45</v>
      </c>
      <c r="B69" s="63">
        <v>100</v>
      </c>
      <c r="C69" s="63">
        <v>100</v>
      </c>
      <c r="D69" s="63">
        <v>100</v>
      </c>
      <c r="E69" s="63">
        <v>100</v>
      </c>
      <c r="F69" s="21" t="s">
        <v>68</v>
      </c>
      <c r="G69" s="63">
        <v>100</v>
      </c>
      <c r="H69" s="65">
        <v>100</v>
      </c>
      <c r="I69" s="21" t="s">
        <v>68</v>
      </c>
      <c r="J69" s="63">
        <v>100</v>
      </c>
      <c r="K69" s="63">
        <v>92.31</v>
      </c>
      <c r="L69" s="63">
        <v>86.05</v>
      </c>
      <c r="M69" s="63">
        <v>97.802197802197796</v>
      </c>
      <c r="N69" s="63">
        <v>100</v>
      </c>
    </row>
    <row r="71" spans="1:16" ht="24" customHeight="1"/>
    <row r="72" spans="1:16" s="14" customFormat="1" ht="24" customHeight="1">
      <c r="A72" s="7" t="s">
        <v>0</v>
      </c>
      <c r="B72" s="5" t="s">
        <v>23</v>
      </c>
      <c r="C72" s="5" t="s">
        <v>24</v>
      </c>
      <c r="D72" s="5" t="s">
        <v>25</v>
      </c>
      <c r="E72" s="9" t="s">
        <v>26</v>
      </c>
      <c r="F72" s="5" t="s">
        <v>27</v>
      </c>
      <c r="G72" s="5" t="s">
        <v>28</v>
      </c>
      <c r="H72" s="5" t="s">
        <v>29</v>
      </c>
      <c r="I72" s="5" t="s">
        <v>30</v>
      </c>
      <c r="J72" s="5" t="s">
        <v>31</v>
      </c>
      <c r="K72" s="5" t="s">
        <v>32</v>
      </c>
      <c r="L72" s="5" t="s">
        <v>33</v>
      </c>
      <c r="M72" s="5" t="s">
        <v>14</v>
      </c>
      <c r="N72" s="5" t="s">
        <v>65</v>
      </c>
      <c r="O72" s="26"/>
      <c r="P72" s="3"/>
    </row>
    <row r="73" spans="1:16" s="26" customFormat="1" ht="24" customHeight="1" thickBot="1">
      <c r="A73" s="8" t="s">
        <v>9</v>
      </c>
      <c r="B73" s="25">
        <v>38</v>
      </c>
      <c r="C73" s="25">
        <v>19</v>
      </c>
      <c r="D73" s="25">
        <v>36</v>
      </c>
      <c r="E73" s="25">
        <v>33</v>
      </c>
      <c r="F73" s="25">
        <v>59</v>
      </c>
      <c r="G73" s="25">
        <v>22</v>
      </c>
      <c r="H73" s="25">
        <v>33</v>
      </c>
      <c r="I73" s="25">
        <v>36</v>
      </c>
      <c r="J73" s="25">
        <v>46</v>
      </c>
      <c r="K73" s="62" t="s">
        <v>67</v>
      </c>
      <c r="L73" s="62">
        <v>74</v>
      </c>
      <c r="M73" s="18">
        <v>2</v>
      </c>
      <c r="N73" s="62" t="s">
        <v>67</v>
      </c>
      <c r="O73" s="3"/>
      <c r="P73" s="67"/>
    </row>
    <row r="74" spans="1:16" ht="24" customHeight="1" thickBot="1">
      <c r="A74" s="90" t="s">
        <v>76</v>
      </c>
      <c r="B74" s="20">
        <v>4.7105263157894735</v>
      </c>
      <c r="C74" s="20">
        <v>4.5789473684210522</v>
      </c>
      <c r="D74" s="20">
        <v>4.6111111111111125</v>
      </c>
      <c r="E74" s="20">
        <v>4.6060606060606055</v>
      </c>
      <c r="F74" s="20">
        <v>4.5932203389830502</v>
      </c>
      <c r="G74" s="20">
        <v>4.2727272727272725</v>
      </c>
      <c r="H74" s="20">
        <v>4.9393939393939394</v>
      </c>
      <c r="I74" s="20">
        <v>4.6944444444444446</v>
      </c>
      <c r="J74" s="20">
        <v>4.6521739130434785</v>
      </c>
      <c r="K74" s="62" t="s">
        <v>67</v>
      </c>
      <c r="L74" s="20">
        <v>4.6756756756756763</v>
      </c>
      <c r="M74" s="20">
        <v>5</v>
      </c>
      <c r="N74" s="62" t="s">
        <v>67</v>
      </c>
    </row>
    <row r="75" spans="1:16" ht="24" customHeight="1" thickBot="1">
      <c r="A75" s="91" t="s">
        <v>77</v>
      </c>
      <c r="B75" s="20">
        <v>4.7105263157894735</v>
      </c>
      <c r="C75" s="20">
        <v>4.5789473684210513</v>
      </c>
      <c r="D75" s="20">
        <v>4.6944444444444446</v>
      </c>
      <c r="E75" s="20">
        <v>4.6363636363636358</v>
      </c>
      <c r="F75" s="20">
        <v>4.5593220338983045</v>
      </c>
      <c r="G75" s="20">
        <v>4.1818181818181817</v>
      </c>
      <c r="H75" s="20">
        <v>4.9090909090909092</v>
      </c>
      <c r="I75" s="20">
        <v>4.6666666666666661</v>
      </c>
      <c r="J75" s="20">
        <v>4.6086956521739131</v>
      </c>
      <c r="K75" s="62" t="s">
        <v>67</v>
      </c>
      <c r="L75" s="20">
        <v>4.6756756756756763</v>
      </c>
      <c r="M75" s="20">
        <v>5</v>
      </c>
      <c r="N75" s="62" t="s">
        <v>67</v>
      </c>
    </row>
    <row r="76" spans="1:16" ht="24" customHeight="1" thickBot="1">
      <c r="A76" s="91" t="s">
        <v>78</v>
      </c>
      <c r="B76" s="20">
        <v>4.7631578947368434</v>
      </c>
      <c r="C76" s="20">
        <v>4.4736842105263159</v>
      </c>
      <c r="D76" s="20">
        <v>4.666666666666667</v>
      </c>
      <c r="E76" s="20">
        <v>4.4848484848484844</v>
      </c>
      <c r="F76" s="20">
        <v>4.4745762711864412</v>
      </c>
      <c r="G76" s="20">
        <v>4.2272727272727266</v>
      </c>
      <c r="H76" s="20">
        <v>4.8484848484848468</v>
      </c>
      <c r="I76" s="20">
        <v>4.666666666666667</v>
      </c>
      <c r="J76" s="20">
        <v>4.6956521739130439</v>
      </c>
      <c r="K76" s="62" t="s">
        <v>67</v>
      </c>
      <c r="L76" s="20">
        <v>4.608108108108107</v>
      </c>
      <c r="M76" s="20">
        <v>5</v>
      </c>
      <c r="N76" s="62" t="s">
        <v>67</v>
      </c>
    </row>
    <row r="77" spans="1:16" ht="24" customHeight="1" thickBot="1">
      <c r="A77" s="91" t="s">
        <v>79</v>
      </c>
      <c r="B77" s="20">
        <v>4.6842105263157903</v>
      </c>
      <c r="C77" s="20">
        <v>4.5263157894736841</v>
      </c>
      <c r="D77" s="20">
        <v>4.666666666666667</v>
      </c>
      <c r="E77" s="20">
        <v>4.4848484848484844</v>
      </c>
      <c r="F77" s="20">
        <v>4.5593220338983045</v>
      </c>
      <c r="G77" s="20">
        <v>4.2727272727272725</v>
      </c>
      <c r="H77" s="20">
        <v>4.8787878787878789</v>
      </c>
      <c r="I77" s="20">
        <v>4.6944444444444446</v>
      </c>
      <c r="J77" s="20">
        <v>4.6304347826086953</v>
      </c>
      <c r="K77" s="62" t="s">
        <v>67</v>
      </c>
      <c r="L77" s="20">
        <v>4.6351351351351351</v>
      </c>
      <c r="M77" s="20">
        <v>5</v>
      </c>
      <c r="N77" s="62" t="s">
        <v>67</v>
      </c>
    </row>
    <row r="78" spans="1:16" ht="24" customHeight="1" thickBot="1">
      <c r="A78" s="91" t="s">
        <v>80</v>
      </c>
      <c r="B78" s="20">
        <v>4.8421052631578947</v>
      </c>
      <c r="C78" s="20">
        <v>4.3157894736842097</v>
      </c>
      <c r="D78" s="20">
        <v>4.7222222222222214</v>
      </c>
      <c r="E78" s="20">
        <v>4.5757575757575761</v>
      </c>
      <c r="F78" s="20">
        <v>4.5254237288135579</v>
      </c>
      <c r="G78" s="20">
        <v>4.3636363636363633</v>
      </c>
      <c r="H78" s="20">
        <v>4.878787878787878</v>
      </c>
      <c r="I78" s="20">
        <v>4.5555555555555562</v>
      </c>
      <c r="J78" s="20">
        <v>4.695652173913043</v>
      </c>
      <c r="K78" s="62" t="s">
        <v>67</v>
      </c>
      <c r="L78" s="20">
        <v>4.64864864864865</v>
      </c>
      <c r="M78" s="20">
        <v>5</v>
      </c>
      <c r="N78" s="62" t="s">
        <v>67</v>
      </c>
    </row>
    <row r="79" spans="1:16" ht="24" customHeight="1" thickBot="1">
      <c r="A79" s="91" t="s">
        <v>81</v>
      </c>
      <c r="B79" s="20">
        <v>4.8157894736842106</v>
      </c>
      <c r="C79" s="20">
        <v>4.3684210526315788</v>
      </c>
      <c r="D79" s="20">
        <v>4.7222222222222214</v>
      </c>
      <c r="E79" s="20">
        <v>4.545454545454545</v>
      </c>
      <c r="F79" s="20">
        <v>4.5762711864406764</v>
      </c>
      <c r="G79" s="20">
        <v>4.3636363636363633</v>
      </c>
      <c r="H79" s="20">
        <v>4.8181818181818183</v>
      </c>
      <c r="I79" s="20">
        <v>4.6388888888888884</v>
      </c>
      <c r="J79" s="20">
        <v>4.6086956521739131</v>
      </c>
      <c r="K79" s="62" t="s">
        <v>67</v>
      </c>
      <c r="L79" s="20">
        <v>4.6756756756756763</v>
      </c>
      <c r="M79" s="20">
        <v>4.5</v>
      </c>
      <c r="N79" s="62" t="s">
        <v>67</v>
      </c>
    </row>
    <row r="80" spans="1:16" ht="24" customHeight="1" thickBot="1">
      <c r="A80" s="91" t="s">
        <v>82</v>
      </c>
      <c r="B80" s="20">
        <v>4.8421052631578938</v>
      </c>
      <c r="C80" s="20">
        <v>4.4736842105263159</v>
      </c>
      <c r="D80" s="20">
        <v>4.666666666666667</v>
      </c>
      <c r="E80" s="20">
        <v>4.7272727272727266</v>
      </c>
      <c r="F80" s="20">
        <v>4.6271186440677967</v>
      </c>
      <c r="G80" s="20">
        <v>4.4090909090909083</v>
      </c>
      <c r="H80" s="20">
        <v>4.9393939393939394</v>
      </c>
      <c r="I80" s="20">
        <v>4.6388888888888884</v>
      </c>
      <c r="J80" s="20">
        <v>4.7391304347826075</v>
      </c>
      <c r="K80" s="62" t="s">
        <v>67</v>
      </c>
      <c r="L80" s="20">
        <v>4.7162162162162176</v>
      </c>
      <c r="M80" s="20">
        <v>4.5</v>
      </c>
      <c r="N80" s="62" t="s">
        <v>67</v>
      </c>
    </row>
    <row r="81" spans="1:16" ht="24" customHeight="1" thickBot="1">
      <c r="A81" s="91" t="s">
        <v>83</v>
      </c>
      <c r="B81" s="20">
        <v>4.7368421052631584</v>
      </c>
      <c r="C81" s="20">
        <v>4.3684210526315788</v>
      </c>
      <c r="D81" s="20">
        <v>4.6944444444444438</v>
      </c>
      <c r="E81" s="20">
        <v>4.5151515151515156</v>
      </c>
      <c r="F81" s="20">
        <v>4.5254237288135588</v>
      </c>
      <c r="G81" s="20">
        <v>4.3181818181818183</v>
      </c>
      <c r="H81" s="20">
        <v>4.8181818181818183</v>
      </c>
      <c r="I81" s="20">
        <v>4.6111111111111116</v>
      </c>
      <c r="J81" s="20">
        <v>4.6521739130434785</v>
      </c>
      <c r="K81" s="62" t="s">
        <v>67</v>
      </c>
      <c r="L81" s="20">
        <v>4.6486486486486518</v>
      </c>
      <c r="M81" s="20">
        <v>4.5</v>
      </c>
      <c r="N81" s="62" t="s">
        <v>67</v>
      </c>
    </row>
    <row r="82" spans="1:16" ht="24" customHeight="1" thickBot="1">
      <c r="A82" s="91" t="s">
        <v>84</v>
      </c>
      <c r="B82" s="20">
        <v>4.7894736842105265</v>
      </c>
      <c r="C82" s="20">
        <v>4.4736842105263168</v>
      </c>
      <c r="D82" s="20">
        <v>4.6388888888888884</v>
      </c>
      <c r="E82" s="20">
        <v>4.6060606060606055</v>
      </c>
      <c r="F82" s="20">
        <v>4.6271186440677967</v>
      </c>
      <c r="G82" s="20">
        <v>4.3181818181818175</v>
      </c>
      <c r="H82" s="20">
        <v>4.9090909090909101</v>
      </c>
      <c r="I82" s="20">
        <v>4.6944444444444446</v>
      </c>
      <c r="J82" s="20">
        <v>4.6739130434782608</v>
      </c>
      <c r="K82" s="62" t="s">
        <v>67</v>
      </c>
      <c r="L82" s="20">
        <v>4.7567567567567579</v>
      </c>
      <c r="M82" s="20">
        <v>4</v>
      </c>
      <c r="N82" s="62" t="s">
        <v>67</v>
      </c>
    </row>
    <row r="83" spans="1:16" ht="24" customHeight="1" thickBot="1">
      <c r="A83" s="91" t="s">
        <v>85</v>
      </c>
      <c r="B83" s="20">
        <v>4.7894736842105274</v>
      </c>
      <c r="C83" s="20">
        <v>4.3684210526315788</v>
      </c>
      <c r="D83" s="20">
        <v>4.7499999999999991</v>
      </c>
      <c r="E83" s="20">
        <v>4.4848484848484844</v>
      </c>
      <c r="F83" s="20">
        <v>4.4745762711864403</v>
      </c>
      <c r="G83" s="20">
        <v>4.3636363636363633</v>
      </c>
      <c r="H83" s="20">
        <v>4.7575757575757578</v>
      </c>
      <c r="I83" s="20">
        <v>4.7222222222222223</v>
      </c>
      <c r="J83" s="20">
        <v>4.5652173913043468</v>
      </c>
      <c r="K83" s="62" t="s">
        <v>67</v>
      </c>
      <c r="L83" s="20">
        <v>4.6891891891891895</v>
      </c>
      <c r="M83" s="20">
        <v>4</v>
      </c>
      <c r="N83" s="62" t="s">
        <v>67</v>
      </c>
    </row>
    <row r="84" spans="1:16" ht="24" customHeight="1" thickBot="1">
      <c r="A84" s="91" t="s">
        <v>86</v>
      </c>
      <c r="B84" s="20">
        <v>4.8157894736842106</v>
      </c>
      <c r="C84" s="20">
        <v>4.4210526315789487</v>
      </c>
      <c r="D84" s="20">
        <v>4.6111111111111107</v>
      </c>
      <c r="E84" s="20">
        <v>4.5757575757575752</v>
      </c>
      <c r="F84" s="20">
        <v>4.5593220338983045</v>
      </c>
      <c r="G84" s="20">
        <v>4.3181818181818175</v>
      </c>
      <c r="H84" s="20">
        <v>4.8787878787878771</v>
      </c>
      <c r="I84" s="20">
        <v>4.7222222222222214</v>
      </c>
      <c r="J84" s="20">
        <v>4.7173913043478262</v>
      </c>
      <c r="K84" s="62" t="s">
        <v>67</v>
      </c>
      <c r="L84" s="20">
        <v>4.7162162162162176</v>
      </c>
      <c r="M84" s="20">
        <v>4.5</v>
      </c>
      <c r="N84" s="62" t="s">
        <v>67</v>
      </c>
    </row>
    <row r="85" spans="1:16" ht="24" customHeight="1" thickBot="1">
      <c r="A85" s="91" t="s">
        <v>87</v>
      </c>
      <c r="B85" s="20">
        <v>4.7631578947368425</v>
      </c>
      <c r="C85" s="20">
        <v>4.4210526315789487</v>
      </c>
      <c r="D85" s="20">
        <v>4.666666666666667</v>
      </c>
      <c r="E85" s="20">
        <v>4.5757575757575752</v>
      </c>
      <c r="F85" s="20">
        <v>4.5932203389830502</v>
      </c>
      <c r="G85" s="20">
        <v>4.3181818181818175</v>
      </c>
      <c r="H85" s="20">
        <v>4.8484848484848486</v>
      </c>
      <c r="I85" s="20">
        <v>4.7222222222222223</v>
      </c>
      <c r="J85" s="20">
        <v>4.6304347826086945</v>
      </c>
      <c r="K85" s="62" t="s">
        <v>67</v>
      </c>
      <c r="L85" s="20">
        <v>4.7027027027027035</v>
      </c>
      <c r="M85" s="20">
        <v>5</v>
      </c>
      <c r="N85" s="62" t="s">
        <v>67</v>
      </c>
    </row>
    <row r="86" spans="1:16" ht="24" customHeight="1" thickBot="1">
      <c r="A86" s="91" t="s">
        <v>88</v>
      </c>
      <c r="B86" s="20">
        <v>4.8157894736842106</v>
      </c>
      <c r="C86" s="20">
        <v>4.4210526315789478</v>
      </c>
      <c r="D86" s="20">
        <v>4.6111111111111125</v>
      </c>
      <c r="E86" s="20">
        <v>4.6666666666666661</v>
      </c>
      <c r="F86" s="20">
        <v>4.5423728813559334</v>
      </c>
      <c r="G86" s="20">
        <v>4.3181818181818175</v>
      </c>
      <c r="H86" s="20">
        <v>4.9393939393939394</v>
      </c>
      <c r="I86" s="20">
        <v>4.6944444444444446</v>
      </c>
      <c r="J86" s="20">
        <v>4.6304347826086971</v>
      </c>
      <c r="K86" s="62" t="s">
        <v>67</v>
      </c>
      <c r="L86" s="20">
        <v>4.6891891891891904</v>
      </c>
      <c r="M86" s="20">
        <v>4.5</v>
      </c>
      <c r="N86" s="62" t="s">
        <v>67</v>
      </c>
    </row>
    <row r="87" spans="1:16" ht="24" customHeight="1" thickBot="1">
      <c r="A87" s="91" t="s">
        <v>89</v>
      </c>
      <c r="B87" s="20">
        <v>4.7631578947368434</v>
      </c>
      <c r="C87" s="20">
        <v>4.3684210526315796</v>
      </c>
      <c r="D87" s="20">
        <v>4.6944444444444438</v>
      </c>
      <c r="E87" s="20">
        <v>4.6969696969696964</v>
      </c>
      <c r="F87" s="20">
        <v>4.6101694915254221</v>
      </c>
      <c r="G87" s="20">
        <v>4.2727272727272716</v>
      </c>
      <c r="H87" s="20">
        <v>4.9090909090909074</v>
      </c>
      <c r="I87" s="20">
        <v>4.7222222222222214</v>
      </c>
      <c r="J87" s="20">
        <v>4.6521739130434794</v>
      </c>
      <c r="K87" s="62" t="s">
        <v>67</v>
      </c>
      <c r="L87" s="20">
        <v>4.6486486486486482</v>
      </c>
      <c r="M87" s="20">
        <v>4.5</v>
      </c>
      <c r="N87" s="62" t="s">
        <v>67</v>
      </c>
    </row>
    <row r="88" spans="1:16" ht="24" customHeight="1" thickBot="1">
      <c r="A88" s="91" t="s">
        <v>90</v>
      </c>
      <c r="B88" s="20">
        <v>4.7368421052631584</v>
      </c>
      <c r="C88" s="20">
        <v>4.4736842105263168</v>
      </c>
      <c r="D88" s="20">
        <v>4.666666666666667</v>
      </c>
      <c r="E88" s="20">
        <v>4.6363636363636358</v>
      </c>
      <c r="F88" s="20">
        <v>4.4915254237288131</v>
      </c>
      <c r="G88" s="20">
        <v>4.3181818181818175</v>
      </c>
      <c r="H88" s="20">
        <v>4.9393939393939394</v>
      </c>
      <c r="I88" s="20">
        <v>4.7777777777777777</v>
      </c>
      <c r="J88" s="20">
        <v>4.6521739130434794</v>
      </c>
      <c r="K88" s="62" t="s">
        <v>67</v>
      </c>
      <c r="L88" s="20">
        <v>4.6621621621621623</v>
      </c>
      <c r="M88" s="20">
        <v>5</v>
      </c>
      <c r="N88" s="62" t="s">
        <v>67</v>
      </c>
    </row>
    <row r="89" spans="1:16" ht="24" customHeight="1" thickBot="1">
      <c r="A89" s="91" t="s">
        <v>91</v>
      </c>
      <c r="B89" s="20">
        <v>4.7894736842105265</v>
      </c>
      <c r="C89" s="20">
        <v>4.526315789473685</v>
      </c>
      <c r="D89" s="20">
        <v>4.7222222222222223</v>
      </c>
      <c r="E89" s="20">
        <v>4.7575757575757578</v>
      </c>
      <c r="F89" s="20">
        <v>4.7118644067796609</v>
      </c>
      <c r="G89" s="20">
        <v>4.3636363636363633</v>
      </c>
      <c r="H89" s="20">
        <v>4.9696969696969706</v>
      </c>
      <c r="I89" s="20">
        <v>4.8055555555555554</v>
      </c>
      <c r="J89" s="20">
        <v>4.6739130434782616</v>
      </c>
      <c r="K89" s="62" t="s">
        <v>67</v>
      </c>
      <c r="L89" s="20">
        <v>4.7702702702702728</v>
      </c>
      <c r="M89" s="20">
        <v>4</v>
      </c>
      <c r="N89" s="62" t="s">
        <v>67</v>
      </c>
    </row>
    <row r="90" spans="1:16" ht="24" customHeight="1">
      <c r="A90" s="8" t="s">
        <v>10</v>
      </c>
      <c r="B90" s="20">
        <v>4.7730263157894743</v>
      </c>
      <c r="C90" s="20">
        <v>4.447368421052631</v>
      </c>
      <c r="D90" s="20">
        <v>4.6753472222222223</v>
      </c>
      <c r="E90" s="20">
        <v>4.5984848484848495</v>
      </c>
      <c r="F90" s="20">
        <v>4.5656779661016955</v>
      </c>
      <c r="G90" s="20">
        <v>4.3124999999999982</v>
      </c>
      <c r="H90" s="20">
        <v>4.8863636363636358</v>
      </c>
      <c r="I90" s="20">
        <v>4.6892361111111098</v>
      </c>
      <c r="J90" s="20">
        <v>4.6548913043478262</v>
      </c>
      <c r="K90" s="62" t="s">
        <v>67</v>
      </c>
      <c r="L90" s="20">
        <v>4.6824324324324307</v>
      </c>
      <c r="M90" s="20">
        <v>4.625</v>
      </c>
      <c r="N90" s="62" t="s">
        <v>67</v>
      </c>
    </row>
    <row r="91" spans="1:16" s="67" customFormat="1">
      <c r="A91" s="66" t="s">
        <v>11</v>
      </c>
      <c r="B91" s="69">
        <f>B90*20</f>
        <v>95.46052631578948</v>
      </c>
      <c r="C91" s="64">
        <f>C90*20</f>
        <v>88.947368421052616</v>
      </c>
      <c r="D91" s="64">
        <f>D90*20</f>
        <v>93.506944444444443</v>
      </c>
      <c r="E91" s="64">
        <f t="shared" ref="E91:M91" si="4">E90*20</f>
        <v>91.969696969696997</v>
      </c>
      <c r="F91" s="64">
        <f t="shared" si="4"/>
        <v>91.31355932203391</v>
      </c>
      <c r="G91" s="64">
        <f t="shared" si="4"/>
        <v>86.249999999999972</v>
      </c>
      <c r="H91" s="64">
        <f t="shared" si="4"/>
        <v>97.72727272727272</v>
      </c>
      <c r="I91" s="64">
        <f t="shared" si="4"/>
        <v>93.7847222222222</v>
      </c>
      <c r="J91" s="64">
        <f t="shared" si="4"/>
        <v>93.09782608695653</v>
      </c>
      <c r="K91" s="62" t="s">
        <v>67</v>
      </c>
      <c r="L91" s="64">
        <f t="shared" ref="L91" si="5">L90*20</f>
        <v>93.648648648648617</v>
      </c>
      <c r="M91" s="64">
        <f t="shared" si="4"/>
        <v>92.5</v>
      </c>
      <c r="N91" s="62" t="s">
        <v>67</v>
      </c>
      <c r="P91" s="3"/>
    </row>
    <row r="92" spans="1:16">
      <c r="A92" s="16" t="s">
        <v>45</v>
      </c>
      <c r="B92" s="63">
        <v>89.473684210526315</v>
      </c>
      <c r="C92" s="63">
        <v>89.473684210526315</v>
      </c>
      <c r="D92" s="63">
        <v>83.33</v>
      </c>
      <c r="E92" s="63">
        <v>78.787878787878782</v>
      </c>
      <c r="F92" s="63">
        <v>100</v>
      </c>
      <c r="G92" s="63">
        <v>95.454545454545453</v>
      </c>
      <c r="H92" s="63">
        <v>96.969696969696969</v>
      </c>
      <c r="I92" s="63">
        <v>94.444444444444443</v>
      </c>
      <c r="J92" s="63">
        <v>97.826086956521735</v>
      </c>
      <c r="K92" s="21" t="s">
        <v>68</v>
      </c>
      <c r="L92" s="22">
        <v>100</v>
      </c>
      <c r="M92" s="63">
        <v>100</v>
      </c>
      <c r="N92" s="21" t="s">
        <v>68</v>
      </c>
    </row>
    <row r="93" spans="1:16" ht="24" customHeight="1"/>
    <row r="94" spans="1:16" ht="24" customHeight="1"/>
    <row r="95" spans="1:16">
      <c r="B95" s="3"/>
      <c r="E95" s="10"/>
      <c r="F95" s="10"/>
    </row>
    <row r="96" spans="1:16">
      <c r="B96" s="3"/>
      <c r="E96" s="11"/>
      <c r="F96" s="11"/>
    </row>
    <row r="97" spans="2:6">
      <c r="B97" s="3"/>
      <c r="E97" s="11"/>
      <c r="F97" s="11"/>
    </row>
    <row r="98" spans="2:6">
      <c r="B98" s="3"/>
      <c r="E98" s="11"/>
      <c r="F98" s="11"/>
    </row>
    <row r="99" spans="2:6">
      <c r="B99" s="3"/>
      <c r="E99" s="11"/>
      <c r="F99" s="11"/>
    </row>
    <row r="100" spans="2:6">
      <c r="B100" s="3"/>
      <c r="E100" s="11"/>
      <c r="F100" s="11"/>
    </row>
    <row r="101" spans="2:6">
      <c r="B101" s="3"/>
      <c r="E101" s="11"/>
      <c r="F101" s="11"/>
    </row>
    <row r="102" spans="2:6">
      <c r="B102" s="3"/>
      <c r="E102" s="11"/>
      <c r="F102" s="11"/>
    </row>
    <row r="103" spans="2:6" ht="24" customHeight="1">
      <c r="B103" s="3"/>
      <c r="E103" s="11"/>
      <c r="F103" s="11"/>
    </row>
    <row r="104" spans="2:6" ht="24" customHeight="1">
      <c r="B104" s="3"/>
      <c r="E104" s="11"/>
      <c r="F104" s="11"/>
    </row>
    <row r="105" spans="2:6">
      <c r="B105" s="3"/>
      <c r="E105" s="11"/>
      <c r="F105" s="11"/>
    </row>
    <row r="106" spans="2:6">
      <c r="B106" s="3"/>
      <c r="E106" s="11"/>
      <c r="F106" s="11"/>
    </row>
    <row r="107" spans="2:6">
      <c r="B107" s="3"/>
      <c r="E107" s="11"/>
      <c r="F107" s="11"/>
    </row>
    <row r="108" spans="2:6">
      <c r="B108" s="3"/>
      <c r="E108" s="11"/>
      <c r="F108" s="11"/>
    </row>
    <row r="109" spans="2:6">
      <c r="B109" s="3"/>
      <c r="E109" s="11"/>
      <c r="F109" s="11"/>
    </row>
    <row r="110" spans="2:6">
      <c r="B110" s="3"/>
      <c r="E110" s="11"/>
      <c r="F110" s="11"/>
    </row>
    <row r="111" spans="2:6" ht="24" customHeight="1">
      <c r="B111" s="3"/>
      <c r="E111" s="11"/>
      <c r="F111" s="11"/>
    </row>
    <row r="112" spans="2:6" ht="24" customHeight="1">
      <c r="B112" s="3"/>
      <c r="E112" s="11"/>
      <c r="F112" s="11"/>
    </row>
    <row r="113" spans="2:6">
      <c r="B113" s="3"/>
      <c r="E113" s="12"/>
      <c r="F113" s="12"/>
    </row>
    <row r="114" spans="2:6">
      <c r="B114" s="3"/>
      <c r="E114" s="12"/>
      <c r="F114" s="12"/>
    </row>
    <row r="115" spans="2:6">
      <c r="B115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3" manualBreakCount="3"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6"/>
  <sheetViews>
    <sheetView view="pageBreakPreview" topLeftCell="A10" zoomScale="120" zoomScaleNormal="100" zoomScaleSheetLayoutView="120" workbookViewId="0">
      <selection activeCell="D17" sqref="D17"/>
    </sheetView>
  </sheetViews>
  <sheetFormatPr defaultColWidth="9" defaultRowHeight="21"/>
  <cols>
    <col min="1" max="1" width="4.75" style="34" customWidth="1"/>
    <col min="2" max="2" width="27.625" style="34" customWidth="1"/>
    <col min="3" max="7" width="12" style="34" customWidth="1"/>
    <col min="8" max="8" width="30.125" style="34" customWidth="1"/>
    <col min="9" max="9" width="14.75" style="34" customWidth="1"/>
    <col min="10" max="10" width="7.25" style="34" customWidth="1"/>
    <col min="11" max="12" width="9" style="34"/>
    <col min="13" max="13" width="13.875" style="34" customWidth="1"/>
    <col min="14" max="16384" width="9" style="34"/>
  </cols>
  <sheetData>
    <row r="1" spans="1:9" s="49" customFormat="1" ht="43.5" customHeight="1">
      <c r="A1" s="129" t="s">
        <v>93</v>
      </c>
      <c r="B1" s="130"/>
      <c r="C1" s="130"/>
      <c r="D1" s="130"/>
      <c r="E1" s="130"/>
      <c r="F1" s="130"/>
      <c r="G1" s="130"/>
      <c r="H1" s="130"/>
      <c r="I1" s="130"/>
    </row>
    <row r="2" spans="1:9" s="49" customFormat="1">
      <c r="A2" s="128" t="s">
        <v>159</v>
      </c>
      <c r="B2" s="128"/>
      <c r="C2" s="128"/>
      <c r="D2" s="128"/>
      <c r="E2" s="128"/>
      <c r="F2" s="128"/>
      <c r="G2" s="128"/>
      <c r="H2" s="128"/>
    </row>
    <row r="3" spans="1:9" s="36" customFormat="1">
      <c r="A3" s="128" t="s">
        <v>97</v>
      </c>
      <c r="B3" s="128"/>
      <c r="C3" s="128"/>
      <c r="D3" s="128"/>
      <c r="E3" s="128"/>
      <c r="F3" s="128"/>
      <c r="G3" s="128"/>
      <c r="H3" s="128"/>
      <c r="I3" s="49"/>
    </row>
    <row r="4" spans="1:9" s="49" customFormat="1">
      <c r="A4" s="51" t="s">
        <v>54</v>
      </c>
      <c r="B4" s="51"/>
      <c r="C4" s="51"/>
      <c r="D4" s="51"/>
      <c r="E4" s="51"/>
      <c r="F4" s="52"/>
      <c r="G4" s="52"/>
      <c r="H4" s="52"/>
      <c r="I4" s="36"/>
    </row>
    <row r="5" spans="1:9" s="49" customFormat="1">
      <c r="B5" s="132" t="s">
        <v>157</v>
      </c>
      <c r="C5" s="132"/>
      <c r="D5" s="132"/>
      <c r="E5" s="132"/>
      <c r="F5" s="132"/>
      <c r="G5" s="132"/>
      <c r="H5" s="132"/>
    </row>
    <row r="6" spans="1:9" s="87" customFormat="1">
      <c r="A6" s="49"/>
      <c r="B6" s="132" t="s">
        <v>146</v>
      </c>
      <c r="C6" s="132"/>
      <c r="D6" s="132"/>
      <c r="E6" s="132"/>
      <c r="F6" s="132"/>
      <c r="G6" s="132"/>
      <c r="H6" s="132"/>
      <c r="I6" s="49"/>
    </row>
    <row r="7" spans="1:9" s="36" customFormat="1" ht="21.75" customHeight="1">
      <c r="A7" s="87"/>
      <c r="B7" s="133" t="s">
        <v>147</v>
      </c>
      <c r="C7" s="133"/>
      <c r="D7" s="133"/>
      <c r="E7" s="133"/>
      <c r="F7" s="133"/>
      <c r="G7" s="133"/>
      <c r="H7" s="133"/>
      <c r="I7" s="87"/>
    </row>
    <row r="8" spans="1:9" s="36" customFormat="1" ht="21.75" customHeight="1">
      <c r="B8" s="53" t="s">
        <v>0</v>
      </c>
      <c r="C8" s="54" t="s">
        <v>34</v>
      </c>
      <c r="D8" s="54" t="s">
        <v>35</v>
      </c>
      <c r="E8" s="54" t="s">
        <v>36</v>
      </c>
      <c r="F8" s="54" t="s">
        <v>37</v>
      </c>
      <c r="G8" s="54" t="s">
        <v>38</v>
      </c>
    </row>
    <row r="9" spans="1:9" s="36" customFormat="1" ht="21.75" customHeight="1">
      <c r="B9" s="55" t="s">
        <v>9</v>
      </c>
      <c r="C9" s="56" t="s">
        <v>96</v>
      </c>
      <c r="D9" s="56" t="s">
        <v>94</v>
      </c>
      <c r="E9" s="68">
        <v>14</v>
      </c>
      <c r="F9" s="57" t="s">
        <v>162</v>
      </c>
      <c r="G9" s="57" t="s">
        <v>95</v>
      </c>
    </row>
    <row r="10" spans="1:9" s="36" customFormat="1" ht="21.75" customHeight="1">
      <c r="B10" s="55" t="s">
        <v>10</v>
      </c>
      <c r="C10" s="29">
        <v>4.4326923076923102</v>
      </c>
      <c r="D10" s="29">
        <v>4.5567893401015187</v>
      </c>
      <c r="E10" s="123">
        <v>4.4062499999999991</v>
      </c>
      <c r="F10" s="122">
        <v>4.8904899135446689</v>
      </c>
      <c r="G10" s="85">
        <v>4.7777777777777786</v>
      </c>
    </row>
    <row r="11" spans="1:9" s="36" customFormat="1" ht="21.75" customHeight="1">
      <c r="B11" s="55" t="s">
        <v>11</v>
      </c>
      <c r="C11" s="29">
        <v>88.653846153846203</v>
      </c>
      <c r="D11" s="29">
        <v>91.135786802030367</v>
      </c>
      <c r="E11" s="124">
        <f>E10*20</f>
        <v>88.124999999999986</v>
      </c>
      <c r="F11" s="124">
        <f>F10*20</f>
        <v>97.809798270893381</v>
      </c>
      <c r="G11" s="86">
        <v>95.555555555555571</v>
      </c>
    </row>
    <row r="12" spans="1:9" s="36" customFormat="1" ht="24" customHeight="1">
      <c r="B12" s="59"/>
      <c r="C12" s="60"/>
      <c r="D12" s="60"/>
      <c r="E12" s="60"/>
      <c r="F12" s="73"/>
      <c r="G12" s="73"/>
    </row>
    <row r="13" spans="1:9" s="36" customFormat="1" ht="24" customHeight="1">
      <c r="A13" s="131" t="s">
        <v>39</v>
      </c>
      <c r="B13" s="131"/>
      <c r="H13" s="36" t="s">
        <v>52</v>
      </c>
    </row>
    <row r="14" spans="1:9" s="36" customFormat="1" ht="24" customHeight="1">
      <c r="B14" s="39" t="s">
        <v>40</v>
      </c>
    </row>
    <row r="15" spans="1:9" s="36" customFormat="1" ht="24" customHeight="1">
      <c r="B15" s="99" t="s">
        <v>117</v>
      </c>
    </row>
    <row r="16" spans="1:9" s="36" customFormat="1" ht="24" customHeight="1">
      <c r="B16" s="99" t="s">
        <v>122</v>
      </c>
    </row>
    <row r="17" spans="1:13" s="36" customFormat="1" ht="24" customHeight="1">
      <c r="B17" s="99" t="s">
        <v>113</v>
      </c>
    </row>
    <row r="18" spans="1:13" s="36" customFormat="1" ht="24" customHeight="1">
      <c r="B18" s="99" t="s">
        <v>112</v>
      </c>
    </row>
    <row r="19" spans="1:13" s="36" customFormat="1" ht="24" customHeight="1">
      <c r="B19" s="99" t="s">
        <v>104</v>
      </c>
    </row>
    <row r="20" spans="1:13" s="36" customFormat="1" ht="24" customHeight="1">
      <c r="B20" s="99" t="s">
        <v>125</v>
      </c>
    </row>
    <row r="21" spans="1:13" s="36" customFormat="1" ht="24" customHeight="1">
      <c r="B21" s="126" t="s">
        <v>180</v>
      </c>
      <c r="C21" s="126"/>
      <c r="D21" s="126"/>
      <c r="E21" s="126"/>
      <c r="F21" s="126"/>
      <c r="G21" s="126"/>
      <c r="H21" s="126"/>
    </row>
    <row r="22" spans="1:13" s="72" customFormat="1" ht="24" customHeight="1">
      <c r="A22" s="34"/>
      <c r="B22" s="33" t="s">
        <v>98</v>
      </c>
      <c r="C22" s="37"/>
      <c r="D22" s="37"/>
      <c r="E22" s="37"/>
      <c r="F22" s="37"/>
      <c r="G22" s="37"/>
      <c r="H22" s="37"/>
      <c r="I22" s="34"/>
    </row>
    <row r="23" spans="1:13" s="72" customFormat="1" ht="24" customHeight="1">
      <c r="A23" s="34"/>
      <c r="B23" s="33" t="s">
        <v>181</v>
      </c>
      <c r="C23" s="37"/>
      <c r="D23" s="37"/>
      <c r="E23" s="37"/>
      <c r="F23" s="37"/>
      <c r="G23" s="37"/>
      <c r="H23" s="37"/>
      <c r="I23" s="34"/>
    </row>
    <row r="24" spans="1:13" s="72" customFormat="1" ht="24" customHeight="1">
      <c r="A24" s="34"/>
      <c r="B24" s="33" t="s">
        <v>110</v>
      </c>
      <c r="C24" s="37"/>
      <c r="D24" s="37"/>
      <c r="E24" s="37"/>
      <c r="F24" s="37"/>
      <c r="G24" s="37"/>
      <c r="H24" s="37"/>
      <c r="I24" s="34"/>
    </row>
    <row r="25" spans="1:13" s="72" customFormat="1" ht="24" customHeight="1">
      <c r="A25" s="34"/>
      <c r="B25" s="33" t="s">
        <v>111</v>
      </c>
      <c r="C25" s="37"/>
      <c r="D25" s="37"/>
      <c r="E25" s="37"/>
      <c r="F25" s="37"/>
      <c r="G25" s="37"/>
      <c r="H25" s="37"/>
      <c r="I25" s="34"/>
    </row>
    <row r="26" spans="1:13" s="72" customFormat="1" ht="24" customHeight="1">
      <c r="A26" s="34"/>
      <c r="B26" s="33" t="s">
        <v>119</v>
      </c>
      <c r="C26" s="37"/>
      <c r="D26" s="37"/>
      <c r="E26" s="37"/>
      <c r="F26" s="37"/>
      <c r="G26" s="37"/>
      <c r="H26" s="37"/>
      <c r="I26" s="34"/>
    </row>
    <row r="27" spans="1:13" s="72" customFormat="1" ht="24" customHeight="1">
      <c r="A27" s="34"/>
      <c r="B27" s="33" t="s">
        <v>182</v>
      </c>
      <c r="C27" s="37"/>
      <c r="D27" s="37"/>
      <c r="E27" s="37"/>
      <c r="F27" s="37"/>
      <c r="G27" s="37"/>
      <c r="H27" s="37"/>
      <c r="I27" s="34"/>
    </row>
    <row r="28" spans="1:13" s="72" customFormat="1" ht="24" customHeight="1">
      <c r="A28" s="34"/>
      <c r="B28" s="33" t="s">
        <v>123</v>
      </c>
      <c r="C28" s="37"/>
      <c r="D28" s="37"/>
      <c r="E28" s="37"/>
      <c r="F28" s="37"/>
      <c r="G28" s="37"/>
      <c r="H28" s="37"/>
      <c r="I28" s="34"/>
    </row>
    <row r="29" spans="1:13" s="72" customFormat="1" ht="24" customHeight="1">
      <c r="A29" s="34"/>
      <c r="B29" s="33" t="s">
        <v>124</v>
      </c>
      <c r="C29" s="37"/>
      <c r="D29" s="37"/>
      <c r="E29" s="37"/>
      <c r="F29" s="37"/>
      <c r="G29" s="37"/>
      <c r="H29" s="37"/>
      <c r="I29" s="34"/>
    </row>
    <row r="30" spans="1:13" s="72" customFormat="1" ht="24" customHeight="1">
      <c r="A30" s="34"/>
      <c r="B30" s="33" t="s">
        <v>106</v>
      </c>
      <c r="C30" s="37"/>
      <c r="D30" s="37"/>
      <c r="E30" s="37"/>
      <c r="F30" s="37"/>
      <c r="G30" s="37"/>
      <c r="H30" s="37"/>
      <c r="I30" s="34"/>
    </row>
    <row r="31" spans="1:13" s="72" customFormat="1" ht="24" customHeight="1">
      <c r="A31" s="34"/>
      <c r="B31" s="33" t="s">
        <v>148</v>
      </c>
      <c r="C31" s="37"/>
      <c r="D31" s="37"/>
      <c r="E31" s="37"/>
      <c r="F31" s="37"/>
      <c r="G31" s="37"/>
      <c r="H31" s="37"/>
      <c r="I31" s="34"/>
    </row>
    <row r="32" spans="1:13" s="72" customFormat="1" ht="24" customHeight="1">
      <c r="A32" s="34"/>
      <c r="B32" s="127" t="s">
        <v>99</v>
      </c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</row>
    <row r="33" spans="1:9" s="72" customFormat="1" ht="24" customHeight="1">
      <c r="A33" s="34"/>
      <c r="B33" s="33" t="s">
        <v>100</v>
      </c>
      <c r="C33" s="37"/>
      <c r="D33" s="37"/>
      <c r="E33" s="37"/>
      <c r="F33" s="37"/>
      <c r="G33" s="37"/>
      <c r="H33" s="37"/>
      <c r="I33" s="34"/>
    </row>
    <row r="34" spans="1:9" s="72" customFormat="1" ht="24" customHeight="1">
      <c r="A34" s="34"/>
      <c r="B34" s="33" t="s">
        <v>149</v>
      </c>
      <c r="C34" s="37"/>
      <c r="D34" s="37"/>
      <c r="E34" s="37"/>
      <c r="F34" s="37"/>
      <c r="G34" s="37"/>
      <c r="H34" s="37"/>
      <c r="I34" s="34"/>
    </row>
    <row r="35" spans="1:9" s="72" customFormat="1" ht="24" customHeight="1">
      <c r="A35" s="34"/>
      <c r="B35" s="33" t="s">
        <v>101</v>
      </c>
      <c r="C35" s="37"/>
      <c r="D35" s="37"/>
      <c r="E35" s="37"/>
      <c r="F35" s="37"/>
      <c r="G35" s="37"/>
      <c r="H35" s="37"/>
      <c r="I35" s="34"/>
    </row>
    <row r="36" spans="1:9" s="72" customFormat="1" ht="24" customHeight="1">
      <c r="A36" s="34"/>
      <c r="B36" s="33" t="s">
        <v>102</v>
      </c>
      <c r="C36" s="37"/>
      <c r="D36" s="37"/>
      <c r="E36" s="37"/>
      <c r="F36" s="37"/>
      <c r="G36" s="37"/>
      <c r="H36" s="37"/>
      <c r="I36" s="34"/>
    </row>
    <row r="37" spans="1:9" s="72" customFormat="1" ht="24" customHeight="1">
      <c r="A37" s="34"/>
      <c r="B37" s="33" t="s">
        <v>108</v>
      </c>
      <c r="C37" s="37"/>
      <c r="D37" s="37"/>
      <c r="E37" s="37"/>
      <c r="F37" s="37"/>
      <c r="G37" s="37"/>
      <c r="H37" s="37"/>
      <c r="I37" s="34"/>
    </row>
    <row r="38" spans="1:9" s="72" customFormat="1" ht="24" customHeight="1">
      <c r="A38" s="34"/>
      <c r="B38" s="33" t="s">
        <v>109</v>
      </c>
      <c r="C38" s="37"/>
      <c r="D38" s="37"/>
      <c r="E38" s="37"/>
      <c r="F38" s="37"/>
      <c r="G38" s="37"/>
      <c r="H38" s="37"/>
      <c r="I38" s="34"/>
    </row>
    <row r="39" spans="1:9" s="72" customFormat="1" ht="24" customHeight="1">
      <c r="A39" s="34"/>
      <c r="B39" s="33" t="s">
        <v>127</v>
      </c>
      <c r="C39" s="37"/>
      <c r="D39" s="37"/>
      <c r="E39" s="37"/>
      <c r="F39" s="37"/>
      <c r="G39" s="37"/>
      <c r="H39" s="37"/>
      <c r="I39" s="34"/>
    </row>
    <row r="40" spans="1:9" s="72" customFormat="1" ht="24" customHeight="1">
      <c r="A40" s="34"/>
      <c r="B40" s="33" t="s">
        <v>151</v>
      </c>
      <c r="C40" s="37"/>
      <c r="D40" s="37"/>
      <c r="E40" s="37"/>
      <c r="F40" s="37"/>
      <c r="G40" s="37"/>
      <c r="H40" s="37"/>
      <c r="I40" s="34"/>
    </row>
    <row r="41" spans="1:9" s="72" customFormat="1" ht="24" customHeight="1">
      <c r="A41" s="34"/>
      <c r="B41" s="33" t="s">
        <v>150</v>
      </c>
      <c r="C41" s="37"/>
      <c r="D41" s="37"/>
      <c r="E41" s="37"/>
      <c r="F41" s="37"/>
      <c r="G41" s="37"/>
      <c r="H41" s="37"/>
      <c r="I41" s="34"/>
    </row>
    <row r="42" spans="1:9" s="72" customFormat="1" ht="24" customHeight="1">
      <c r="A42" s="34"/>
      <c r="B42" s="33" t="s">
        <v>128</v>
      </c>
      <c r="C42" s="37"/>
      <c r="D42" s="37"/>
      <c r="E42" s="37"/>
      <c r="F42" s="37"/>
      <c r="G42" s="37"/>
      <c r="H42" s="37"/>
      <c r="I42" s="34"/>
    </row>
    <row r="43" spans="1:9" s="72" customFormat="1" ht="24" customHeight="1">
      <c r="A43" s="34"/>
      <c r="C43" s="37"/>
      <c r="D43" s="37"/>
      <c r="E43" s="37"/>
      <c r="F43" s="37"/>
      <c r="G43" s="37"/>
      <c r="H43" s="37"/>
      <c r="I43" s="34"/>
    </row>
    <row r="44" spans="1:9" s="72" customFormat="1" ht="24" customHeight="1">
      <c r="A44" s="74"/>
      <c r="B44" s="39" t="s">
        <v>41</v>
      </c>
      <c r="C44" s="38"/>
      <c r="D44" s="38"/>
      <c r="E44" s="38"/>
      <c r="F44" s="38"/>
      <c r="G44" s="38"/>
      <c r="H44" s="38"/>
    </row>
    <row r="45" spans="1:9" s="42" customFormat="1" ht="24" customHeight="1">
      <c r="A45" s="34"/>
      <c r="B45" s="34" t="s">
        <v>116</v>
      </c>
      <c r="C45" s="37"/>
      <c r="D45" s="37"/>
      <c r="E45" s="37"/>
      <c r="F45" s="37"/>
      <c r="G45" s="37"/>
      <c r="H45" s="37"/>
      <c r="I45" s="34"/>
    </row>
    <row r="46" spans="1:9" s="42" customFormat="1" ht="24" customHeight="1">
      <c r="A46" s="34"/>
      <c r="B46" s="34"/>
      <c r="C46" s="37"/>
      <c r="D46" s="37"/>
      <c r="E46" s="37"/>
      <c r="F46" s="37"/>
      <c r="G46" s="37"/>
      <c r="H46" s="37"/>
      <c r="I46" s="34"/>
    </row>
    <row r="47" spans="1:9" ht="24" customHeight="1">
      <c r="A47" s="58"/>
      <c r="B47" s="50" t="s">
        <v>42</v>
      </c>
      <c r="C47" s="50"/>
      <c r="D47" s="50"/>
      <c r="E47" s="50"/>
      <c r="F47" s="36"/>
      <c r="G47" s="36"/>
      <c r="H47" s="36"/>
      <c r="I47" s="42"/>
    </row>
    <row r="48" spans="1:9" ht="24" customHeight="1">
      <c r="A48" s="58"/>
      <c r="B48" s="59" t="s">
        <v>118</v>
      </c>
      <c r="C48" s="50"/>
      <c r="D48" s="50"/>
      <c r="E48" s="50"/>
      <c r="F48" s="36"/>
      <c r="G48" s="36"/>
      <c r="H48" s="36"/>
      <c r="I48" s="42"/>
    </row>
    <row r="49" spans="1:9" ht="24" customHeight="1">
      <c r="A49" s="58"/>
      <c r="B49" s="33" t="s">
        <v>105</v>
      </c>
      <c r="C49" s="50"/>
      <c r="D49" s="50"/>
      <c r="E49" s="50"/>
      <c r="F49" s="36"/>
      <c r="G49" s="36"/>
      <c r="H49" s="36"/>
      <c r="I49" s="42"/>
    </row>
    <row r="50" spans="1:9" ht="24" customHeight="1">
      <c r="A50" s="72"/>
      <c r="B50" s="33" t="s">
        <v>103</v>
      </c>
      <c r="C50" s="33"/>
      <c r="D50" s="38"/>
      <c r="E50" s="40"/>
      <c r="F50" s="40"/>
      <c r="G50" s="40"/>
      <c r="H50" s="40"/>
      <c r="I50" s="72"/>
    </row>
    <row r="51" spans="1:9" ht="24" customHeight="1">
      <c r="A51" s="72"/>
      <c r="B51" s="34" t="s">
        <v>120</v>
      </c>
      <c r="C51" s="33"/>
      <c r="D51" s="38"/>
      <c r="E51" s="40"/>
      <c r="F51" s="40"/>
      <c r="G51" s="40"/>
      <c r="H51" s="40"/>
      <c r="I51" s="72"/>
    </row>
    <row r="52" spans="1:9" ht="24" customHeight="1">
      <c r="A52" s="72"/>
      <c r="B52" s="33" t="s">
        <v>107</v>
      </c>
      <c r="C52" s="33"/>
      <c r="D52" s="38"/>
      <c r="E52" s="40"/>
      <c r="F52" s="40"/>
      <c r="G52" s="40"/>
      <c r="H52" s="40"/>
      <c r="I52" s="72"/>
    </row>
    <row r="53" spans="1:9" ht="24" customHeight="1">
      <c r="A53" s="72"/>
      <c r="B53" s="33" t="s">
        <v>114</v>
      </c>
      <c r="C53" s="33"/>
      <c r="D53" s="38"/>
      <c r="E53" s="40"/>
      <c r="F53" s="40"/>
      <c r="G53" s="40"/>
      <c r="H53" s="40"/>
      <c r="I53" s="72"/>
    </row>
    <row r="54" spans="1:9" ht="24" customHeight="1">
      <c r="A54" s="72"/>
      <c r="B54" s="33" t="s">
        <v>115</v>
      </c>
      <c r="C54" s="33"/>
      <c r="D54" s="38"/>
      <c r="E54" s="40"/>
      <c r="F54" s="40"/>
      <c r="G54" s="40"/>
      <c r="H54" s="40"/>
      <c r="I54" s="72"/>
    </row>
    <row r="55" spans="1:9" ht="24" customHeight="1">
      <c r="A55" s="72"/>
      <c r="B55" s="33" t="s">
        <v>152</v>
      </c>
      <c r="C55" s="33"/>
      <c r="D55" s="38"/>
      <c r="E55" s="40"/>
      <c r="F55" s="40"/>
      <c r="G55" s="40"/>
      <c r="H55" s="40"/>
      <c r="I55" s="72"/>
    </row>
    <row r="56" spans="1:9" ht="24" customHeight="1">
      <c r="A56" s="72"/>
      <c r="B56" s="33" t="s">
        <v>183</v>
      </c>
      <c r="C56" s="33"/>
      <c r="D56" s="38"/>
      <c r="E56" s="40"/>
      <c r="F56" s="40"/>
      <c r="G56" s="40"/>
      <c r="H56" s="40"/>
      <c r="I56" s="72"/>
    </row>
    <row r="57" spans="1:9" ht="24" customHeight="1">
      <c r="A57" s="72"/>
      <c r="B57" s="33" t="s">
        <v>121</v>
      </c>
      <c r="C57" s="33"/>
      <c r="D57" s="38"/>
      <c r="E57" s="40"/>
      <c r="F57" s="40"/>
      <c r="G57" s="40"/>
      <c r="H57" s="40"/>
      <c r="I57" s="72"/>
    </row>
    <row r="58" spans="1:9" ht="24" customHeight="1">
      <c r="A58" s="72"/>
      <c r="B58" s="33" t="s">
        <v>126</v>
      </c>
      <c r="C58" s="33"/>
      <c r="D58" s="38"/>
      <c r="E58" s="40"/>
      <c r="F58" s="40"/>
      <c r="G58" s="40"/>
      <c r="H58" s="40"/>
      <c r="I58" s="72"/>
    </row>
    <row r="59" spans="1:9" ht="24" customHeight="1">
      <c r="A59" s="72"/>
      <c r="B59" s="33"/>
      <c r="C59" s="33"/>
      <c r="D59" s="38"/>
      <c r="E59" s="40"/>
      <c r="F59" s="40"/>
      <c r="G59" s="40"/>
      <c r="H59" s="40"/>
      <c r="I59" s="72"/>
    </row>
    <row r="60" spans="1:9" ht="24" customHeight="1">
      <c r="A60" s="70" t="s">
        <v>43</v>
      </c>
      <c r="C60" s="36"/>
      <c r="D60" s="36"/>
      <c r="E60" s="36"/>
      <c r="F60" s="36"/>
      <c r="G60" s="36"/>
      <c r="H60" s="36"/>
    </row>
    <row r="61" spans="1:9" ht="24" customHeight="1">
      <c r="B61" s="39" t="s">
        <v>40</v>
      </c>
      <c r="C61" s="41"/>
      <c r="D61" s="41"/>
      <c r="E61" s="41"/>
      <c r="F61" s="41"/>
      <c r="G61" s="41"/>
      <c r="H61" s="41"/>
    </row>
    <row r="62" spans="1:9" ht="24" customHeight="1">
      <c r="B62" s="126" t="s">
        <v>130</v>
      </c>
      <c r="C62" s="126"/>
      <c r="D62" s="126"/>
      <c r="E62" s="126"/>
      <c r="F62" s="41"/>
      <c r="G62" s="41"/>
      <c r="H62" s="41"/>
    </row>
    <row r="63" spans="1:9" ht="24" customHeight="1">
      <c r="B63" s="59" t="s">
        <v>137</v>
      </c>
      <c r="C63" s="59"/>
      <c r="D63" s="59"/>
      <c r="E63" s="59"/>
      <c r="F63" s="41"/>
      <c r="G63" s="41"/>
      <c r="H63" s="41"/>
    </row>
    <row r="64" spans="1:9" ht="24" customHeight="1">
      <c r="B64" s="59" t="s">
        <v>138</v>
      </c>
      <c r="C64" s="59"/>
      <c r="D64" s="59"/>
      <c r="E64" s="59"/>
      <c r="F64" s="41"/>
      <c r="G64" s="41"/>
      <c r="H64" s="41"/>
    </row>
    <row r="65" spans="2:13" ht="24" customHeight="1">
      <c r="B65" s="126" t="s">
        <v>155</v>
      </c>
      <c r="C65" s="126"/>
      <c r="D65" s="126"/>
      <c r="E65" s="126"/>
      <c r="F65" s="126"/>
      <c r="G65" s="126"/>
      <c r="H65" s="126"/>
    </row>
    <row r="66" spans="2:13" ht="24" customHeight="1">
      <c r="B66" s="34" t="s">
        <v>132</v>
      </c>
      <c r="C66" s="41"/>
      <c r="D66" s="41"/>
      <c r="E66" s="41"/>
      <c r="F66" s="41"/>
      <c r="G66" s="41"/>
      <c r="H66" s="41"/>
    </row>
    <row r="67" spans="2:13" ht="24" customHeight="1">
      <c r="B67" s="126" t="s">
        <v>184</v>
      </c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</row>
    <row r="68" spans="2:13" ht="24" customHeight="1">
      <c r="B68" s="126" t="s">
        <v>178</v>
      </c>
      <c r="C68" s="126"/>
      <c r="D68" s="126"/>
      <c r="E68" s="126"/>
      <c r="F68" s="126"/>
      <c r="G68" s="126"/>
      <c r="H68" s="126"/>
      <c r="I68" s="126"/>
      <c r="J68" s="126"/>
      <c r="K68" s="126"/>
      <c r="L68" s="59"/>
      <c r="M68" s="59"/>
    </row>
    <row r="69" spans="2:13" ht="24" customHeight="1">
      <c r="B69" s="99" t="s">
        <v>131</v>
      </c>
      <c r="C69" s="41"/>
      <c r="D69" s="41"/>
      <c r="E69" s="41"/>
      <c r="F69" s="41"/>
      <c r="G69" s="41"/>
      <c r="H69" s="41"/>
    </row>
    <row r="70" spans="2:13" ht="24" customHeight="1">
      <c r="B70" s="99" t="s">
        <v>129</v>
      </c>
      <c r="C70" s="41"/>
      <c r="D70" s="41"/>
      <c r="E70" s="41"/>
      <c r="F70" s="41"/>
      <c r="G70" s="41"/>
      <c r="H70" s="41"/>
    </row>
    <row r="71" spans="2:13" ht="24" customHeight="1">
      <c r="B71" s="126" t="s">
        <v>179</v>
      </c>
      <c r="C71" s="126"/>
      <c r="D71" s="126"/>
      <c r="E71" s="126"/>
      <c r="F71" s="126"/>
      <c r="G71" s="126"/>
      <c r="H71" s="41"/>
    </row>
    <row r="72" spans="2:13" ht="24" customHeight="1">
      <c r="B72" s="72" t="s">
        <v>156</v>
      </c>
      <c r="C72" s="41"/>
      <c r="D72" s="41"/>
      <c r="E72" s="41"/>
      <c r="F72" s="41"/>
      <c r="G72" s="41"/>
      <c r="H72" s="41"/>
    </row>
    <row r="73" spans="2:13" ht="24" customHeight="1">
      <c r="B73" s="72" t="s">
        <v>144</v>
      </c>
      <c r="C73" s="41"/>
      <c r="D73" s="41"/>
      <c r="E73" s="41"/>
      <c r="F73" s="41"/>
      <c r="G73" s="41"/>
      <c r="H73" s="41"/>
    </row>
    <row r="74" spans="2:13" ht="24" customHeight="1">
      <c r="B74" s="126" t="s">
        <v>136</v>
      </c>
      <c r="C74" s="126"/>
      <c r="D74" s="126"/>
      <c r="E74" s="126"/>
      <c r="F74" s="126"/>
      <c r="G74" s="126"/>
      <c r="H74" s="126"/>
      <c r="I74" s="126"/>
      <c r="J74" s="126"/>
      <c r="K74" s="126"/>
      <c r="L74" s="126"/>
    </row>
    <row r="75" spans="2:13" ht="24" customHeight="1">
      <c r="B75" s="72" t="s">
        <v>141</v>
      </c>
      <c r="C75" s="59"/>
      <c r="D75" s="59"/>
      <c r="E75" s="59"/>
      <c r="F75" s="59"/>
      <c r="G75" s="59"/>
      <c r="H75" s="59"/>
      <c r="I75" s="59"/>
      <c r="J75" s="59"/>
      <c r="K75" s="59"/>
      <c r="L75" s="59"/>
    </row>
    <row r="76" spans="2:13" ht="24" customHeight="1">
      <c r="B76" s="72" t="s">
        <v>142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</row>
    <row r="77" spans="2:13" ht="24" customHeight="1">
      <c r="B77" s="72" t="s">
        <v>145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</row>
    <row r="78" spans="2:13" ht="24" customHeight="1">
      <c r="B78" s="126" t="s">
        <v>133</v>
      </c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</row>
    <row r="79" spans="2:13" ht="24" customHeight="1">
      <c r="B79" s="126" t="s">
        <v>154</v>
      </c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</row>
    <row r="80" spans="2:13" s="72" customFormat="1" ht="24" customHeight="1">
      <c r="B80" s="72" t="s">
        <v>158</v>
      </c>
    </row>
    <row r="81" spans="1:9" s="72" customFormat="1" ht="24" customHeight="1">
      <c r="B81" s="72" t="s">
        <v>153</v>
      </c>
    </row>
    <row r="82" spans="1:9" s="72" customFormat="1" ht="24" customHeight="1">
      <c r="B82" s="72" t="s">
        <v>134</v>
      </c>
    </row>
    <row r="83" spans="1:9" s="72" customFormat="1" ht="24" customHeight="1"/>
    <row r="84" spans="1:9" ht="24" customHeight="1">
      <c r="A84" s="72"/>
      <c r="B84" s="44" t="s">
        <v>41</v>
      </c>
      <c r="C84" s="40"/>
      <c r="D84" s="40"/>
      <c r="E84" s="40"/>
      <c r="F84" s="40"/>
      <c r="G84" s="40"/>
      <c r="H84" s="40"/>
      <c r="I84" s="72"/>
    </row>
    <row r="85" spans="1:9" s="74" customFormat="1" ht="24" customHeight="1">
      <c r="B85" s="33" t="s">
        <v>140</v>
      </c>
      <c r="C85" s="71"/>
      <c r="D85" s="71"/>
      <c r="E85" s="40"/>
      <c r="F85" s="40"/>
      <c r="G85" s="40"/>
      <c r="H85" s="40"/>
      <c r="I85" s="71"/>
    </row>
    <row r="86" spans="1:9" s="74" customFormat="1" ht="24" customHeight="1">
      <c r="B86" s="33"/>
      <c r="C86" s="71"/>
      <c r="D86" s="71"/>
      <c r="E86" s="40"/>
      <c r="F86" s="40"/>
      <c r="G86" s="40"/>
      <c r="H86" s="40"/>
      <c r="I86" s="71"/>
    </row>
    <row r="87" spans="1:9" s="74" customFormat="1" ht="24" customHeight="1">
      <c r="B87" s="47" t="s">
        <v>42</v>
      </c>
      <c r="C87" s="38"/>
      <c r="D87" s="38"/>
      <c r="E87" s="38"/>
      <c r="F87" s="38"/>
      <c r="G87" s="38"/>
      <c r="H87" s="38"/>
    </row>
    <row r="88" spans="1:9" s="74" customFormat="1" ht="24" customHeight="1">
      <c r="B88" s="72" t="s">
        <v>135</v>
      </c>
      <c r="C88" s="38"/>
      <c r="D88" s="38"/>
      <c r="E88" s="38"/>
      <c r="F88" s="38"/>
      <c r="G88" s="38"/>
      <c r="H88" s="38"/>
    </row>
    <row r="89" spans="1:9" s="74" customFormat="1" ht="24" customHeight="1">
      <c r="B89" s="33" t="s">
        <v>139</v>
      </c>
      <c r="C89" s="35"/>
      <c r="D89" s="35"/>
      <c r="E89" s="35"/>
      <c r="F89" s="35"/>
      <c r="G89" s="35"/>
      <c r="H89" s="35"/>
    </row>
    <row r="90" spans="1:9" s="74" customFormat="1" ht="24" customHeight="1">
      <c r="B90" s="36" t="s">
        <v>185</v>
      </c>
      <c r="C90" s="35"/>
      <c r="D90" s="35"/>
      <c r="E90" s="35"/>
      <c r="F90" s="35"/>
      <c r="G90" s="35"/>
      <c r="H90" s="35"/>
    </row>
    <row r="91" spans="1:9" s="74" customFormat="1" ht="24" customHeight="1">
      <c r="B91" s="33" t="s">
        <v>143</v>
      </c>
      <c r="C91" s="38"/>
      <c r="D91" s="38"/>
      <c r="E91" s="38"/>
      <c r="F91" s="38"/>
      <c r="G91" s="38"/>
      <c r="H91" s="38"/>
    </row>
    <row r="92" spans="1:9" s="74" customFormat="1" ht="24" customHeight="1">
      <c r="B92" s="33" t="s">
        <v>160</v>
      </c>
      <c r="C92" s="38"/>
      <c r="D92" s="38"/>
      <c r="E92" s="38"/>
      <c r="F92" s="38"/>
      <c r="G92" s="38"/>
      <c r="H92" s="38"/>
    </row>
    <row r="93" spans="1:9" s="74" customFormat="1" ht="24" customHeight="1">
      <c r="A93" s="72"/>
      <c r="B93" s="33" t="s">
        <v>161</v>
      </c>
      <c r="C93" s="38"/>
      <c r="D93" s="38"/>
      <c r="E93" s="38"/>
      <c r="F93" s="38"/>
      <c r="G93" s="38"/>
      <c r="H93" s="38"/>
    </row>
    <row r="94" spans="1:9" s="74" customFormat="1" ht="24" customHeight="1">
      <c r="A94" s="72"/>
      <c r="C94" s="38"/>
      <c r="D94" s="38"/>
      <c r="E94" s="38"/>
      <c r="F94" s="38"/>
      <c r="G94" s="38"/>
      <c r="H94" s="38"/>
    </row>
    <row r="95" spans="1:9" ht="24" customHeight="1">
      <c r="A95" s="72"/>
      <c r="B95" s="33"/>
      <c r="C95" s="38"/>
      <c r="D95" s="38"/>
      <c r="E95" s="38"/>
      <c r="F95" s="38"/>
      <c r="G95" s="38"/>
      <c r="H95" s="38"/>
      <c r="I95" s="74"/>
    </row>
    <row r="96" spans="1:9" s="72" customFormat="1" ht="24" customHeight="1">
      <c r="B96" s="34"/>
      <c r="C96" s="45"/>
      <c r="D96" s="45"/>
      <c r="E96" s="48"/>
      <c r="F96" s="48"/>
      <c r="G96" s="48"/>
      <c r="H96" s="45"/>
      <c r="I96" s="34"/>
    </row>
    <row r="97" spans="1:9" s="72" customFormat="1" ht="24" customHeight="1">
      <c r="A97" s="74"/>
      <c r="C97" s="40"/>
      <c r="D97" s="40"/>
      <c r="E97" s="40"/>
      <c r="F97" s="40"/>
      <c r="G97" s="40"/>
      <c r="H97" s="40"/>
    </row>
    <row r="98" spans="1:9" s="74" customFormat="1" ht="24" customHeight="1">
      <c r="A98" s="72"/>
      <c r="B98" s="72"/>
      <c r="C98" s="40"/>
      <c r="D98" s="40"/>
      <c r="E98" s="40"/>
      <c r="F98" s="40"/>
      <c r="G98" s="40"/>
      <c r="H98" s="40"/>
      <c r="I98" s="72"/>
    </row>
    <row r="99" spans="1:9" s="74" customFormat="1" ht="24" customHeight="1">
      <c r="A99" s="72"/>
      <c r="C99" s="38"/>
      <c r="D99" s="38"/>
      <c r="E99" s="38"/>
      <c r="F99" s="38"/>
      <c r="G99" s="38"/>
      <c r="H99" s="38"/>
    </row>
    <row r="100" spans="1:9" s="72" customFormat="1" ht="24" customHeight="1">
      <c r="B100" s="46"/>
      <c r="C100" s="38"/>
      <c r="D100" s="38"/>
      <c r="E100" s="38"/>
      <c r="F100" s="38"/>
      <c r="G100" s="38"/>
      <c r="H100" s="38"/>
      <c r="I100" s="74"/>
    </row>
    <row r="101" spans="1:9" s="72" customFormat="1" ht="24" customHeight="1">
      <c r="B101" s="46"/>
      <c r="C101" s="40"/>
      <c r="D101" s="40"/>
      <c r="E101" s="40"/>
      <c r="F101" s="40"/>
      <c r="G101" s="40"/>
      <c r="H101" s="40"/>
    </row>
    <row r="102" spans="1:9" s="72" customFormat="1" ht="24" customHeight="1">
      <c r="A102" s="74"/>
      <c r="B102" s="46"/>
      <c r="C102" s="40"/>
      <c r="D102" s="40"/>
      <c r="E102" s="40"/>
      <c r="F102" s="40"/>
      <c r="G102" s="40"/>
      <c r="H102" s="40"/>
    </row>
    <row r="103" spans="1:9" s="72" customFormat="1" ht="24" customHeight="1">
      <c r="B103" s="46"/>
      <c r="C103" s="40"/>
      <c r="D103" s="40"/>
      <c r="E103" s="40"/>
      <c r="F103" s="40"/>
      <c r="G103" s="40"/>
      <c r="H103" s="40"/>
    </row>
    <row r="104" spans="1:9" s="74" customFormat="1" ht="24" customHeight="1">
      <c r="A104" s="72"/>
      <c r="B104" s="46"/>
      <c r="C104" s="40"/>
      <c r="D104" s="40"/>
      <c r="E104" s="40"/>
      <c r="F104" s="40"/>
      <c r="G104" s="40"/>
      <c r="H104" s="40"/>
      <c r="I104" s="72"/>
    </row>
    <row r="105" spans="1:9" s="72" customFormat="1" ht="24" customHeight="1">
      <c r="B105" s="43"/>
      <c r="C105" s="38"/>
      <c r="D105" s="38"/>
      <c r="E105" s="38"/>
      <c r="F105" s="38"/>
      <c r="G105" s="38"/>
      <c r="H105" s="38"/>
      <c r="I105" s="74"/>
    </row>
    <row r="106" spans="1:9" s="72" customFormat="1" ht="24" customHeight="1">
      <c r="B106" s="43"/>
      <c r="C106" s="40"/>
      <c r="D106" s="40"/>
      <c r="E106" s="40"/>
      <c r="F106" s="40"/>
      <c r="G106" s="40"/>
      <c r="H106" s="40"/>
    </row>
    <row r="107" spans="1:9" s="72" customFormat="1" ht="24" customHeight="1">
      <c r="B107" s="43"/>
      <c r="C107" s="40"/>
      <c r="D107" s="40"/>
      <c r="E107" s="40"/>
      <c r="F107" s="40"/>
      <c r="G107" s="40"/>
      <c r="H107" s="40"/>
    </row>
    <row r="108" spans="1:9" s="72" customFormat="1" ht="24" customHeight="1">
      <c r="B108" s="43"/>
      <c r="C108" s="40"/>
      <c r="D108" s="40"/>
      <c r="E108" s="40"/>
      <c r="F108" s="40"/>
      <c r="G108" s="40"/>
      <c r="H108" s="40"/>
    </row>
    <row r="109" spans="1:9" s="72" customFormat="1" ht="24" customHeight="1">
      <c r="B109" s="46"/>
      <c r="C109" s="40"/>
      <c r="D109" s="40"/>
      <c r="E109" s="40"/>
      <c r="F109" s="40"/>
      <c r="G109" s="40"/>
      <c r="H109" s="40"/>
    </row>
    <row r="110" spans="1:9" s="72" customFormat="1" ht="24" customHeight="1">
      <c r="B110" s="46"/>
      <c r="C110" s="40"/>
      <c r="D110" s="40"/>
      <c r="E110" s="40"/>
      <c r="F110" s="40"/>
      <c r="G110" s="40"/>
      <c r="H110" s="40"/>
    </row>
    <row r="111" spans="1:9" s="72" customFormat="1" ht="24" customHeight="1">
      <c r="B111" s="46"/>
      <c r="C111" s="40"/>
      <c r="D111" s="40"/>
      <c r="E111" s="40"/>
      <c r="F111" s="40"/>
      <c r="G111" s="40"/>
      <c r="H111" s="40"/>
    </row>
    <row r="112" spans="1:9" s="72" customFormat="1" ht="24" customHeight="1">
      <c r="B112" s="46"/>
      <c r="C112" s="40"/>
      <c r="D112" s="40"/>
      <c r="E112" s="40"/>
      <c r="F112" s="40"/>
      <c r="G112" s="40"/>
      <c r="H112" s="40"/>
    </row>
    <row r="113" spans="1:9" s="72" customFormat="1" ht="24" customHeight="1">
      <c r="B113" s="46"/>
      <c r="C113" s="40"/>
      <c r="D113" s="40"/>
      <c r="E113" s="40"/>
      <c r="F113" s="40"/>
      <c r="G113" s="40"/>
      <c r="H113" s="40"/>
    </row>
    <row r="114" spans="1:9" s="72" customFormat="1" ht="24" customHeight="1">
      <c r="B114" s="46"/>
      <c r="C114" s="40"/>
      <c r="D114" s="40"/>
      <c r="E114" s="40"/>
      <c r="F114" s="40"/>
      <c r="G114" s="40"/>
      <c r="H114" s="40"/>
    </row>
    <row r="115" spans="1:9" s="72" customFormat="1" ht="24" customHeight="1">
      <c r="B115" s="46"/>
      <c r="C115" s="40"/>
      <c r="D115" s="40"/>
      <c r="E115" s="40"/>
      <c r="F115" s="40"/>
      <c r="G115" s="40"/>
      <c r="H115" s="40"/>
    </row>
    <row r="116" spans="1:9" s="72" customFormat="1" ht="24" customHeight="1">
      <c r="B116" s="46"/>
      <c r="C116" s="40"/>
      <c r="D116" s="40"/>
      <c r="E116" s="40"/>
      <c r="F116" s="40"/>
      <c r="G116" s="40"/>
      <c r="H116" s="40"/>
    </row>
    <row r="117" spans="1:9" s="72" customFormat="1" ht="24" customHeight="1">
      <c r="B117" s="46"/>
      <c r="C117" s="40"/>
      <c r="D117" s="40"/>
      <c r="E117" s="40"/>
      <c r="F117" s="40"/>
      <c r="G117" s="40"/>
      <c r="H117" s="40"/>
    </row>
    <row r="118" spans="1:9" s="72" customFormat="1" ht="24" customHeight="1">
      <c r="B118" s="46"/>
      <c r="C118" s="40"/>
      <c r="D118" s="40"/>
      <c r="E118" s="40"/>
      <c r="F118" s="40"/>
      <c r="G118" s="40"/>
      <c r="H118" s="40"/>
    </row>
    <row r="119" spans="1:9" s="72" customFormat="1" ht="24" customHeight="1">
      <c r="B119" s="46"/>
      <c r="C119" s="40"/>
      <c r="D119" s="40"/>
      <c r="E119" s="40"/>
      <c r="F119" s="40"/>
      <c r="G119" s="40"/>
      <c r="H119" s="40"/>
    </row>
    <row r="120" spans="1:9" s="72" customFormat="1" ht="24" customHeight="1">
      <c r="B120" s="34"/>
      <c r="C120" s="40"/>
      <c r="D120" s="40"/>
      <c r="E120" s="40"/>
      <c r="F120" s="40"/>
      <c r="G120" s="40"/>
      <c r="H120" s="40"/>
    </row>
    <row r="121" spans="1:9" s="72" customFormat="1" ht="24" customHeight="1">
      <c r="B121" s="34"/>
      <c r="C121" s="40"/>
      <c r="D121" s="40"/>
      <c r="E121" s="40"/>
      <c r="F121" s="40"/>
      <c r="G121" s="40"/>
      <c r="H121" s="40"/>
    </row>
    <row r="122" spans="1:9" s="72" customFormat="1" ht="24" customHeight="1">
      <c r="B122" s="34"/>
      <c r="C122" s="40"/>
      <c r="D122" s="40"/>
      <c r="E122" s="40"/>
      <c r="F122" s="40"/>
      <c r="G122" s="40"/>
      <c r="H122" s="40"/>
    </row>
    <row r="123" spans="1:9" s="72" customFormat="1" ht="24" customHeight="1">
      <c r="B123" s="34"/>
      <c r="C123" s="40"/>
      <c r="D123" s="40"/>
      <c r="E123" s="40"/>
      <c r="F123" s="40"/>
      <c r="G123" s="40"/>
      <c r="H123" s="40"/>
    </row>
    <row r="124" spans="1:9" s="72" customFormat="1" ht="24" customHeight="1">
      <c r="A124" s="34"/>
      <c r="B124" s="34"/>
      <c r="C124" s="40"/>
      <c r="D124" s="40"/>
      <c r="E124" s="40"/>
      <c r="F124" s="40"/>
      <c r="G124" s="40"/>
      <c r="H124" s="40"/>
    </row>
    <row r="125" spans="1:9" s="72" customFormat="1" ht="24" customHeight="1">
      <c r="A125" s="34"/>
      <c r="B125" s="34"/>
      <c r="C125" s="40"/>
      <c r="D125" s="40"/>
      <c r="E125" s="40"/>
      <c r="F125" s="40"/>
      <c r="G125" s="40"/>
      <c r="H125" s="40"/>
    </row>
    <row r="126" spans="1:9">
      <c r="C126" s="40"/>
      <c r="D126" s="40"/>
      <c r="E126" s="40"/>
      <c r="F126" s="40"/>
      <c r="G126" s="40"/>
      <c r="H126" s="40"/>
      <c r="I126" s="72"/>
    </row>
  </sheetData>
  <mergeCells count="17">
    <mergeCell ref="A3:H3"/>
    <mergeCell ref="A1:I1"/>
    <mergeCell ref="A13:B13"/>
    <mergeCell ref="A2:H2"/>
    <mergeCell ref="B5:H5"/>
    <mergeCell ref="B7:H7"/>
    <mergeCell ref="B6:H6"/>
    <mergeCell ref="B32:M32"/>
    <mergeCell ref="B21:H21"/>
    <mergeCell ref="B62:E62"/>
    <mergeCell ref="B67:M67"/>
    <mergeCell ref="B78:M78"/>
    <mergeCell ref="B79:M79"/>
    <mergeCell ref="B74:L74"/>
    <mergeCell ref="B68:K68"/>
    <mergeCell ref="B65:H65"/>
    <mergeCell ref="B71:G71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51" orientation="portrait" r:id="rId1"/>
  <colBreaks count="1" manualBreakCount="1">
    <brk id="13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workbookViewId="0">
      <selection activeCell="F35" sqref="F35"/>
    </sheetView>
  </sheetViews>
  <sheetFormatPr defaultRowHeight="14.25"/>
  <cols>
    <col min="10" max="10" width="9.375" bestFit="1" customWidth="1"/>
  </cols>
  <sheetData>
    <row r="1" spans="1:12" ht="23.25" thickBot="1">
      <c r="A1" s="101" t="s">
        <v>163</v>
      </c>
      <c r="B1" s="101"/>
      <c r="C1" s="101"/>
      <c r="D1" s="101"/>
      <c r="E1" s="101"/>
      <c r="F1" s="101"/>
    </row>
    <row r="2" spans="1:12" ht="24" thickTop="1" thickBot="1">
      <c r="A2" s="103"/>
      <c r="B2" s="104" t="s">
        <v>164</v>
      </c>
      <c r="C2" s="105" t="s">
        <v>165</v>
      </c>
      <c r="D2" s="105" t="s">
        <v>166</v>
      </c>
      <c r="E2" s="105" t="s">
        <v>167</v>
      </c>
      <c r="F2" s="106" t="s">
        <v>168</v>
      </c>
    </row>
    <row r="3" spans="1:12" ht="15" thickTop="1">
      <c r="A3" s="107" t="s">
        <v>169</v>
      </c>
      <c r="B3" s="108">
        <v>347</v>
      </c>
      <c r="C3" s="109">
        <v>4</v>
      </c>
      <c r="D3" s="109">
        <v>5</v>
      </c>
      <c r="E3" s="110">
        <v>4.8962536023054746</v>
      </c>
      <c r="F3" s="111">
        <v>0.30537160950726144</v>
      </c>
    </row>
    <row r="4" spans="1:12">
      <c r="A4" s="112" t="s">
        <v>170</v>
      </c>
      <c r="B4" s="113">
        <v>347</v>
      </c>
      <c r="C4" s="114">
        <v>4</v>
      </c>
      <c r="D4" s="114">
        <v>5</v>
      </c>
      <c r="E4" s="115">
        <v>4.925072046109503</v>
      </c>
      <c r="F4" s="116">
        <v>0.26365523774378574</v>
      </c>
    </row>
    <row r="5" spans="1:12">
      <c r="A5" s="112" t="s">
        <v>171</v>
      </c>
      <c r="B5" s="113">
        <v>347</v>
      </c>
      <c r="C5" s="114">
        <v>3</v>
      </c>
      <c r="D5" s="114">
        <v>5</v>
      </c>
      <c r="E5" s="115">
        <v>4.8933717579250695</v>
      </c>
      <c r="F5" s="116">
        <v>0.31829910608448797</v>
      </c>
    </row>
    <row r="6" spans="1:12">
      <c r="A6" s="112" t="s">
        <v>172</v>
      </c>
      <c r="B6" s="113">
        <v>347</v>
      </c>
      <c r="C6" s="114">
        <v>3</v>
      </c>
      <c r="D6" s="114">
        <v>5</v>
      </c>
      <c r="E6" s="115">
        <v>4.9048991354466844</v>
      </c>
      <c r="F6" s="116">
        <v>0.33079721304043647</v>
      </c>
    </row>
    <row r="7" spans="1:12">
      <c r="A7" s="112" t="s">
        <v>173</v>
      </c>
      <c r="B7" s="113">
        <v>347</v>
      </c>
      <c r="C7" s="114">
        <v>3</v>
      </c>
      <c r="D7" s="114">
        <v>5</v>
      </c>
      <c r="E7" s="115">
        <v>4.9020172910662811</v>
      </c>
      <c r="F7" s="116">
        <v>0.30727493241919124</v>
      </c>
    </row>
    <row r="8" spans="1:12">
      <c r="A8" s="112" t="s">
        <v>174</v>
      </c>
      <c r="B8" s="113">
        <v>347</v>
      </c>
      <c r="C8" s="114">
        <v>4</v>
      </c>
      <c r="D8" s="114">
        <v>5</v>
      </c>
      <c r="E8" s="115">
        <v>4.9423631123919316</v>
      </c>
      <c r="F8" s="116">
        <v>0.23339206543416607</v>
      </c>
    </row>
    <row r="9" spans="1:12">
      <c r="A9" s="112" t="s">
        <v>175</v>
      </c>
      <c r="B9" s="113">
        <v>347</v>
      </c>
      <c r="C9" s="114">
        <v>1</v>
      </c>
      <c r="D9" s="114">
        <v>5</v>
      </c>
      <c r="E9" s="115">
        <v>4.7694524495677246</v>
      </c>
      <c r="F9" s="116">
        <v>0.49726476114301327</v>
      </c>
    </row>
    <row r="10" spans="1:12">
      <c r="A10" s="112" t="s">
        <v>176</v>
      </c>
      <c r="B10" s="113">
        <v>347</v>
      </c>
      <c r="C10" s="114">
        <v>3.7142857142857144</v>
      </c>
      <c r="D10" s="114">
        <v>5</v>
      </c>
      <c r="E10" s="115">
        <v>4.8904899135446689</v>
      </c>
      <c r="F10" s="116">
        <v>0.26605487470826844</v>
      </c>
    </row>
    <row r="11" spans="1:12" ht="23.25" thickBot="1">
      <c r="A11" s="117" t="s">
        <v>177</v>
      </c>
      <c r="B11" s="118">
        <v>347</v>
      </c>
      <c r="C11" s="119"/>
      <c r="D11" s="119"/>
      <c r="E11" s="119"/>
      <c r="F11" s="120"/>
    </row>
    <row r="12" spans="1:12" ht="15" thickTop="1"/>
    <row r="13" spans="1:12" ht="15" customHeight="1">
      <c r="L13" s="102"/>
    </row>
    <row r="14" spans="1:12">
      <c r="E14" s="121">
        <f>E10*20</f>
        <v>97.809798270893381</v>
      </c>
      <c r="L14" s="102"/>
    </row>
    <row r="15" spans="1:12">
      <c r="L15" s="102"/>
    </row>
    <row r="16" spans="1:12">
      <c r="L16" s="102"/>
    </row>
    <row r="17" spans="12:12">
      <c r="L17" s="102"/>
    </row>
    <row r="18" spans="12:12">
      <c r="L18" s="102"/>
    </row>
    <row r="19" spans="12:12">
      <c r="L19" s="102"/>
    </row>
    <row r="20" spans="12:12">
      <c r="L20" s="102"/>
    </row>
    <row r="21" spans="12:12">
      <c r="L21" s="102"/>
    </row>
    <row r="22" spans="12:12">
      <c r="L22" s="102"/>
    </row>
    <row r="23" spans="12:12">
      <c r="L23" s="1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2</vt:i4>
      </vt:variant>
    </vt:vector>
  </HeadingPairs>
  <TitlesOfParts>
    <vt:vector size="5" baseType="lpstr">
      <vt:lpstr>Total Table</vt:lpstr>
      <vt:lpstr>Summary</vt:lpstr>
      <vt:lpstr>BLD</vt:lpstr>
      <vt:lpstr>Summary!Print_Area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2024-05-20T07:51:08Z</cp:lastPrinted>
  <dcterms:created xsi:type="dcterms:W3CDTF">2023-02-02T03:43:01Z</dcterms:created>
  <dcterms:modified xsi:type="dcterms:W3CDTF">2025-01-20T07:58:55Z</dcterms:modified>
</cp:coreProperties>
</file>