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7\10.Oct\"/>
    </mc:Choice>
  </mc:AlternateContent>
  <xr:revisionPtr revIDLastSave="0" documentId="13_ncr:1_{8F25CE78-7F6D-49A6-BF68-8638A63B8D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1">Summary!$A$1:$M$98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5" i="1" l="1"/>
  <c r="B45" i="1"/>
  <c r="B22" i="1"/>
  <c r="C22" i="1"/>
  <c r="E22" i="1"/>
  <c r="F22" i="1"/>
  <c r="G22" i="1"/>
  <c r="H22" i="1"/>
  <c r="I22" i="1"/>
  <c r="K22" i="1"/>
  <c r="L22" i="1"/>
  <c r="M22" i="1"/>
  <c r="N22" i="1"/>
  <c r="O22" i="1"/>
  <c r="P45" i="1" l="1"/>
  <c r="L91" i="1" l="1"/>
  <c r="F45" i="1"/>
  <c r="E45" i="1" l="1"/>
  <c r="H45" i="1"/>
  <c r="J45" i="1"/>
  <c r="M45" i="1"/>
  <c r="N45" i="1"/>
  <c r="O45" i="1"/>
  <c r="J68" i="1"/>
  <c r="K68" i="1"/>
  <c r="L68" i="1"/>
  <c r="M68" i="1"/>
  <c r="N68" i="1"/>
  <c r="M91" i="1"/>
  <c r="B91" i="1"/>
  <c r="C91" i="1"/>
  <c r="D91" i="1"/>
  <c r="E91" i="1"/>
  <c r="F91" i="1"/>
  <c r="G91" i="1"/>
  <c r="H91" i="1"/>
  <c r="I91" i="1"/>
  <c r="J91" i="1"/>
  <c r="B68" i="1"/>
  <c r="C68" i="1"/>
  <c r="D68" i="1"/>
  <c r="E68" i="1"/>
  <c r="G68" i="1"/>
  <c r="H68" i="1"/>
</calcChain>
</file>

<file path=xl/sharedStrings.xml><?xml version="1.0" encoding="utf-8"?>
<sst xmlns="http://schemas.openxmlformats.org/spreadsheetml/2006/main" count="522" uniqueCount="172">
  <si>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</si>
  <si>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</si>
  <si>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</si>
  <si>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</si>
  <si>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</si>
  <si>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</si>
  <si>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</si>
  <si>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เคมีบำบัด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</si>
  <si>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</si>
  <si>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</si>
  <si>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</si>
  <si>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</si>
  <si>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</si>
  <si>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</si>
  <si>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</si>
  <si>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</si>
  <si>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</si>
  <si>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</si>
  <si>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</si>
  <si>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</si>
  <si>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</si>
  <si>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</si>
  <si>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</si>
  <si>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</si>
  <si>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</si>
  <si>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</si>
  <si>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</si>
  <si>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</si>
  <si>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</si>
  <si>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</si>
  <si>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</si>
  <si>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</si>
  <si>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</si>
  <si>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</si>
  <si>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</si>
  <si>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</si>
  <si>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</si>
  <si>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</si>
  <si>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</si>
  <si>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</si>
  <si>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</si>
  <si>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</si>
  <si>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</si>
  <si>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</si>
  <si>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</si>
  <si>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</si>
  <si>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</si>
  <si>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</si>
  <si>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</si>
  <si>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</si>
  <si>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</si>
  <si>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</si>
  <si>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</si>
  <si>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</si>
  <si>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</si>
  <si>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</si>
  <si>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</si>
  <si>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</si>
  <si>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</si>
  <si>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</si>
  <si>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</si>
  <si>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</si>
  <si>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</si>
  <si>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</si>
  <si>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</si>
  <si>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ไม่ระบุ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</si>
  <si>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</si>
  <si>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</si>
  <si>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</si>
  <si>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</si>
  <si>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</si>
  <si>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</si>
  <si>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โรคเลือด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</si>
  <si>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</si>
  <si>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</si>
  <si>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</si>
  <si>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</si>
  <si>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</si>
  <si>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</si>
  <si>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</si>
  <si>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</si>
  <si>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</si>
  <si>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</si>
  <si>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</si>
  <si>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</si>
  <si>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</si>
  <si>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</si>
  <si>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</si>
  <si>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</si>
  <si>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</si>
  <si>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</si>
  <si>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</si>
  <si>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949</t>
  </si>
  <si>
    <t>388</t>
  </si>
  <si>
    <t>36</t>
  </si>
  <si>
    <t xml:space="preserve">ค่าเฉลี่ยความพึงพอใจการใช้บริการของโรงพยาบาล OPD =  88.55% IPD = 90.96%  </t>
  </si>
  <si>
    <t xml:space="preserve">ค่าเฉลี่ยการแนะนำญาติหรือคนรู้จักให้มาใช้บริการที่โรงพยาบาล  OPD = 97.94% IPD = 99.16%  </t>
  </si>
  <si>
    <t xml:space="preserve"> - ควรตรวจอาการและวินิจฉัยให้ชัดเจน คนไข้ทนความเจ็บปวดไม่ไหว</t>
  </si>
  <si>
    <t xml:space="preserve"> - รอตรวจนาน</t>
  </si>
  <si>
    <t xml:space="preserve">   หรือถูกแซงคิวไปแล้วมากน้อยแค่ไหน</t>
  </si>
  <si>
    <t xml:space="preserve"> - รอพบแพทย์นาน</t>
  </si>
  <si>
    <t xml:space="preserve"> - รอรับยานาน (2)</t>
  </si>
  <si>
    <t xml:space="preserve"> - ไม่มีที่นั่งสำหรับคนท้อง (Anc) (3)</t>
  </si>
  <si>
    <t xml:space="preserve"> - ลิฟต์รอนาน (2)</t>
  </si>
  <si>
    <t xml:space="preserve"> - รอนาน (3)</t>
  </si>
  <si>
    <t xml:space="preserve"> - แอร์เย็นเกินไป (คลินิกหู คอ จมูก)</t>
  </si>
  <si>
    <t xml:space="preserve"> - พื้นที่ไม่สะดวกสำหรับรถเข็น  (คลินิกหู คอ จมูก)</t>
  </si>
  <si>
    <t xml:space="preserve"> - ที่จอดรถน้อย (3)</t>
  </si>
  <si>
    <t xml:space="preserve"> - เก้าอี้น้อย</t>
  </si>
  <si>
    <t xml:space="preserve"> - ค่าจอดรถแพง</t>
  </si>
  <si>
    <t xml:space="preserve"> - เรื่องความสะอาด สายชำระในห้องน้ำมีคราบเกาะอยู่ ควรทำความสะอาดตรงจุดนี้ด้วย (21A)</t>
  </si>
  <si>
    <t xml:space="preserve"> - สายฉีดกดยากมาก ห้อง A2-12 (NICU)</t>
  </si>
  <si>
    <t xml:space="preserve"> - ลิฟต์ช้า</t>
  </si>
  <si>
    <t xml:space="preserve"> - เรื่องการเข้าออกค่อนข้างจะไม่ค่อยสะดวกต่อการเข้ามาพัก เรื่องห้องน้ำ ค่อนข้างจะเข้าลำบากเนื่องจาก ต้องแจ้งทางเจ้าหน้าที่ตลอด บางทีทางเจ้าหน้าที่กำลังปฏิบัติงานอยู่ ก็ค่อยข้างจะเกรงใจ</t>
  </si>
  <si>
    <t xml:space="preserve"> - เสียงดังไปนิดนึงค่ะ</t>
  </si>
  <si>
    <t xml:space="preserve"> - อยากให้เพิ่มเครื่องกรองฝุ่นจากแอร์ (18B)</t>
  </si>
  <si>
    <t xml:space="preserve"> - OPD ชั้น 2 อยากให้ดูแลคนไข้ให้ไวกว่านี้</t>
  </si>
  <si>
    <t xml:space="preserve"> - ปริมาณอาหารมากเกินไป</t>
  </si>
  <si>
    <t xml:space="preserve"> - คนไข้บางคนส่งเสียงรบกวนผู้อื่นเวลานอน</t>
  </si>
  <si>
    <t xml:space="preserve"> - ห้องอาบน้ำน้อย (19B)</t>
  </si>
  <si>
    <t xml:space="preserve"> - ห้องน้ำผู้ป่วยหรือผู้ที่ใช้รถเข็น น่าจะมีประตูทางเข้าที่กว้างกว่าปัจจุบัน และควรมีจำนวนราวจับกันลื่น ให้มากขึ้นเหมาะสมกว่านี้ สถานที่อาบน้ำไม่สะดวกกับคนที่ใส่เฝือก ไม่มีจุดพักขาหรือราวจับกันลื่น (19B)</t>
  </si>
  <si>
    <t xml:space="preserve"> - รอนานแต่เข้าใจว่าคนไข้เยอะ </t>
  </si>
  <si>
    <t xml:space="preserve"> - ควรมีเก้าอี้สักตัวให้ญาติที่มาเยี่ยม (19C)</t>
  </si>
  <si>
    <t xml:space="preserve"> - ไม่ได้อาหารเช้า ถ้าไม่ตามก็ไม่ได้ทาน เป็นโรคไตให้คุมน้ำ แต่อาหารที่ได้คือนมกับข้าวต้ม (19C)</t>
  </si>
  <si>
    <t xml:space="preserve"> - อาหารผู้ป่วยค่อนข้างเย็น</t>
  </si>
  <si>
    <t xml:space="preserve"> - ไม่ควรพูดเสียงดังในเรื่องของตนเองในขณะที่ผู้ป่วยหลับพักผ่อน</t>
  </si>
  <si>
    <t xml:space="preserve"> - เรื่องอาหารบางอย่างเหม็นสาปมาก เช่น พวกเส้น พวกกระเพาะมีกลิ่นสาปมากๆ</t>
  </si>
  <si>
    <t xml:space="preserve"> - แอร์เย็นไปหน่อย (22D)</t>
  </si>
  <si>
    <t xml:space="preserve"> - ปรับปรุงการวางหรือจัดตั้งระบบเครื่องหรืออุปกรณ์ทางการแพทย์ที่เกิดเสียงดังเกินไปทำให้รบกวนผู้ป่วยคนอื่นจนเสียสุขภาวะการพักผ่อนของผู้ป่วยโดยรวม (22D)</t>
  </si>
  <si>
    <t xml:space="preserve"> - ทีวีดูไม่ได้ (ห้องพิเศษ) (23A)</t>
  </si>
  <si>
    <t xml:space="preserve"> - เคยมารับบริการครั้งที่ 2 ซึ่งตอนนั้นหมอนัดและเรามาตามนัดก่อน 7 โมง ในใบนัดแจ้งให้ไปชั้น 6 เราก็ขึ้นไปเจอพยาบาลดุ และให้ลงไปชั้น 1 โดยไม่อธิบายอะไร ซึ่งอยากให้อธิบายให้เราเข้าใจไม่ใช่มาแสดงกิริยาไม่พอใจแบบนี้</t>
  </si>
  <si>
    <t xml:space="preserve"> - admit ใช้เวลานานมากในการรอขึ้นตึก</t>
  </si>
  <si>
    <t xml:space="preserve"> - ไม่ควรเก็บเงินค่าจอดรถ </t>
  </si>
  <si>
    <t xml:space="preserve"> - การให้ข้อมูลแก่คนไข้ ความใส่ใจ อธิบายข้อมูลของยาที่ได้รับให้ชัดเจนกว่านี้</t>
  </si>
  <si>
    <t xml:space="preserve"> - ความเอาใจใส่ต่อคนไข้น้อย การให้ข้อมูลให้กับคนไข้น้อย สิ่งที่ญาติคนไข้ไม่ทราบควรอธิบาย ไม่ใช่ใช้น้ำเสียงที่ไม่ดี </t>
  </si>
  <si>
    <t xml:space="preserve"> - ควรมีรองเท้าในห้องพัก และมีผ้าเช็ดตัวอาบน้ำ (24A)</t>
  </si>
  <si>
    <t xml:space="preserve"> - แนะนำควรมีที่ล้างจมูกสำหรับเด็กให้ที่โรงพยาบาล (24A) (2)</t>
  </si>
  <si>
    <t xml:space="preserve"> - ควรเพิ่มแพทย์ให้เยอะกว่านี้</t>
  </si>
  <si>
    <t xml:space="preserve"> - ทีวีดูได้แค่ช่องเดียว (25A)</t>
  </si>
  <si>
    <t xml:space="preserve"> - Facility บางอย่างมีปัญหาในการใช้งานบ้าง เช่น โทรทัศน์ใช้ไม่ได้ในระยะวันแรก ปุ่มกดเรียพยาบาลไม่ทำงาน(วันแรก) แต่ได้รับการแก้ไขอย่างดี (25A)</t>
  </si>
  <si>
    <t xml:space="preserve"> - อยากให้มีลงทะเบียนสำหรับญาติที่มาเฝ้าไข้ เอารถจอดค้างคืน (สำหรับห้องพิเศษ) </t>
  </si>
  <si>
    <t xml:space="preserve"> - เวลาในการเก็บอาหาร เก็บเร็วเกินไป บางครั้งคนไข้ยังไม่ได้ทาน (หลับอยู่ยังไม่อยากกิน) ถึงเวลาเก็บทีต้องเก็บตามเวลาเกินไป ควรให้เวลาบ้าง</t>
  </si>
  <si>
    <t xml:space="preserve"> - อยากให้ปรับปรุงการส่งต่อข้อมูลของคนไข้ระหว่างแผนก</t>
  </si>
  <si>
    <t xml:space="preserve"> - อยากให้ปรับปรุงการให้บริการให้รวดเร็วขึ้นทันต่อความต้องการคนไข้</t>
  </si>
  <si>
    <t xml:space="preserve"> - ที่นอนของญาตินิ่มเกินไป นอนแล้วปวดหลัง สภาพสวยดูดี แต่ใช้งานไม่ค่อยดี (25B)</t>
  </si>
  <si>
    <t xml:space="preserve"> - การคัดกรองที่ชั้น 1 ใช้เวลานานมาก</t>
  </si>
  <si>
    <t xml:space="preserve"> - ควรมีที่เจาะเลือดที่ชั้น 6</t>
  </si>
  <si>
    <t xml:space="preserve"> - ควรมีผ้าเช็ดเท้าในห้องน้ำเพิ่ม เพราะเวลาอาบน้ำเสร็จ จะมีน้ำไหลออกมาไม่มีผ้าเช็ดให้พื้นแห้ง (25B)</t>
  </si>
  <si>
    <t xml:space="preserve"> - ในห้องผู้ป่วยมีแมลงสาป เยอะมาก ๆ ตัวเล็กตัวน้อยมาเยอะมาก (25B)</t>
  </si>
  <si>
    <t xml:space="preserve"> - สำหรับผู้ป่วยที่เป็นเด็กเล็กอยากให้ใช้ความระมัดระวังเรื่องเสียงนิดหน่อยค่ะ เนื่องจากเด็กหลับจะสะดุ้งตื่นกับเสียงเล็ก ๆ น้อย ๆ ง่ายมาก</t>
  </si>
  <si>
    <t xml:space="preserve">  </t>
  </si>
  <si>
    <t xml:space="preserve"> -	 เนื่องจากมีผู้ลงทะเบียนค่อนข้างเยอะในเวลาเร่งด่วนแต่มีเจ้าหน้าที่รับลงทะเบียนแค่ท่านเดียว กรุณาเพิ่มเจ้าหน้าที่รับลงทะเบียนให้มีมากกว่า 1 ท่าน เพื่อความรวดเร็วในการลงทะเบียนและผู้ป่วยจะได้ไม่ต้องยืนรอลงทะเบียนนาน</t>
  </si>
  <si>
    <t xml:space="preserve"> - อยากให้มีระบบคิว เพื่อให้ทราบว่าต้องรอประมาณไหน เพื่อจะได้จัดการชีวิตและเตรียมตัวถูก บางครั้งหิวก็ไม่กล้าไปกินข้าว หรือลุกไปเข้าห้องน้ำ กลัวเรียกแล้วไม่อยู่</t>
  </si>
  <si>
    <t xml:space="preserve"> - การแจ้งคิวในการเข้ารับการรักษา คนที่มาคนแรก กลับไม่ได้คิวแรก </t>
  </si>
  <si>
    <t xml:space="preserve"> - รอการเงินนาน</t>
  </si>
  <si>
    <t xml:space="preserve"> - ควรมีการปรับปรุงบริการในส่วนของเวรเปล รอมารับผู้ป่วยกลับบ้านนานมาก ๆ ค่ะ ช่วยนำปัญหาไปแก้ไขด้วยนะคะ</t>
  </si>
  <si>
    <t xml:space="preserve"> - การถอดเข็มในผู้ป่วย อยากได้รับข้อมูลที่ชัดเจนจากผู้ให้บริการ มีการสอบถามว่าสามารถถอดได้ไหม ถ้าไม่แน่ใจในเคส ควรแนะนำให้ใส่ไว้ก่อนเพราะเคสแต่ละเคสถึงจะรักษาโรคเดียวกันแต่ความซับซ้อนของรักษาร่างกายผู้ป่วยไม่เหมือนกัน </t>
  </si>
  <si>
    <t xml:space="preserve">   การเจาะเข็มใหม่ไม่ใช่ปัญหาค่ะ แต่จะดีกว่าถ้าคำตอบชัดเจน ลดการเจ็บปวดเพิ่มของผู้ป่วย (ที่เราให้ถอดเพราะแจ้งว่าปกติไม่มีการให้ยาแก้ปวดกับเด็กทางนี้ เราเลยให้ถอดออก ซึ่งเมื่อเด็กต้องใช้ยาแรงขึ้นเลยขอแพทย์เป็นการทานแทนค่ะ)</t>
  </si>
  <si>
    <t xml:space="preserve"> - น้ำในห้องน้ำไม่มีน้ำอุ่นน้ำร้อนใช้ไม่ได้ (26B)</t>
  </si>
  <si>
    <t>อันดับ 1 การให้บริการโดยรวม (OPD : 16  IPD : 22 )</t>
  </si>
  <si>
    <t>อันดับ 2 อุปกรณ์ เครื่องมือ และสถานที่ไม่สมบูรณ์ (OPD : 8  IPD : 16 )</t>
  </si>
  <si>
    <t>อันดับ 3 การทำงานและพฤติกรรมของบุคลากร (OPD : 1 IPD : 1 )</t>
  </si>
  <si>
    <t>สรุปการประเมินผล OP-IP VOICE เดือนตุลาคม 2567</t>
  </si>
  <si>
    <t>433</t>
  </si>
  <si>
    <t xml:space="preserve">   ตรวจแต่เลือด ที่นี้ก็ให้กลับบ้านมาเป็นไข้ที่บ้านทั้งวันทั้งคืนไข้ก็ไม่ลด เลยกลับไปหาหมอชั้น 4 อีครั้ง เป็นหมอคนใหม่ผู้ชายวัยรุ่นหน่อยก็ฟังปอดแล้วบอกไปเอกซเรย์ดูหน่อยเหมือนเสียงปอดไม่ค่อยดี จนเจอว่าปอดติดเชื้อที่ปอดจริง ๆ</t>
  </si>
  <si>
    <t xml:space="preserve">   ห้องฉุกเฉินก็หมอใหญ่ตรวจแต่กลับฟังปอดแล้วบอกเคลียร์  ฝากไว้ด้วยนะคะ</t>
  </si>
  <si>
    <t xml:space="preserve"> - มีอาการไข้สูงหนาวสั่น ไปห้องฉุกเฉินแล้วให้หมอใหญ่มาฟังปอดบอกปอดเคลียร์ไม่มีอะไร ทั้ง ๆ ที่ไข้หนาวสั่นมากไข้ 40 ไข้สูงจนนิ่งทำตัวไม่ถูก หมอบอกให้ส่งต่อขึ้นชั้น 4 เลย พอไปเจอหมอชั้น 4 ก็ยังว่าปอดดีอีก ไม่ให้เอกซเรย์</t>
  </si>
  <si>
    <t xml:space="preserve"> - บุคลากรไม่เพียงพอทำให้ทำงานช้า โรงพยาบาลใหญ่ขนาดนี้ ควรนะมีความรับผิดชอบบ้างนะคะ คนไข้ไม่ได้อยากป่วยนะคะ มาก็เหวี่ยง วีน ล้าช้าแจ้งช่องมั่ว ๆ ข้อเสียเยอะมากเลือกได้จะไม่มาค่ะ </t>
  </si>
  <si>
    <t xml:space="preserve">   ปวดหัวรอนานทรมานมาก คุณรับใช้ประชาชนช่วยคุยดี ๆ กับประชาชนแบบเราด้วย นั่งเล่นเกมในเวลางานสมควรไหมคะ</t>
  </si>
  <si>
    <t xml:space="preserve"> - ไม่มีอะไรที่น่าประทับใจเลย</t>
  </si>
  <si>
    <t xml:space="preserve"> - อยากให้มีการแสดงคิวสถานะการเข้าตรวจอย่างชัดเจนเพราะการแสดงให้เห็นสถานะคิวจะทำให้ประชาชนโดยทั่วไปรู้ว่าใกล้ถึงคิวแล้วหรือยัง เพราะถ้ารอแค่เรียกชื่ออย่างเดียวไม่สามารถรู้เลยว่าถูกข้ามคิว</t>
  </si>
  <si>
    <t xml:space="preserve"> - การโทรหาผู้ป่วยควรโทรหามากกว่า 1 ครั้ง พอโทร 1 ครั้งรับสายไม่ทัน มาถึงโรงพยาบาลแล้วโดนพยาบาลทำหน้าตึงใส่ ควรระงับอารมณ์ตนเองให้มากกว่านี้ (Anc)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</si>
</sst>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2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49" fontId="14" fillId="7" borderId="0" xfId="0" applyNumberFormat="1" applyFont="1" applyFill="1" applyAlignment="1">
      <alignment horizontal="left" vertical="center"/>
    </xf>
    <xf numFmtId="49" fontId="14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</cellXfs>
  <cellStyles count="18"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" xfId="0" builtinId="0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"/>
  <sheetViews>
    <sheetView topLeftCell="A27" zoomScale="90" zoomScaleNormal="90" zoomScaleSheetLayoutView="80" workbookViewId="0">
      <selection activeCell="C56" sqref="C56"/>
    </sheetView>
  </sheetViews>
  <sheetFormatPr defaultColWidth="9" defaultRowHeight="21"/>
  <cols>
    <col min="1" max="1" width="62.625" style="4" customWidth="1"/>
    <col min="2" max="2" width="9" style="4" customWidth="1"/>
    <col min="3" max="4" width="9" style="3"/>
    <col min="5" max="5" width="9.375" style="3" bestFit="1" customWidth="1"/>
    <col min="6" max="6" width="9.625" style="3" customWidth="1"/>
    <col min="7" max="8" width="9" style="3"/>
    <col min="9" max="9" width="9.625" style="3" bestFit="1" customWidth="1"/>
    <col min="10" max="12" width="9" style="3"/>
    <col min="13" max="13" width="10.75" style="3" customWidth="1"/>
    <col min="14" max="14" width="10.125" style="3" bestFit="1" customWidth="1"/>
    <col min="15" max="16384" width="9" style="3"/>
  </cols>
  <sheetData>
    <row r="1" spans="1:17" s="13" customFormat="1" ht="49.7" customHeight="1">
      <c r="A1" s="94" t="s">
        <v>162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</row>
    <row r="2" spans="1:17" s="13" customFormat="1" ht="49.7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7" s="2" customFormat="1" ht="54.75" customHeight="1">
      <c r="A3" s="6" t="s">
        <v>0</v>
      </c>
      <c r="B3" s="87" t="s">
        <v>71</v>
      </c>
      <c r="C3" s="87" t="s">
        <v>74</v>
      </c>
      <c r="D3" s="87" t="s">
        <v>69</v>
      </c>
      <c r="E3" s="1" t="s">
        <v>2</v>
      </c>
      <c r="F3" s="1" t="s">
        <v>58</v>
      </c>
      <c r="G3" s="1" t="s">
        <v>64</v>
      </c>
      <c r="H3" s="1" t="s">
        <v>59</v>
      </c>
      <c r="I3" s="1" t="s">
        <v>3</v>
      </c>
      <c r="J3" s="1" t="s">
        <v>4</v>
      </c>
      <c r="K3" s="1" t="s">
        <v>61</v>
      </c>
      <c r="L3" s="1" t="s">
        <v>50</v>
      </c>
      <c r="M3" s="1" t="s">
        <v>44</v>
      </c>
      <c r="N3" s="1" t="s">
        <v>5</v>
      </c>
      <c r="O3" s="1" t="s">
        <v>66</v>
      </c>
      <c r="P3" s="1" t="s">
        <v>62</v>
      </c>
      <c r="Q3" s="1" t="s">
        <v>70</v>
      </c>
    </row>
    <row r="4" spans="1:17" s="83" customFormat="1" ht="24.75" customHeight="1" thickBot="1">
      <c r="A4" s="80" t="s">
        <v>9</v>
      </c>
      <c r="B4" s="26">
        <v>1</v>
      </c>
      <c r="C4" s="81">
        <v>1</v>
      </c>
      <c r="D4" s="61" t="s">
        <v>67</v>
      </c>
      <c r="E4" s="82">
        <v>2</v>
      </c>
      <c r="F4" s="90">
        <v>5</v>
      </c>
      <c r="G4" s="90">
        <v>2</v>
      </c>
      <c r="H4" s="90">
        <v>1</v>
      </c>
      <c r="I4" s="81">
        <v>5</v>
      </c>
      <c r="J4" s="61" t="s">
        <v>67</v>
      </c>
      <c r="K4" s="81">
        <v>2</v>
      </c>
      <c r="L4" s="81">
        <v>16</v>
      </c>
      <c r="M4" s="81">
        <v>64</v>
      </c>
      <c r="N4" s="81">
        <v>147</v>
      </c>
      <c r="O4" s="81">
        <v>9</v>
      </c>
      <c r="P4" s="81" t="s">
        <v>67</v>
      </c>
      <c r="Q4" s="81" t="s">
        <v>67</v>
      </c>
    </row>
    <row r="5" spans="1:17" s="2" customFormat="1" ht="24" customHeight="1" thickBot="1">
      <c r="A5" s="88" t="s">
        <v>76</v>
      </c>
      <c r="B5" s="25">
        <v>5</v>
      </c>
      <c r="C5" s="75">
        <v>4</v>
      </c>
      <c r="D5" s="61" t="s">
        <v>67</v>
      </c>
      <c r="E5" s="31">
        <v>5</v>
      </c>
      <c r="F5" s="75">
        <v>4.8</v>
      </c>
      <c r="G5" s="25">
        <v>5</v>
      </c>
      <c r="H5" s="75">
        <v>5</v>
      </c>
      <c r="I5" s="20">
        <v>4.4000000000000004</v>
      </c>
      <c r="J5" s="61" t="s">
        <v>67</v>
      </c>
      <c r="K5" s="20">
        <v>4.5</v>
      </c>
      <c r="L5" s="20">
        <v>4.2499999999999991</v>
      </c>
      <c r="M5" s="20">
        <v>4.4687499999999982</v>
      </c>
      <c r="N5" s="20">
        <v>4.2244897959183669</v>
      </c>
      <c r="O5" s="25">
        <v>4.7777777777777768</v>
      </c>
      <c r="P5" s="61" t="s">
        <v>67</v>
      </c>
      <c r="Q5" s="61" t="s">
        <v>67</v>
      </c>
    </row>
    <row r="6" spans="1:17" s="2" customFormat="1" ht="24" customHeight="1" thickBot="1">
      <c r="A6" s="89" t="s">
        <v>77</v>
      </c>
      <c r="B6" s="25">
        <v>5</v>
      </c>
      <c r="C6" s="75">
        <v>4</v>
      </c>
      <c r="D6" s="61" t="s">
        <v>67</v>
      </c>
      <c r="E6" s="31">
        <v>5</v>
      </c>
      <c r="F6" s="75">
        <v>5</v>
      </c>
      <c r="G6" s="25">
        <v>5</v>
      </c>
      <c r="H6" s="75">
        <v>5</v>
      </c>
      <c r="I6" s="20">
        <v>4.2</v>
      </c>
      <c r="J6" s="61" t="s">
        <v>67</v>
      </c>
      <c r="K6" s="20">
        <v>4</v>
      </c>
      <c r="L6" s="20">
        <v>4.1875</v>
      </c>
      <c r="M6" s="20">
        <v>4.4687499999999991</v>
      </c>
      <c r="N6" s="20">
        <v>4.2857142857142829</v>
      </c>
      <c r="O6" s="25">
        <v>4.666666666666667</v>
      </c>
      <c r="P6" s="61" t="s">
        <v>67</v>
      </c>
      <c r="Q6" s="61" t="s">
        <v>67</v>
      </c>
    </row>
    <row r="7" spans="1:17" s="2" customFormat="1" ht="24" customHeight="1" thickBot="1">
      <c r="A7" s="89" t="s">
        <v>78</v>
      </c>
      <c r="B7" s="25">
        <v>5</v>
      </c>
      <c r="C7" s="75">
        <v>4</v>
      </c>
      <c r="D7" s="61" t="s">
        <v>67</v>
      </c>
      <c r="E7" s="31">
        <v>5</v>
      </c>
      <c r="F7" s="75">
        <v>4.8</v>
      </c>
      <c r="G7" s="25">
        <v>5</v>
      </c>
      <c r="H7" s="75">
        <v>5</v>
      </c>
      <c r="I7" s="20">
        <v>4.4000000000000004</v>
      </c>
      <c r="J7" s="61" t="s">
        <v>67</v>
      </c>
      <c r="K7" s="20">
        <v>4</v>
      </c>
      <c r="L7" s="20">
        <v>4.1875</v>
      </c>
      <c r="M7" s="20">
        <v>4.4687499999999991</v>
      </c>
      <c r="N7" s="20">
        <v>4.3401360544217669</v>
      </c>
      <c r="O7" s="25">
        <v>4.4444444444444455</v>
      </c>
      <c r="P7" s="61" t="s">
        <v>67</v>
      </c>
      <c r="Q7" s="61" t="s">
        <v>67</v>
      </c>
    </row>
    <row r="8" spans="1:17" s="2" customFormat="1" ht="24" customHeight="1" thickBot="1">
      <c r="A8" s="89" t="s">
        <v>79</v>
      </c>
      <c r="B8" s="25">
        <v>5</v>
      </c>
      <c r="C8" s="75">
        <v>4</v>
      </c>
      <c r="D8" s="61" t="s">
        <v>67</v>
      </c>
      <c r="E8" s="31">
        <v>5</v>
      </c>
      <c r="F8" s="75">
        <v>5</v>
      </c>
      <c r="G8" s="25">
        <v>5</v>
      </c>
      <c r="H8" s="75">
        <v>3</v>
      </c>
      <c r="I8" s="20">
        <v>4.5999999999999996</v>
      </c>
      <c r="J8" s="61" t="s">
        <v>67</v>
      </c>
      <c r="K8" s="20">
        <v>5</v>
      </c>
      <c r="L8" s="20">
        <v>4.3124999999999991</v>
      </c>
      <c r="M8" s="20">
        <v>4.3750000000000009</v>
      </c>
      <c r="N8" s="20">
        <v>4.2993197278911559</v>
      </c>
      <c r="O8" s="25">
        <v>4.5555555555555554</v>
      </c>
      <c r="P8" s="61" t="s">
        <v>67</v>
      </c>
      <c r="Q8" s="61" t="s">
        <v>67</v>
      </c>
    </row>
    <row r="9" spans="1:17" s="2" customFormat="1" ht="24" customHeight="1" thickBot="1">
      <c r="A9" s="89" t="s">
        <v>80</v>
      </c>
      <c r="B9" s="25">
        <v>5</v>
      </c>
      <c r="C9" s="75">
        <v>1</v>
      </c>
      <c r="D9" s="61" t="s">
        <v>67</v>
      </c>
      <c r="E9" s="31">
        <v>5</v>
      </c>
      <c r="F9" s="75">
        <v>4.5999999999999996</v>
      </c>
      <c r="G9" s="25">
        <v>5</v>
      </c>
      <c r="H9" s="75">
        <v>3</v>
      </c>
      <c r="I9" s="20">
        <v>3.8</v>
      </c>
      <c r="J9" s="61" t="s">
        <v>67</v>
      </c>
      <c r="K9" s="20">
        <v>4.5</v>
      </c>
      <c r="L9" s="20">
        <v>4.1875</v>
      </c>
      <c r="M9" s="20">
        <v>4.421875</v>
      </c>
      <c r="N9" s="20">
        <v>4.2380952380952399</v>
      </c>
      <c r="O9" s="25">
        <v>4.2222222222222223</v>
      </c>
      <c r="P9" s="61" t="s">
        <v>67</v>
      </c>
      <c r="Q9" s="61" t="s">
        <v>67</v>
      </c>
    </row>
    <row r="10" spans="1:17" s="2" customFormat="1" ht="24" customHeight="1" thickBot="1">
      <c r="A10" s="89" t="s">
        <v>81</v>
      </c>
      <c r="B10" s="25">
        <v>5</v>
      </c>
      <c r="C10" s="75">
        <v>2</v>
      </c>
      <c r="D10" s="61" t="s">
        <v>67</v>
      </c>
      <c r="E10" s="31">
        <v>5</v>
      </c>
      <c r="F10" s="75">
        <v>4.5999999999999996</v>
      </c>
      <c r="G10" s="25">
        <v>4.5</v>
      </c>
      <c r="H10" s="75">
        <v>4</v>
      </c>
      <c r="I10" s="20">
        <v>4.4000000000000004</v>
      </c>
      <c r="J10" s="61" t="s">
        <v>67</v>
      </c>
      <c r="K10" s="20">
        <v>4</v>
      </c>
      <c r="L10" s="20">
        <v>4.2499999999999991</v>
      </c>
      <c r="M10" s="20">
        <v>4.4687499999999991</v>
      </c>
      <c r="N10" s="20">
        <v>4.3809523809523778</v>
      </c>
      <c r="O10" s="25">
        <v>4.333333333333333</v>
      </c>
      <c r="P10" s="61" t="s">
        <v>67</v>
      </c>
      <c r="Q10" s="61" t="s">
        <v>67</v>
      </c>
    </row>
    <row r="11" spans="1:17" s="2" customFormat="1" ht="24" customHeight="1" thickBot="1">
      <c r="A11" s="89" t="s">
        <v>82</v>
      </c>
      <c r="B11" s="25">
        <v>5</v>
      </c>
      <c r="C11" s="75">
        <v>1</v>
      </c>
      <c r="D11" s="61" t="s">
        <v>67</v>
      </c>
      <c r="E11" s="31">
        <v>5</v>
      </c>
      <c r="F11" s="75">
        <v>4.5999999999999996</v>
      </c>
      <c r="G11" s="25">
        <v>5</v>
      </c>
      <c r="H11" s="75">
        <v>5</v>
      </c>
      <c r="I11" s="20">
        <v>4.2</v>
      </c>
      <c r="J11" s="61" t="s">
        <v>67</v>
      </c>
      <c r="K11" s="20">
        <v>5</v>
      </c>
      <c r="L11" s="20">
        <v>4.3124999999999991</v>
      </c>
      <c r="M11" s="20">
        <v>4.4531249999999982</v>
      </c>
      <c r="N11" s="20">
        <v>4.3197278911564618</v>
      </c>
      <c r="O11" s="25">
        <v>4.4444444444444446</v>
      </c>
      <c r="P11" s="61" t="s">
        <v>67</v>
      </c>
      <c r="Q11" s="61" t="s">
        <v>67</v>
      </c>
    </row>
    <row r="12" spans="1:17" s="2" customFormat="1" ht="24" customHeight="1" thickBot="1">
      <c r="A12" s="89" t="s">
        <v>83</v>
      </c>
      <c r="B12" s="25">
        <v>5</v>
      </c>
      <c r="C12" s="75">
        <v>2</v>
      </c>
      <c r="D12" s="61" t="s">
        <v>67</v>
      </c>
      <c r="E12" s="31">
        <v>5</v>
      </c>
      <c r="F12" s="75">
        <v>4.8</v>
      </c>
      <c r="G12" s="25">
        <v>5</v>
      </c>
      <c r="H12" s="75">
        <v>4</v>
      </c>
      <c r="I12" s="20">
        <v>4.5999999999999996</v>
      </c>
      <c r="J12" s="61" t="s">
        <v>67</v>
      </c>
      <c r="K12" s="20">
        <v>4.5</v>
      </c>
      <c r="L12" s="20">
        <v>4.2499999999999991</v>
      </c>
      <c r="M12" s="20">
        <v>4.4687499999999982</v>
      </c>
      <c r="N12" s="20">
        <v>4.2380952380952408</v>
      </c>
      <c r="O12" s="25">
        <v>4.5555555555555554</v>
      </c>
      <c r="P12" s="61" t="s">
        <v>67</v>
      </c>
      <c r="Q12" s="61" t="s">
        <v>67</v>
      </c>
    </row>
    <row r="13" spans="1:17" s="2" customFormat="1" ht="24" customHeight="1" thickBot="1">
      <c r="A13" s="89" t="s">
        <v>84</v>
      </c>
      <c r="B13" s="25">
        <v>5</v>
      </c>
      <c r="C13" s="75">
        <v>2</v>
      </c>
      <c r="D13" s="61" t="s">
        <v>67</v>
      </c>
      <c r="E13" s="31">
        <v>5</v>
      </c>
      <c r="F13" s="75">
        <v>4.8</v>
      </c>
      <c r="G13" s="25">
        <v>5</v>
      </c>
      <c r="H13" s="75">
        <v>5</v>
      </c>
      <c r="I13" s="20">
        <v>4.2</v>
      </c>
      <c r="J13" s="61" t="s">
        <v>67</v>
      </c>
      <c r="K13" s="20">
        <v>5</v>
      </c>
      <c r="L13" s="20">
        <v>4.4375</v>
      </c>
      <c r="M13" s="20">
        <v>4.484375</v>
      </c>
      <c r="N13" s="20">
        <v>4.3945578231292526</v>
      </c>
      <c r="O13" s="25">
        <v>4.5555555555555545</v>
      </c>
      <c r="P13" s="61" t="s">
        <v>67</v>
      </c>
      <c r="Q13" s="61" t="s">
        <v>67</v>
      </c>
    </row>
    <row r="14" spans="1:17" s="2" customFormat="1" ht="24" customHeight="1" thickBot="1">
      <c r="A14" s="89" t="s">
        <v>85</v>
      </c>
      <c r="B14" s="25">
        <v>5</v>
      </c>
      <c r="C14" s="75">
        <v>1</v>
      </c>
      <c r="D14" s="61" t="s">
        <v>67</v>
      </c>
      <c r="E14" s="31">
        <v>5</v>
      </c>
      <c r="F14" s="75">
        <v>5</v>
      </c>
      <c r="G14" s="25">
        <v>5</v>
      </c>
      <c r="H14" s="75">
        <v>5</v>
      </c>
      <c r="I14" s="20">
        <v>4.4000000000000004</v>
      </c>
      <c r="J14" s="61" t="s">
        <v>67</v>
      </c>
      <c r="K14" s="20">
        <v>5</v>
      </c>
      <c r="L14" s="20">
        <v>4.0625</v>
      </c>
      <c r="M14" s="20">
        <v>4.484375</v>
      </c>
      <c r="N14" s="20">
        <v>4.4149659863945594</v>
      </c>
      <c r="O14" s="25">
        <v>4.5555555555555554</v>
      </c>
      <c r="P14" s="61" t="s">
        <v>67</v>
      </c>
      <c r="Q14" s="61" t="s">
        <v>67</v>
      </c>
    </row>
    <row r="15" spans="1:17" s="2" customFormat="1" ht="24" customHeight="1" thickBot="1">
      <c r="A15" s="89" t="s">
        <v>86</v>
      </c>
      <c r="B15" s="25">
        <v>5</v>
      </c>
      <c r="C15" s="75">
        <v>3</v>
      </c>
      <c r="D15" s="61" t="s">
        <v>67</v>
      </c>
      <c r="E15" s="31">
        <v>5</v>
      </c>
      <c r="F15" s="75">
        <v>4.5999999999999996</v>
      </c>
      <c r="G15" s="25">
        <v>5</v>
      </c>
      <c r="H15" s="75">
        <v>3</v>
      </c>
      <c r="I15" s="20">
        <v>4.2</v>
      </c>
      <c r="J15" s="61" t="s">
        <v>67</v>
      </c>
      <c r="K15" s="20">
        <v>4</v>
      </c>
      <c r="L15" s="20">
        <v>4.2499999999999991</v>
      </c>
      <c r="M15" s="20">
        <v>4.4062499999999973</v>
      </c>
      <c r="N15" s="20">
        <v>4.3197278911564627</v>
      </c>
      <c r="O15" s="25">
        <v>4.666666666666667</v>
      </c>
      <c r="P15" s="61" t="s">
        <v>67</v>
      </c>
      <c r="Q15" s="61" t="s">
        <v>67</v>
      </c>
    </row>
    <row r="16" spans="1:17" s="2" customFormat="1" ht="24" customHeight="1" thickBot="1">
      <c r="A16" s="89" t="s">
        <v>87</v>
      </c>
      <c r="B16" s="25">
        <v>5</v>
      </c>
      <c r="C16" s="75">
        <v>5</v>
      </c>
      <c r="D16" s="61" t="s">
        <v>67</v>
      </c>
      <c r="E16" s="31">
        <v>5</v>
      </c>
      <c r="F16" s="75">
        <v>5</v>
      </c>
      <c r="G16" s="25">
        <v>5</v>
      </c>
      <c r="H16" s="75">
        <v>5</v>
      </c>
      <c r="I16" s="20">
        <v>4.5999999999999996</v>
      </c>
      <c r="J16" s="61" t="s">
        <v>67</v>
      </c>
      <c r="K16" s="20">
        <v>4.5</v>
      </c>
      <c r="L16" s="20">
        <v>4.3124999999999991</v>
      </c>
      <c r="M16" s="20">
        <v>4.5156249999999991</v>
      </c>
      <c r="N16" s="20">
        <v>4.3877551020408143</v>
      </c>
      <c r="O16" s="25">
        <v>4.5555555555555554</v>
      </c>
      <c r="P16" s="61" t="s">
        <v>67</v>
      </c>
      <c r="Q16" s="61" t="s">
        <v>67</v>
      </c>
    </row>
    <row r="17" spans="1:17" s="2" customFormat="1" ht="24" customHeight="1" thickBot="1">
      <c r="A17" s="89" t="s">
        <v>88</v>
      </c>
      <c r="B17" s="25">
        <v>5</v>
      </c>
      <c r="C17" s="75">
        <v>5</v>
      </c>
      <c r="D17" s="61" t="s">
        <v>67</v>
      </c>
      <c r="E17" s="31">
        <v>5</v>
      </c>
      <c r="F17" s="75">
        <v>4.8</v>
      </c>
      <c r="G17" s="25">
        <v>5</v>
      </c>
      <c r="H17" s="75">
        <v>3</v>
      </c>
      <c r="I17" s="20">
        <v>4.5999999999999996</v>
      </c>
      <c r="J17" s="61" t="s">
        <v>67</v>
      </c>
      <c r="K17" s="20">
        <v>4.5</v>
      </c>
      <c r="L17" s="20">
        <v>4.3124999999999991</v>
      </c>
      <c r="M17" s="20">
        <v>4.4374999999999991</v>
      </c>
      <c r="N17" s="20">
        <v>4.3945578231292517</v>
      </c>
      <c r="O17" s="25">
        <v>4.4444444444444446</v>
      </c>
      <c r="P17" s="61" t="s">
        <v>67</v>
      </c>
      <c r="Q17" s="61" t="s">
        <v>67</v>
      </c>
    </row>
    <row r="18" spans="1:17" s="2" customFormat="1" ht="24" customHeight="1" thickBot="1">
      <c r="A18" s="89" t="s">
        <v>89</v>
      </c>
      <c r="B18" s="25">
        <v>5</v>
      </c>
      <c r="C18" s="75">
        <v>4</v>
      </c>
      <c r="D18" s="61" t="s">
        <v>67</v>
      </c>
      <c r="E18" s="31">
        <v>5</v>
      </c>
      <c r="F18" s="75">
        <v>5</v>
      </c>
      <c r="G18" s="25">
        <v>5</v>
      </c>
      <c r="H18" s="75">
        <v>5</v>
      </c>
      <c r="I18" s="20">
        <v>4.5999999999999996</v>
      </c>
      <c r="J18" s="61" t="s">
        <v>67</v>
      </c>
      <c r="K18" s="20">
        <v>5</v>
      </c>
      <c r="L18" s="20">
        <v>4.3124999999999991</v>
      </c>
      <c r="M18" s="20">
        <v>4.53125</v>
      </c>
      <c r="N18" s="20">
        <v>4.3401360544217669</v>
      </c>
      <c r="O18" s="25">
        <v>4.5555555555555554</v>
      </c>
      <c r="P18" s="61" t="s">
        <v>67</v>
      </c>
      <c r="Q18" s="61" t="s">
        <v>67</v>
      </c>
    </row>
    <row r="19" spans="1:17" s="2" customFormat="1" ht="24" customHeight="1" thickBot="1">
      <c r="A19" s="89" t="s">
        <v>90</v>
      </c>
      <c r="B19" s="25">
        <v>5</v>
      </c>
      <c r="C19" s="75">
        <v>5</v>
      </c>
      <c r="D19" s="61" t="s">
        <v>67</v>
      </c>
      <c r="E19" s="31">
        <v>5</v>
      </c>
      <c r="F19" s="75">
        <v>4.8</v>
      </c>
      <c r="G19" s="25">
        <v>5</v>
      </c>
      <c r="H19" s="75">
        <v>3</v>
      </c>
      <c r="I19" s="20">
        <v>4.8</v>
      </c>
      <c r="J19" s="61" t="s">
        <v>67</v>
      </c>
      <c r="K19" s="20">
        <v>5</v>
      </c>
      <c r="L19" s="20">
        <v>4.1875</v>
      </c>
      <c r="M19" s="20">
        <v>4.5156249999999982</v>
      </c>
      <c r="N19" s="20">
        <v>4.4081632653061247</v>
      </c>
      <c r="O19" s="25">
        <v>4.666666666666667</v>
      </c>
      <c r="P19" s="61" t="s">
        <v>67</v>
      </c>
      <c r="Q19" s="61" t="s">
        <v>67</v>
      </c>
    </row>
    <row r="20" spans="1:17" s="2" customFormat="1" ht="24" customHeight="1" thickBot="1">
      <c r="A20" s="89" t="s">
        <v>91</v>
      </c>
      <c r="B20" s="25">
        <v>5</v>
      </c>
      <c r="C20" s="75">
        <v>5</v>
      </c>
      <c r="D20" s="61" t="s">
        <v>67</v>
      </c>
      <c r="E20" s="31">
        <v>5</v>
      </c>
      <c r="F20" s="75">
        <v>5</v>
      </c>
      <c r="G20" s="25">
        <v>5</v>
      </c>
      <c r="H20" s="75">
        <v>5</v>
      </c>
      <c r="I20" s="20">
        <v>4.4000000000000004</v>
      </c>
      <c r="J20" s="61" t="s">
        <v>67</v>
      </c>
      <c r="K20" s="20">
        <v>5</v>
      </c>
      <c r="L20" s="20">
        <v>4.4375</v>
      </c>
      <c r="M20" s="20">
        <v>4.5312500000000009</v>
      </c>
      <c r="N20" s="20">
        <v>4.5238095238095237</v>
      </c>
      <c r="O20" s="25">
        <v>4.7777777777777768</v>
      </c>
      <c r="P20" s="61" t="s">
        <v>67</v>
      </c>
      <c r="Q20" s="61" t="s">
        <v>67</v>
      </c>
    </row>
    <row r="21" spans="1:17" s="2" customFormat="1" ht="24" customHeight="1">
      <c r="A21" s="15" t="s">
        <v>10</v>
      </c>
      <c r="B21" s="25">
        <v>5</v>
      </c>
      <c r="C21" s="75">
        <v>3.25</v>
      </c>
      <c r="D21" s="61" t="s">
        <v>67</v>
      </c>
      <c r="E21" s="31">
        <v>5</v>
      </c>
      <c r="F21" s="75">
        <v>4.8250000000000002</v>
      </c>
      <c r="G21" s="25">
        <v>4.96875</v>
      </c>
      <c r="H21" s="75">
        <v>4.25</v>
      </c>
      <c r="I21" s="20">
        <v>4.4000000000000004</v>
      </c>
      <c r="J21" s="61" t="s">
        <v>67</v>
      </c>
      <c r="K21" s="20">
        <v>4.59375</v>
      </c>
      <c r="L21" s="20">
        <v>4.265625</v>
      </c>
      <c r="M21" s="20">
        <v>4.4687499999999991</v>
      </c>
      <c r="N21" s="20">
        <v>4.344387755102046</v>
      </c>
      <c r="O21" s="25">
        <v>4.5486111111111107</v>
      </c>
      <c r="P21" s="61" t="s">
        <v>67</v>
      </c>
      <c r="Q21" s="61" t="s">
        <v>67</v>
      </c>
    </row>
    <row r="22" spans="1:17" s="2" customFormat="1" ht="24.75" customHeight="1">
      <c r="A22" s="8" t="s">
        <v>11</v>
      </c>
      <c r="B22" s="63">
        <f t="shared" ref="B22:M22" si="0">B21*20</f>
        <v>100</v>
      </c>
      <c r="C22" s="63">
        <f t="shared" si="0"/>
        <v>65</v>
      </c>
      <c r="D22" s="61" t="s">
        <v>67</v>
      </c>
      <c r="E22" s="63">
        <f t="shared" si="0"/>
        <v>100</v>
      </c>
      <c r="F22" s="63">
        <f t="shared" si="0"/>
        <v>96.5</v>
      </c>
      <c r="G22" s="63">
        <f t="shared" si="0"/>
        <v>99.375</v>
      </c>
      <c r="H22" s="63">
        <f t="shared" si="0"/>
        <v>85</v>
      </c>
      <c r="I22" s="63">
        <f t="shared" si="0"/>
        <v>88</v>
      </c>
      <c r="J22" s="61" t="s">
        <v>67</v>
      </c>
      <c r="K22" s="63">
        <f t="shared" si="0"/>
        <v>91.875</v>
      </c>
      <c r="L22" s="63">
        <f t="shared" si="0"/>
        <v>85.3125</v>
      </c>
      <c r="M22" s="63">
        <f t="shared" si="0"/>
        <v>89.374999999999986</v>
      </c>
      <c r="N22" s="63">
        <f t="shared" ref="N22" si="1">N21*20</f>
        <v>86.887755102040927</v>
      </c>
      <c r="O22" s="63">
        <f>O21*20</f>
        <v>90.972222222222214</v>
      </c>
      <c r="P22" s="61" t="s">
        <v>67</v>
      </c>
      <c r="Q22" s="61" t="s">
        <v>67</v>
      </c>
    </row>
    <row r="23" spans="1:17">
      <c r="A23" s="16" t="s">
        <v>45</v>
      </c>
      <c r="B23" s="62">
        <v>100</v>
      </c>
      <c r="C23" s="62">
        <v>100</v>
      </c>
      <c r="D23" s="79" t="s">
        <v>68</v>
      </c>
      <c r="E23" s="62">
        <v>100</v>
      </c>
      <c r="F23" s="23">
        <v>100</v>
      </c>
      <c r="G23" s="62">
        <v>100</v>
      </c>
      <c r="H23" s="91">
        <v>100</v>
      </c>
      <c r="I23" s="62">
        <v>100</v>
      </c>
      <c r="J23" s="79" t="s">
        <v>68</v>
      </c>
      <c r="K23" s="62">
        <v>100</v>
      </c>
      <c r="L23" s="62">
        <v>100</v>
      </c>
      <c r="M23" s="62">
        <v>100</v>
      </c>
      <c r="N23" s="62">
        <v>100</v>
      </c>
      <c r="O23" s="77">
        <v>100</v>
      </c>
      <c r="P23" s="22" t="s">
        <v>68</v>
      </c>
      <c r="Q23" s="22" t="s">
        <v>68</v>
      </c>
    </row>
    <row r="25" spans="1:17" ht="24" customHeight="1"/>
    <row r="26" spans="1:17" ht="59.25" customHeight="1">
      <c r="A26" s="6" t="s">
        <v>0</v>
      </c>
      <c r="B26" s="1" t="s">
        <v>55</v>
      </c>
      <c r="C26" s="1" t="s">
        <v>7</v>
      </c>
      <c r="D26" s="1" t="s">
        <v>6</v>
      </c>
      <c r="E26" s="1" t="s">
        <v>8</v>
      </c>
      <c r="F26" s="1" t="s">
        <v>57</v>
      </c>
      <c r="G26" s="1" t="s">
        <v>63</v>
      </c>
      <c r="H26" s="1" t="s">
        <v>60</v>
      </c>
      <c r="I26" s="1" t="s">
        <v>12</v>
      </c>
      <c r="J26" s="1" t="s">
        <v>46</v>
      </c>
      <c r="K26" s="1" t="s">
        <v>72</v>
      </c>
      <c r="L26" s="1" t="s">
        <v>73</v>
      </c>
      <c r="M26" s="1" t="s">
        <v>51</v>
      </c>
      <c r="N26" s="1" t="s">
        <v>56</v>
      </c>
      <c r="O26" s="1" t="s">
        <v>1</v>
      </c>
      <c r="P26" s="1" t="s">
        <v>36</v>
      </c>
      <c r="Q26" s="1" t="s">
        <v>75</v>
      </c>
    </row>
    <row r="27" spans="1:17" s="27" customFormat="1" ht="24" customHeight="1" thickBot="1">
      <c r="A27" s="8" t="s">
        <v>9</v>
      </c>
      <c r="B27" s="61">
        <v>1</v>
      </c>
      <c r="C27" s="61" t="s">
        <v>67</v>
      </c>
      <c r="D27" s="61" t="s">
        <v>67</v>
      </c>
      <c r="E27" s="26">
        <v>1</v>
      </c>
      <c r="F27" s="26">
        <v>60</v>
      </c>
      <c r="G27" s="61">
        <v>7</v>
      </c>
      <c r="H27" s="26">
        <v>36</v>
      </c>
      <c r="I27" s="61" t="s">
        <v>67</v>
      </c>
      <c r="J27" s="26">
        <v>18</v>
      </c>
      <c r="K27" s="61" t="s">
        <v>67</v>
      </c>
      <c r="L27" s="61" t="s">
        <v>67</v>
      </c>
      <c r="M27" s="26">
        <v>5</v>
      </c>
      <c r="N27" s="26">
        <v>2</v>
      </c>
      <c r="O27" s="26">
        <v>2</v>
      </c>
      <c r="P27" s="26">
        <v>1</v>
      </c>
      <c r="Q27" s="61" t="s">
        <v>67</v>
      </c>
    </row>
    <row r="28" spans="1:17" ht="24" customHeight="1" thickBot="1">
      <c r="A28" s="88" t="s">
        <v>76</v>
      </c>
      <c r="B28" s="75">
        <v>5</v>
      </c>
      <c r="C28" s="90" t="s">
        <v>67</v>
      </c>
      <c r="D28" s="90" t="s">
        <v>67</v>
      </c>
      <c r="E28" s="20">
        <v>5</v>
      </c>
      <c r="F28" s="25">
        <v>4.5666666666666655</v>
      </c>
      <c r="G28" s="75">
        <v>4.8571428571428568</v>
      </c>
      <c r="H28" s="20">
        <v>4.7222222222222223</v>
      </c>
      <c r="I28" s="90" t="s">
        <v>67</v>
      </c>
      <c r="J28" s="20">
        <v>4.3333333333333321</v>
      </c>
      <c r="K28" s="90" t="s">
        <v>67</v>
      </c>
      <c r="L28" s="90" t="s">
        <v>67</v>
      </c>
      <c r="M28" s="25">
        <v>4.5999999999999996</v>
      </c>
      <c r="N28" s="20">
        <v>1</v>
      </c>
      <c r="O28" s="25">
        <v>4</v>
      </c>
      <c r="P28" s="25">
        <v>5</v>
      </c>
      <c r="Q28" s="61" t="s">
        <v>67</v>
      </c>
    </row>
    <row r="29" spans="1:17" ht="24" customHeight="1" thickBot="1">
      <c r="A29" s="89" t="s">
        <v>77</v>
      </c>
      <c r="B29" s="75">
        <v>5</v>
      </c>
      <c r="C29" s="90" t="s">
        <v>67</v>
      </c>
      <c r="D29" s="90" t="s">
        <v>67</v>
      </c>
      <c r="E29" s="20">
        <v>5</v>
      </c>
      <c r="F29" s="25">
        <v>4.5000000000000009</v>
      </c>
      <c r="G29" s="75">
        <v>4.2857142857142865</v>
      </c>
      <c r="H29" s="20">
        <v>4.6666666666666661</v>
      </c>
      <c r="I29" s="90" t="s">
        <v>67</v>
      </c>
      <c r="J29" s="20">
        <v>4.2777777777777777</v>
      </c>
      <c r="K29" s="90" t="s">
        <v>67</v>
      </c>
      <c r="L29" s="90" t="s">
        <v>67</v>
      </c>
      <c r="M29" s="25">
        <v>4.5999999999999996</v>
      </c>
      <c r="N29" s="20">
        <v>1</v>
      </c>
      <c r="O29" s="25">
        <v>4</v>
      </c>
      <c r="P29" s="25">
        <v>5</v>
      </c>
      <c r="Q29" s="61" t="s">
        <v>67</v>
      </c>
    </row>
    <row r="30" spans="1:17" ht="24" customHeight="1" thickBot="1">
      <c r="A30" s="89" t="s">
        <v>78</v>
      </c>
      <c r="B30" s="75">
        <v>5</v>
      </c>
      <c r="C30" s="90" t="s">
        <v>67</v>
      </c>
      <c r="D30" s="90" t="s">
        <v>67</v>
      </c>
      <c r="E30" s="20">
        <v>5</v>
      </c>
      <c r="F30" s="25">
        <v>4.4833333333333316</v>
      </c>
      <c r="G30" s="75">
        <v>4.2857142857142865</v>
      </c>
      <c r="H30" s="20">
        <v>4.6666666666666661</v>
      </c>
      <c r="I30" s="90" t="s">
        <v>67</v>
      </c>
      <c r="J30" s="20">
        <v>4.3333333333333321</v>
      </c>
      <c r="K30" s="90" t="s">
        <v>67</v>
      </c>
      <c r="L30" s="90" t="s">
        <v>67</v>
      </c>
      <c r="M30" s="25">
        <v>4.4000000000000004</v>
      </c>
      <c r="N30" s="20">
        <v>1</v>
      </c>
      <c r="O30" s="25">
        <v>3.5</v>
      </c>
      <c r="P30" s="25">
        <v>5</v>
      </c>
      <c r="Q30" s="61" t="s">
        <v>67</v>
      </c>
    </row>
    <row r="31" spans="1:17" ht="24" customHeight="1" thickBot="1">
      <c r="A31" s="89" t="s">
        <v>79</v>
      </c>
      <c r="B31" s="75">
        <v>5</v>
      </c>
      <c r="C31" s="90" t="s">
        <v>67</v>
      </c>
      <c r="D31" s="90" t="s">
        <v>67</v>
      </c>
      <c r="E31" s="20">
        <v>5</v>
      </c>
      <c r="F31" s="25">
        <v>4.5500000000000007</v>
      </c>
      <c r="G31" s="75">
        <v>4.2857142857142865</v>
      </c>
      <c r="H31" s="20">
        <v>4.6944444444444438</v>
      </c>
      <c r="I31" s="90" t="s">
        <v>67</v>
      </c>
      <c r="J31" s="20">
        <v>4.2222222222222223</v>
      </c>
      <c r="K31" s="90" t="s">
        <v>67</v>
      </c>
      <c r="L31" s="90" t="s">
        <v>67</v>
      </c>
      <c r="M31" s="25">
        <v>4.5999999999999996</v>
      </c>
      <c r="N31" s="20">
        <v>1</v>
      </c>
      <c r="O31" s="25">
        <v>3</v>
      </c>
      <c r="P31" s="25">
        <v>5</v>
      </c>
      <c r="Q31" s="61" t="s">
        <v>67</v>
      </c>
    </row>
    <row r="32" spans="1:17" ht="24" customHeight="1" thickBot="1">
      <c r="A32" s="89" t="s">
        <v>80</v>
      </c>
      <c r="B32" s="75">
        <v>3</v>
      </c>
      <c r="C32" s="90" t="s">
        <v>67</v>
      </c>
      <c r="D32" s="90" t="s">
        <v>67</v>
      </c>
      <c r="E32" s="20">
        <v>5</v>
      </c>
      <c r="F32" s="25">
        <v>4.3666666666666645</v>
      </c>
      <c r="G32" s="75">
        <v>4.8571428571428568</v>
      </c>
      <c r="H32" s="20">
        <v>4.6388888888888884</v>
      </c>
      <c r="I32" s="90" t="s">
        <v>67</v>
      </c>
      <c r="J32" s="20">
        <v>4.4444444444444446</v>
      </c>
      <c r="K32" s="90" t="s">
        <v>67</v>
      </c>
      <c r="L32" s="90" t="s">
        <v>67</v>
      </c>
      <c r="M32" s="25">
        <v>4.5999999999999996</v>
      </c>
      <c r="N32" s="20">
        <v>1</v>
      </c>
      <c r="O32" s="25">
        <v>3.5</v>
      </c>
      <c r="P32" s="25">
        <v>5</v>
      </c>
      <c r="Q32" s="61" t="s">
        <v>67</v>
      </c>
    </row>
    <row r="33" spans="1:17" ht="24" customHeight="1" thickBot="1">
      <c r="A33" s="89" t="s">
        <v>81</v>
      </c>
      <c r="B33" s="75">
        <v>3</v>
      </c>
      <c r="C33" s="90" t="s">
        <v>67</v>
      </c>
      <c r="D33" s="90" t="s">
        <v>67</v>
      </c>
      <c r="E33" s="20">
        <v>5</v>
      </c>
      <c r="F33" s="25">
        <v>4.4166666666666679</v>
      </c>
      <c r="G33" s="75">
        <v>4.8571428571428568</v>
      </c>
      <c r="H33" s="20">
        <v>4.6111111111111107</v>
      </c>
      <c r="I33" s="90" t="s">
        <v>67</v>
      </c>
      <c r="J33" s="20">
        <v>4.3333333333333321</v>
      </c>
      <c r="K33" s="90" t="s">
        <v>67</v>
      </c>
      <c r="L33" s="90" t="s">
        <v>67</v>
      </c>
      <c r="M33" s="25">
        <v>4.8</v>
      </c>
      <c r="N33" s="20">
        <v>1</v>
      </c>
      <c r="O33" s="25">
        <v>3.5</v>
      </c>
      <c r="P33" s="25">
        <v>5</v>
      </c>
      <c r="Q33" s="61" t="s">
        <v>67</v>
      </c>
    </row>
    <row r="34" spans="1:17" ht="24" customHeight="1" thickBot="1">
      <c r="A34" s="89" t="s">
        <v>82</v>
      </c>
      <c r="B34" s="75">
        <v>5</v>
      </c>
      <c r="C34" s="90" t="s">
        <v>67</v>
      </c>
      <c r="D34" s="90" t="s">
        <v>67</v>
      </c>
      <c r="E34" s="20">
        <v>5</v>
      </c>
      <c r="F34" s="25">
        <v>4.549999999999998</v>
      </c>
      <c r="G34" s="75">
        <v>4.8571428571428568</v>
      </c>
      <c r="H34" s="20">
        <v>4.7222222222222205</v>
      </c>
      <c r="I34" s="90" t="s">
        <v>67</v>
      </c>
      <c r="J34" s="20">
        <v>4.3888888888888875</v>
      </c>
      <c r="K34" s="90" t="s">
        <v>67</v>
      </c>
      <c r="L34" s="90" t="s">
        <v>67</v>
      </c>
      <c r="M34" s="25">
        <v>4.8</v>
      </c>
      <c r="N34" s="20">
        <v>1</v>
      </c>
      <c r="O34" s="25">
        <v>4</v>
      </c>
      <c r="P34" s="25">
        <v>5</v>
      </c>
      <c r="Q34" s="61" t="s">
        <v>67</v>
      </c>
    </row>
    <row r="35" spans="1:17" ht="24" customHeight="1" thickBot="1">
      <c r="A35" s="89" t="s">
        <v>83</v>
      </c>
      <c r="B35" s="75">
        <v>5</v>
      </c>
      <c r="C35" s="90" t="s">
        <v>67</v>
      </c>
      <c r="D35" s="90" t="s">
        <v>67</v>
      </c>
      <c r="E35" s="20">
        <v>5</v>
      </c>
      <c r="F35" s="25">
        <v>4.3333333333333339</v>
      </c>
      <c r="G35" s="75">
        <v>4.8571428571428568</v>
      </c>
      <c r="H35" s="20">
        <v>4.6388888888888884</v>
      </c>
      <c r="I35" s="90" t="s">
        <v>67</v>
      </c>
      <c r="J35" s="20">
        <v>4.2777777777777777</v>
      </c>
      <c r="K35" s="90" t="s">
        <v>67</v>
      </c>
      <c r="L35" s="90" t="s">
        <v>67</v>
      </c>
      <c r="M35" s="25">
        <v>4.8</v>
      </c>
      <c r="N35" s="20">
        <v>1</v>
      </c>
      <c r="O35" s="25">
        <v>3</v>
      </c>
      <c r="P35" s="25">
        <v>5</v>
      </c>
      <c r="Q35" s="61" t="s">
        <v>67</v>
      </c>
    </row>
    <row r="36" spans="1:17" ht="24" customHeight="1" thickBot="1">
      <c r="A36" s="89" t="s">
        <v>84</v>
      </c>
      <c r="B36" s="75">
        <v>5</v>
      </c>
      <c r="C36" s="90" t="s">
        <v>67</v>
      </c>
      <c r="D36" s="90" t="s">
        <v>67</v>
      </c>
      <c r="E36" s="20">
        <v>5</v>
      </c>
      <c r="F36" s="25">
        <v>4.3166666666666655</v>
      </c>
      <c r="G36" s="75">
        <v>4.8571428571428568</v>
      </c>
      <c r="H36" s="20">
        <v>4.7222222222222205</v>
      </c>
      <c r="I36" s="90" t="s">
        <v>67</v>
      </c>
      <c r="J36" s="20">
        <v>4.3333333333333321</v>
      </c>
      <c r="K36" s="90" t="s">
        <v>67</v>
      </c>
      <c r="L36" s="90" t="s">
        <v>67</v>
      </c>
      <c r="M36" s="25">
        <v>4.5999999999999996</v>
      </c>
      <c r="N36" s="20">
        <v>1</v>
      </c>
      <c r="O36" s="25">
        <v>5</v>
      </c>
      <c r="P36" s="25">
        <v>5</v>
      </c>
      <c r="Q36" s="61" t="s">
        <v>67</v>
      </c>
    </row>
    <row r="37" spans="1:17" ht="24" customHeight="1" thickBot="1">
      <c r="A37" s="89" t="s">
        <v>85</v>
      </c>
      <c r="B37" s="75">
        <v>5</v>
      </c>
      <c r="C37" s="90" t="s">
        <v>67</v>
      </c>
      <c r="D37" s="90" t="s">
        <v>67</v>
      </c>
      <c r="E37" s="20">
        <v>5</v>
      </c>
      <c r="F37" s="25">
        <v>4.5166666666666657</v>
      </c>
      <c r="G37" s="75">
        <v>4.7142857142857144</v>
      </c>
      <c r="H37" s="20">
        <v>4.7222222222222197</v>
      </c>
      <c r="I37" s="90" t="s">
        <v>67</v>
      </c>
      <c r="J37" s="20">
        <v>4.3333333333333321</v>
      </c>
      <c r="K37" s="90" t="s">
        <v>67</v>
      </c>
      <c r="L37" s="90" t="s">
        <v>67</v>
      </c>
      <c r="M37" s="25">
        <v>4.8</v>
      </c>
      <c r="N37" s="20">
        <v>1</v>
      </c>
      <c r="O37" s="25">
        <v>4.5</v>
      </c>
      <c r="P37" s="25">
        <v>5</v>
      </c>
      <c r="Q37" s="61" t="s">
        <v>67</v>
      </c>
    </row>
    <row r="38" spans="1:17" ht="24" customHeight="1" thickBot="1">
      <c r="A38" s="89" t="s">
        <v>86</v>
      </c>
      <c r="B38" s="75">
        <v>5</v>
      </c>
      <c r="C38" s="90" t="s">
        <v>67</v>
      </c>
      <c r="D38" s="90" t="s">
        <v>67</v>
      </c>
      <c r="E38" s="20">
        <v>5</v>
      </c>
      <c r="F38" s="25">
        <v>4.5</v>
      </c>
      <c r="G38" s="75">
        <v>5</v>
      </c>
      <c r="H38" s="20">
        <v>4.666666666666667</v>
      </c>
      <c r="I38" s="90" t="s">
        <v>67</v>
      </c>
      <c r="J38" s="20">
        <v>4.3333333333333321</v>
      </c>
      <c r="K38" s="90" t="s">
        <v>67</v>
      </c>
      <c r="L38" s="90" t="s">
        <v>67</v>
      </c>
      <c r="M38" s="25">
        <v>4.5999999999999996</v>
      </c>
      <c r="N38" s="20">
        <v>1</v>
      </c>
      <c r="O38" s="25">
        <v>3.5</v>
      </c>
      <c r="P38" s="25">
        <v>5</v>
      </c>
      <c r="Q38" s="61" t="s">
        <v>67</v>
      </c>
    </row>
    <row r="39" spans="1:17" ht="24" customHeight="1" thickBot="1">
      <c r="A39" s="89" t="s">
        <v>87</v>
      </c>
      <c r="B39" s="75">
        <v>5</v>
      </c>
      <c r="C39" s="90" t="s">
        <v>67</v>
      </c>
      <c r="D39" s="90" t="s">
        <v>67</v>
      </c>
      <c r="E39" s="20">
        <v>5</v>
      </c>
      <c r="F39" s="25">
        <v>4.45</v>
      </c>
      <c r="G39" s="75">
        <v>4.5714285714285712</v>
      </c>
      <c r="H39" s="20">
        <v>4.7222222222222205</v>
      </c>
      <c r="I39" s="90" t="s">
        <v>67</v>
      </c>
      <c r="J39" s="20">
        <v>4.3888888888888875</v>
      </c>
      <c r="K39" s="90" t="s">
        <v>67</v>
      </c>
      <c r="L39" s="90" t="s">
        <v>67</v>
      </c>
      <c r="M39" s="25">
        <v>4.4000000000000004</v>
      </c>
      <c r="N39" s="20">
        <v>1</v>
      </c>
      <c r="O39" s="25">
        <v>3.5</v>
      </c>
      <c r="P39" s="25">
        <v>5</v>
      </c>
      <c r="Q39" s="61" t="s">
        <v>67</v>
      </c>
    </row>
    <row r="40" spans="1:17" ht="24" customHeight="1" thickBot="1">
      <c r="A40" s="89" t="s">
        <v>88</v>
      </c>
      <c r="B40" s="75">
        <v>5</v>
      </c>
      <c r="C40" s="90" t="s">
        <v>67</v>
      </c>
      <c r="D40" s="90" t="s">
        <v>67</v>
      </c>
      <c r="E40" s="20">
        <v>5</v>
      </c>
      <c r="F40" s="25">
        <v>4.4666666666666659</v>
      </c>
      <c r="G40" s="75">
        <v>4.5714285714285712</v>
      </c>
      <c r="H40" s="20">
        <v>4.6944444444444429</v>
      </c>
      <c r="I40" s="90" t="s">
        <v>67</v>
      </c>
      <c r="J40" s="20">
        <v>4.3888888888888875</v>
      </c>
      <c r="K40" s="90" t="s">
        <v>67</v>
      </c>
      <c r="L40" s="90" t="s">
        <v>67</v>
      </c>
      <c r="M40" s="25">
        <v>4.5999999999999996</v>
      </c>
      <c r="N40" s="20">
        <v>1</v>
      </c>
      <c r="O40" s="25">
        <v>4</v>
      </c>
      <c r="P40" s="25">
        <v>5</v>
      </c>
      <c r="Q40" s="61" t="s">
        <v>67</v>
      </c>
    </row>
    <row r="41" spans="1:17" ht="24" customHeight="1" thickBot="1">
      <c r="A41" s="89" t="s">
        <v>89</v>
      </c>
      <c r="B41" s="75">
        <v>3</v>
      </c>
      <c r="C41" s="90" t="s">
        <v>67</v>
      </c>
      <c r="D41" s="90" t="s">
        <v>67</v>
      </c>
      <c r="E41" s="20">
        <v>5</v>
      </c>
      <c r="F41" s="25">
        <v>4.4833333333333316</v>
      </c>
      <c r="G41" s="75">
        <v>4.5714285714285712</v>
      </c>
      <c r="H41" s="20">
        <v>4.6666666666666661</v>
      </c>
      <c r="I41" s="90" t="s">
        <v>67</v>
      </c>
      <c r="J41" s="20">
        <v>4.2777777777777777</v>
      </c>
      <c r="K41" s="90" t="s">
        <v>67</v>
      </c>
      <c r="L41" s="90" t="s">
        <v>67</v>
      </c>
      <c r="M41" s="25">
        <v>4.5999999999999996</v>
      </c>
      <c r="N41" s="20">
        <v>1</v>
      </c>
      <c r="O41" s="25">
        <v>5</v>
      </c>
      <c r="P41" s="25">
        <v>5</v>
      </c>
      <c r="Q41" s="61" t="s">
        <v>67</v>
      </c>
    </row>
    <row r="42" spans="1:17" ht="24" customHeight="1" thickBot="1">
      <c r="A42" s="89" t="s">
        <v>90</v>
      </c>
      <c r="B42" s="75">
        <v>5</v>
      </c>
      <c r="C42" s="90" t="s">
        <v>67</v>
      </c>
      <c r="D42" s="90" t="s">
        <v>67</v>
      </c>
      <c r="E42" s="20">
        <v>5</v>
      </c>
      <c r="F42" s="25">
        <v>4.549999999999998</v>
      </c>
      <c r="G42" s="75">
        <v>4.7142857142857144</v>
      </c>
      <c r="H42" s="20">
        <v>4.75</v>
      </c>
      <c r="I42" s="90" t="s">
        <v>67</v>
      </c>
      <c r="J42" s="20">
        <v>4.2222222222222223</v>
      </c>
      <c r="K42" s="90" t="s">
        <v>67</v>
      </c>
      <c r="L42" s="90" t="s">
        <v>67</v>
      </c>
      <c r="M42" s="25">
        <v>4.5999999999999996</v>
      </c>
      <c r="N42" s="20">
        <v>1</v>
      </c>
      <c r="O42" s="25">
        <v>3.5</v>
      </c>
      <c r="P42" s="25">
        <v>5</v>
      </c>
      <c r="Q42" s="61" t="s">
        <v>67</v>
      </c>
    </row>
    <row r="43" spans="1:17" ht="24" customHeight="1" thickBot="1">
      <c r="A43" s="89" t="s">
        <v>91</v>
      </c>
      <c r="B43" s="75">
        <v>5</v>
      </c>
      <c r="C43" s="90" t="s">
        <v>67</v>
      </c>
      <c r="D43" s="90" t="s">
        <v>67</v>
      </c>
      <c r="E43" s="20">
        <v>5</v>
      </c>
      <c r="F43" s="25">
        <v>4.7166666666666659</v>
      </c>
      <c r="G43" s="75">
        <v>4.7142857142857144</v>
      </c>
      <c r="H43" s="20">
        <v>4.7777777777777759</v>
      </c>
      <c r="I43" s="90" t="s">
        <v>67</v>
      </c>
      <c r="J43" s="20">
        <v>4.3888888888888884</v>
      </c>
      <c r="K43" s="90" t="s">
        <v>67</v>
      </c>
      <c r="L43" s="90" t="s">
        <v>67</v>
      </c>
      <c r="M43" s="25">
        <v>4.8</v>
      </c>
      <c r="N43" s="20">
        <v>1</v>
      </c>
      <c r="O43" s="25">
        <v>4</v>
      </c>
      <c r="P43" s="25">
        <v>5</v>
      </c>
      <c r="Q43" s="61" t="s">
        <v>67</v>
      </c>
    </row>
    <row r="44" spans="1:17" ht="24" customHeight="1">
      <c r="A44" s="8" t="s">
        <v>10</v>
      </c>
      <c r="B44" s="75">
        <v>4.625</v>
      </c>
      <c r="C44" s="90" t="s">
        <v>67</v>
      </c>
      <c r="D44" s="90" t="s">
        <v>67</v>
      </c>
      <c r="E44" s="20">
        <v>5</v>
      </c>
      <c r="F44" s="25">
        <v>4.4854166666666666</v>
      </c>
      <c r="G44" s="75">
        <v>4.6785714285714279</v>
      </c>
      <c r="H44" s="20">
        <v>4.6927083333333339</v>
      </c>
      <c r="I44" s="90" t="s">
        <v>67</v>
      </c>
      <c r="J44" s="20">
        <v>4.3298611111111107</v>
      </c>
      <c r="K44" s="90" t="s">
        <v>67</v>
      </c>
      <c r="L44" s="90" t="s">
        <v>67</v>
      </c>
      <c r="M44" s="25">
        <v>4.6375000000000002</v>
      </c>
      <c r="N44" s="20">
        <v>1</v>
      </c>
      <c r="O44" s="25">
        <v>3.84375</v>
      </c>
      <c r="P44" s="25">
        <v>5</v>
      </c>
      <c r="Q44" s="61" t="s">
        <v>67</v>
      </c>
    </row>
    <row r="45" spans="1:17">
      <c r="A45" s="8" t="s">
        <v>11</v>
      </c>
      <c r="B45" s="63">
        <f t="shared" ref="B45:O45" si="2">B44*20</f>
        <v>92.5</v>
      </c>
      <c r="C45" s="90" t="s">
        <v>67</v>
      </c>
      <c r="D45" s="90" t="s">
        <v>67</v>
      </c>
      <c r="E45" s="63">
        <f t="shared" si="2"/>
        <v>100</v>
      </c>
      <c r="F45" s="63">
        <f t="shared" si="2"/>
        <v>89.708333333333329</v>
      </c>
      <c r="G45" s="63">
        <f t="shared" si="2"/>
        <v>93.571428571428555</v>
      </c>
      <c r="H45" s="63">
        <f t="shared" si="2"/>
        <v>93.854166666666686</v>
      </c>
      <c r="I45" s="90" t="s">
        <v>67</v>
      </c>
      <c r="J45" s="63">
        <f t="shared" si="2"/>
        <v>86.597222222222214</v>
      </c>
      <c r="K45" s="90" t="s">
        <v>67</v>
      </c>
      <c r="L45" s="90" t="s">
        <v>67</v>
      </c>
      <c r="M45" s="63">
        <f t="shared" si="2"/>
        <v>92.75</v>
      </c>
      <c r="N45" s="63">
        <f t="shared" si="2"/>
        <v>20</v>
      </c>
      <c r="O45" s="63">
        <f t="shared" si="2"/>
        <v>76.875</v>
      </c>
      <c r="P45" s="63">
        <f>P44*20</f>
        <v>100</v>
      </c>
      <c r="Q45" s="61" t="s">
        <v>67</v>
      </c>
    </row>
    <row r="46" spans="1:17">
      <c r="A46" s="76" t="s">
        <v>45</v>
      </c>
      <c r="B46" s="79">
        <v>100</v>
      </c>
      <c r="C46" s="79" t="s">
        <v>68</v>
      </c>
      <c r="D46" s="79" t="s">
        <v>68</v>
      </c>
      <c r="E46" s="77">
        <v>100</v>
      </c>
      <c r="F46" s="77">
        <v>98.33</v>
      </c>
      <c r="G46" s="79">
        <v>85.71</v>
      </c>
      <c r="H46" s="77">
        <v>99.44</v>
      </c>
      <c r="I46" s="79" t="s">
        <v>68</v>
      </c>
      <c r="J46" s="77">
        <v>100</v>
      </c>
      <c r="K46" s="79" t="s">
        <v>68</v>
      </c>
      <c r="L46" s="79" t="s">
        <v>68</v>
      </c>
      <c r="M46" s="77">
        <v>100</v>
      </c>
      <c r="N46" s="77">
        <v>0</v>
      </c>
      <c r="O46" s="78">
        <v>50</v>
      </c>
      <c r="P46" s="78">
        <v>100</v>
      </c>
      <c r="Q46" s="79" t="s">
        <v>68</v>
      </c>
    </row>
    <row r="48" spans="1:17" ht="24" customHeight="1"/>
    <row r="49" spans="1:14" s="14" customFormat="1" ht="24" customHeight="1">
      <c r="A49" s="6" t="s">
        <v>0</v>
      </c>
      <c r="B49" s="5" t="s">
        <v>47</v>
      </c>
      <c r="C49" s="5" t="s">
        <v>13</v>
      </c>
      <c r="D49" s="5" t="s">
        <v>49</v>
      </c>
      <c r="E49" s="5" t="s">
        <v>15</v>
      </c>
      <c r="F49" s="17" t="s">
        <v>53</v>
      </c>
      <c r="G49" s="5" t="s">
        <v>16</v>
      </c>
      <c r="H49" s="5" t="s">
        <v>17</v>
      </c>
      <c r="I49" s="5" t="s">
        <v>18</v>
      </c>
      <c r="J49" s="5" t="s">
        <v>19</v>
      </c>
      <c r="K49" s="5" t="s">
        <v>20</v>
      </c>
      <c r="L49" s="5" t="s">
        <v>48</v>
      </c>
      <c r="M49" s="5" t="s">
        <v>21</v>
      </c>
      <c r="N49" s="5" t="s">
        <v>22</v>
      </c>
    </row>
    <row r="50" spans="1:14" s="27" customFormat="1" ht="24" customHeight="1" thickBot="1">
      <c r="A50" s="8" t="s">
        <v>9</v>
      </c>
      <c r="B50" s="26">
        <v>23</v>
      </c>
      <c r="C50" s="32">
        <v>50</v>
      </c>
      <c r="D50" s="26">
        <v>47</v>
      </c>
      <c r="E50" s="26">
        <v>17</v>
      </c>
      <c r="F50" s="61" t="s">
        <v>67</v>
      </c>
      <c r="G50" s="26">
        <v>58</v>
      </c>
      <c r="H50" s="26">
        <v>73</v>
      </c>
      <c r="I50" s="61" t="s">
        <v>67</v>
      </c>
      <c r="J50" s="28">
        <v>27</v>
      </c>
      <c r="K50" s="29">
        <v>28</v>
      </c>
      <c r="L50" s="26">
        <v>56</v>
      </c>
      <c r="M50" s="26">
        <v>72</v>
      </c>
      <c r="N50" s="26">
        <v>60</v>
      </c>
    </row>
    <row r="51" spans="1:14" ht="24" customHeight="1" thickBot="1">
      <c r="A51" s="88" t="s">
        <v>76</v>
      </c>
      <c r="B51" s="21">
        <v>4.4782608695652169</v>
      </c>
      <c r="C51" s="33">
        <v>4.18</v>
      </c>
      <c r="D51" s="21">
        <v>4.5957446808510651</v>
      </c>
      <c r="E51" s="21">
        <v>4.4117647058823541</v>
      </c>
      <c r="F51" s="61" t="s">
        <v>67</v>
      </c>
      <c r="G51" s="21">
        <v>4.2758620689655178</v>
      </c>
      <c r="H51" s="21">
        <v>4.5890410958904093</v>
      </c>
      <c r="I51" s="61" t="s">
        <v>67</v>
      </c>
      <c r="J51" s="21">
        <v>4.4814814814814827</v>
      </c>
      <c r="K51" s="21">
        <v>4.5</v>
      </c>
      <c r="L51" s="21">
        <v>4.3571428571428559</v>
      </c>
      <c r="M51" s="21">
        <v>4.4166666666666661</v>
      </c>
      <c r="N51" s="24">
        <v>4.7666666666666675</v>
      </c>
    </row>
    <row r="52" spans="1:14" ht="24" customHeight="1" thickBot="1">
      <c r="A52" s="89" t="s">
        <v>77</v>
      </c>
      <c r="B52" s="21">
        <v>4.4347826086956514</v>
      </c>
      <c r="C52" s="33">
        <v>4.2</v>
      </c>
      <c r="D52" s="21">
        <v>4.5957446808510651</v>
      </c>
      <c r="E52" s="21">
        <v>4.4705882352941169</v>
      </c>
      <c r="F52" s="61" t="s">
        <v>67</v>
      </c>
      <c r="G52" s="21">
        <v>4.2758620689655178</v>
      </c>
      <c r="H52" s="21">
        <v>4.4794520547945211</v>
      </c>
      <c r="I52" s="61" t="s">
        <v>67</v>
      </c>
      <c r="J52" s="21">
        <v>4.4814814814814827</v>
      </c>
      <c r="K52" s="21">
        <v>4.3928571428571423</v>
      </c>
      <c r="L52" s="21">
        <v>4.3571428571428577</v>
      </c>
      <c r="M52" s="21">
        <v>4.3750000000000009</v>
      </c>
      <c r="N52" s="24">
        <v>4.7333333333333369</v>
      </c>
    </row>
    <row r="53" spans="1:14" ht="24" customHeight="1" thickBot="1">
      <c r="A53" s="89" t="s">
        <v>78</v>
      </c>
      <c r="B53" s="21">
        <v>4.4782608695652177</v>
      </c>
      <c r="C53" s="33">
        <v>4.2599999999999989</v>
      </c>
      <c r="D53" s="21">
        <v>4.4893617021276579</v>
      </c>
      <c r="E53" s="21">
        <v>4.4117647058823541</v>
      </c>
      <c r="F53" s="61" t="s">
        <v>67</v>
      </c>
      <c r="G53" s="21">
        <v>4.3275862068965525</v>
      </c>
      <c r="H53" s="21">
        <v>4.5479452054794516</v>
      </c>
      <c r="I53" s="61" t="s">
        <v>67</v>
      </c>
      <c r="J53" s="21">
        <v>4.5555555555555554</v>
      </c>
      <c r="K53" s="21">
        <v>4.4285714285714288</v>
      </c>
      <c r="L53" s="21">
        <v>4.3214285714285721</v>
      </c>
      <c r="M53" s="21">
        <v>4.3888888888888884</v>
      </c>
      <c r="N53" s="24">
        <v>4.7166666666666686</v>
      </c>
    </row>
    <row r="54" spans="1:14" ht="24" customHeight="1" thickBot="1">
      <c r="A54" s="89" t="s">
        <v>79</v>
      </c>
      <c r="B54" s="21">
        <v>4.5217391304347814</v>
      </c>
      <c r="C54" s="33">
        <v>4.22</v>
      </c>
      <c r="D54" s="21">
        <v>4.4680851063829765</v>
      </c>
      <c r="E54" s="21">
        <v>4.3529411764705888</v>
      </c>
      <c r="F54" s="61" t="s">
        <v>67</v>
      </c>
      <c r="G54" s="21">
        <v>4.3620689655172411</v>
      </c>
      <c r="H54" s="21">
        <v>4.4931506849315079</v>
      </c>
      <c r="I54" s="61" t="s">
        <v>67</v>
      </c>
      <c r="J54" s="21">
        <v>4.4814814814814818</v>
      </c>
      <c r="K54" s="21">
        <v>4.3928571428571423</v>
      </c>
      <c r="L54" s="21">
        <v>4.3392857142857126</v>
      </c>
      <c r="M54" s="21">
        <v>4.3749999999999991</v>
      </c>
      <c r="N54" s="24">
        <v>4.7500000000000009</v>
      </c>
    </row>
    <row r="55" spans="1:14" ht="24" customHeight="1" thickBot="1">
      <c r="A55" s="89" t="s">
        <v>80</v>
      </c>
      <c r="B55" s="21">
        <v>4.4782608695652169</v>
      </c>
      <c r="C55" s="33">
        <v>4.16</v>
      </c>
      <c r="D55" s="21">
        <v>4.5106382978723403</v>
      </c>
      <c r="E55" s="21">
        <v>4.3529411764705888</v>
      </c>
      <c r="F55" s="61" t="s">
        <v>67</v>
      </c>
      <c r="G55" s="21">
        <v>4.1896551724137945</v>
      </c>
      <c r="H55" s="21">
        <v>4.4383561643835625</v>
      </c>
      <c r="I55" s="61" t="s">
        <v>67</v>
      </c>
      <c r="J55" s="21">
        <v>4.2962962962962958</v>
      </c>
      <c r="K55" s="21">
        <v>4.2142857142857135</v>
      </c>
      <c r="L55" s="21">
        <v>4.2857142857142874</v>
      </c>
      <c r="M55" s="21">
        <v>4.3749999999999991</v>
      </c>
      <c r="N55" s="24">
        <v>4.5666666666666655</v>
      </c>
    </row>
    <row r="56" spans="1:14" ht="24" customHeight="1" thickBot="1">
      <c r="A56" s="89" t="s">
        <v>81</v>
      </c>
      <c r="B56" s="21">
        <v>4.5217391304347823</v>
      </c>
      <c r="C56" s="33">
        <v>4.16</v>
      </c>
      <c r="D56" s="21">
        <v>4.5957446808510642</v>
      </c>
      <c r="E56" s="21">
        <v>4.2352941176470598</v>
      </c>
      <c r="F56" s="61" t="s">
        <v>67</v>
      </c>
      <c r="G56" s="21">
        <v>4.3103448275862082</v>
      </c>
      <c r="H56" s="21">
        <v>4.5342465753424639</v>
      </c>
      <c r="I56" s="61" t="s">
        <v>67</v>
      </c>
      <c r="J56" s="21">
        <v>4.4444444444444455</v>
      </c>
      <c r="K56" s="21">
        <v>4.2142857142857144</v>
      </c>
      <c r="L56" s="21">
        <v>4.3214285714285712</v>
      </c>
      <c r="M56" s="21">
        <v>4.3611111111111098</v>
      </c>
      <c r="N56" s="24">
        <v>4.6333333333333337</v>
      </c>
    </row>
    <row r="57" spans="1:14" ht="24" customHeight="1" thickBot="1">
      <c r="A57" s="89" t="s">
        <v>82</v>
      </c>
      <c r="B57" s="21">
        <v>4.5652173913043459</v>
      </c>
      <c r="C57" s="33">
        <v>4.26</v>
      </c>
      <c r="D57" s="21">
        <v>4.5957446808510634</v>
      </c>
      <c r="E57" s="21">
        <v>4.3529411764705879</v>
      </c>
      <c r="F57" s="61" t="s">
        <v>67</v>
      </c>
      <c r="G57" s="21">
        <v>4.3620689655172411</v>
      </c>
      <c r="H57" s="21">
        <v>4.6301369863013697</v>
      </c>
      <c r="I57" s="61" t="s">
        <v>67</v>
      </c>
      <c r="J57" s="21">
        <v>4.5555555555555562</v>
      </c>
      <c r="K57" s="21">
        <v>4.3214285714285721</v>
      </c>
      <c r="L57" s="21">
        <v>4.5357142857142865</v>
      </c>
      <c r="M57" s="21">
        <v>4.458333333333333</v>
      </c>
      <c r="N57" s="24">
        <v>4.6833333333333353</v>
      </c>
    </row>
    <row r="58" spans="1:14" ht="24" customHeight="1" thickBot="1">
      <c r="A58" s="89" t="s">
        <v>83</v>
      </c>
      <c r="B58" s="21">
        <v>4.3913043478260869</v>
      </c>
      <c r="C58" s="33">
        <v>4.2000000000000011</v>
      </c>
      <c r="D58" s="21">
        <v>4.4042553191489366</v>
      </c>
      <c r="E58" s="21">
        <v>4.4117647058823533</v>
      </c>
      <c r="F58" s="61" t="s">
        <v>67</v>
      </c>
      <c r="G58" s="21">
        <v>4.3448275862068959</v>
      </c>
      <c r="H58" s="21">
        <v>4.4520547945205466</v>
      </c>
      <c r="I58" s="61" t="s">
        <v>67</v>
      </c>
      <c r="J58" s="21">
        <v>4.2962962962962958</v>
      </c>
      <c r="K58" s="21">
        <v>4.3928571428571423</v>
      </c>
      <c r="L58" s="21">
        <v>4.3035714285714279</v>
      </c>
      <c r="M58" s="21">
        <v>4.3194444444444429</v>
      </c>
      <c r="N58" s="24">
        <v>4.633333333333332</v>
      </c>
    </row>
    <row r="59" spans="1:14" ht="24" customHeight="1" thickBot="1">
      <c r="A59" s="89" t="s">
        <v>84</v>
      </c>
      <c r="B59" s="21">
        <v>4.4347826086956514</v>
      </c>
      <c r="C59" s="33">
        <v>4.26</v>
      </c>
      <c r="D59" s="21">
        <v>4.5106382978723403</v>
      </c>
      <c r="E59" s="21">
        <v>4.4705882352941169</v>
      </c>
      <c r="F59" s="61" t="s">
        <v>67</v>
      </c>
      <c r="G59" s="21">
        <v>4.3448275862068968</v>
      </c>
      <c r="H59" s="21">
        <v>4.6164383561643829</v>
      </c>
      <c r="I59" s="61" t="s">
        <v>67</v>
      </c>
      <c r="J59" s="21">
        <v>4.4074074074074074</v>
      </c>
      <c r="K59" s="21">
        <v>4.3928571428571423</v>
      </c>
      <c r="L59" s="21">
        <v>4.4464285714285712</v>
      </c>
      <c r="M59" s="21">
        <v>4.4444444444444438</v>
      </c>
      <c r="N59" s="24">
        <v>4.6499999999999995</v>
      </c>
    </row>
    <row r="60" spans="1:14" ht="24" customHeight="1" thickBot="1">
      <c r="A60" s="89" t="s">
        <v>85</v>
      </c>
      <c r="B60" s="21">
        <v>4.5217391304347823</v>
      </c>
      <c r="C60" s="33">
        <v>4.2</v>
      </c>
      <c r="D60" s="21">
        <v>4.5744680851063837</v>
      </c>
      <c r="E60" s="21">
        <v>4.5294117647058822</v>
      </c>
      <c r="F60" s="61" t="s">
        <v>67</v>
      </c>
      <c r="G60" s="21">
        <v>4.3448275862068968</v>
      </c>
      <c r="H60" s="21">
        <v>4.5616438356164402</v>
      </c>
      <c r="I60" s="61" t="s">
        <v>67</v>
      </c>
      <c r="J60" s="21">
        <v>4.3703703703703711</v>
      </c>
      <c r="K60" s="21">
        <v>4.3571428571428585</v>
      </c>
      <c r="L60" s="21">
        <v>4.3214285714285703</v>
      </c>
      <c r="M60" s="21">
        <v>4.3888888888888884</v>
      </c>
      <c r="N60" s="24">
        <v>4.6666666666666687</v>
      </c>
    </row>
    <row r="61" spans="1:14" ht="24" customHeight="1" thickBot="1">
      <c r="A61" s="89" t="s">
        <v>86</v>
      </c>
      <c r="B61" s="21">
        <v>4.5652173913043459</v>
      </c>
      <c r="C61" s="33">
        <v>4.160000000000001</v>
      </c>
      <c r="D61" s="21">
        <v>4.5319148936170217</v>
      </c>
      <c r="E61" s="21">
        <v>4.3529411764705888</v>
      </c>
      <c r="F61" s="61" t="s">
        <v>67</v>
      </c>
      <c r="G61" s="21">
        <v>4.344827586206895</v>
      </c>
      <c r="H61" s="21">
        <v>4.6164383561643829</v>
      </c>
      <c r="I61" s="61" t="s">
        <v>67</v>
      </c>
      <c r="J61" s="21">
        <v>4.4444444444444464</v>
      </c>
      <c r="K61" s="21">
        <v>4.428571428571427</v>
      </c>
      <c r="L61" s="21">
        <v>4.3928571428571415</v>
      </c>
      <c r="M61" s="21">
        <v>4.4305555555555562</v>
      </c>
      <c r="N61" s="24">
        <v>4.6500000000000012</v>
      </c>
    </row>
    <row r="62" spans="1:14" ht="24" customHeight="1" thickBot="1">
      <c r="A62" s="89" t="s">
        <v>87</v>
      </c>
      <c r="B62" s="21">
        <v>4.5217391304347814</v>
      </c>
      <c r="C62" s="33">
        <v>4.120000000000001</v>
      </c>
      <c r="D62" s="21">
        <v>4.5744680851063837</v>
      </c>
      <c r="E62" s="21">
        <v>4.3529411764705888</v>
      </c>
      <c r="F62" s="61" t="s">
        <v>67</v>
      </c>
      <c r="G62" s="21">
        <v>4.3275862068965507</v>
      </c>
      <c r="H62" s="21">
        <v>4.5205479452054806</v>
      </c>
      <c r="I62" s="61" t="s">
        <v>67</v>
      </c>
      <c r="J62" s="21">
        <v>4.5555555555555562</v>
      </c>
      <c r="K62" s="21">
        <v>4.5</v>
      </c>
      <c r="L62" s="21">
        <v>4.4107142857142838</v>
      </c>
      <c r="M62" s="21">
        <v>4.4861111111111107</v>
      </c>
      <c r="N62" s="24">
        <v>4.6666666666666661</v>
      </c>
    </row>
    <row r="63" spans="1:14" ht="24" customHeight="1" thickBot="1">
      <c r="A63" s="89" t="s">
        <v>88</v>
      </c>
      <c r="B63" s="21">
        <v>4.5217391304347814</v>
      </c>
      <c r="C63" s="33">
        <v>4.1800000000000015</v>
      </c>
      <c r="D63" s="21">
        <v>4.5106382978723403</v>
      </c>
      <c r="E63" s="21">
        <v>4.3529411764705888</v>
      </c>
      <c r="F63" s="61" t="s">
        <v>67</v>
      </c>
      <c r="G63" s="21">
        <v>4.3103448275862064</v>
      </c>
      <c r="H63" s="21">
        <v>4.4931506849315062</v>
      </c>
      <c r="I63" s="61" t="s">
        <v>67</v>
      </c>
      <c r="J63" s="21">
        <v>4.4814814814814827</v>
      </c>
      <c r="K63" s="21">
        <v>4.5</v>
      </c>
      <c r="L63" s="21">
        <v>4.3571428571428568</v>
      </c>
      <c r="M63" s="21">
        <v>4.4027777777777768</v>
      </c>
      <c r="N63" s="24">
        <v>4.6666666666666679</v>
      </c>
    </row>
    <row r="64" spans="1:14" ht="24" customHeight="1" thickBot="1">
      <c r="A64" s="89" t="s">
        <v>89</v>
      </c>
      <c r="B64" s="21">
        <v>4.5217391304347814</v>
      </c>
      <c r="C64" s="33">
        <v>4.1800000000000006</v>
      </c>
      <c r="D64" s="21">
        <v>4.6382978723404245</v>
      </c>
      <c r="E64" s="21">
        <v>4.3529411764705888</v>
      </c>
      <c r="F64" s="61" t="s">
        <v>67</v>
      </c>
      <c r="G64" s="21">
        <v>4.3275862068965516</v>
      </c>
      <c r="H64" s="21">
        <v>4.4657534246575343</v>
      </c>
      <c r="I64" s="61" t="s">
        <v>67</v>
      </c>
      <c r="J64" s="21">
        <v>4.4074074074074074</v>
      </c>
      <c r="K64" s="21">
        <v>4.428571428571427</v>
      </c>
      <c r="L64" s="21">
        <v>4.3571428571428568</v>
      </c>
      <c r="M64" s="21">
        <v>4.3888888888888884</v>
      </c>
      <c r="N64" s="24">
        <v>4.7166666666666668</v>
      </c>
    </row>
    <row r="65" spans="1:16" ht="24" customHeight="1" thickBot="1">
      <c r="A65" s="89" t="s">
        <v>90</v>
      </c>
      <c r="B65" s="21">
        <v>4.5217391304347814</v>
      </c>
      <c r="C65" s="33">
        <v>4.160000000000001</v>
      </c>
      <c r="D65" s="21">
        <v>4.5744680851063837</v>
      </c>
      <c r="E65" s="21">
        <v>4.3529411764705879</v>
      </c>
      <c r="F65" s="61" t="s">
        <v>67</v>
      </c>
      <c r="G65" s="21">
        <v>4.3620689655172411</v>
      </c>
      <c r="H65" s="21">
        <v>4.5479452054794534</v>
      </c>
      <c r="I65" s="61" t="s">
        <v>67</v>
      </c>
      <c r="J65" s="21">
        <v>4.518518518518519</v>
      </c>
      <c r="K65" s="21">
        <v>4.4999999999999991</v>
      </c>
      <c r="L65" s="21">
        <v>4.3928571428571415</v>
      </c>
      <c r="M65" s="21">
        <v>4.4444444444444438</v>
      </c>
      <c r="N65" s="24">
        <v>4.8</v>
      </c>
    </row>
    <row r="66" spans="1:16" ht="24" customHeight="1" thickBot="1">
      <c r="A66" s="89" t="s">
        <v>91</v>
      </c>
      <c r="B66" s="21">
        <v>4.5652173913043459</v>
      </c>
      <c r="C66" s="33">
        <v>4.219999999999998</v>
      </c>
      <c r="D66" s="21">
        <v>4.6170212765957439</v>
      </c>
      <c r="E66" s="21">
        <v>4.4705882352941178</v>
      </c>
      <c r="F66" s="61" t="s">
        <v>67</v>
      </c>
      <c r="G66" s="21">
        <v>4.3793103448275854</v>
      </c>
      <c r="H66" s="21">
        <v>4.6438356164383565</v>
      </c>
      <c r="I66" s="61" t="s">
        <v>67</v>
      </c>
      <c r="J66" s="21">
        <v>4.5555555555555562</v>
      </c>
      <c r="K66" s="21">
        <v>4.5714285714285712</v>
      </c>
      <c r="L66" s="21">
        <v>4.5892857142857144</v>
      </c>
      <c r="M66" s="21">
        <v>4.4583333333333313</v>
      </c>
      <c r="N66" s="24">
        <v>4.7500000000000009</v>
      </c>
    </row>
    <row r="67" spans="1:16" ht="24" customHeight="1">
      <c r="A67" s="8" t="s">
        <v>10</v>
      </c>
      <c r="B67" s="21">
        <v>4.5027173913043494</v>
      </c>
      <c r="C67" s="74">
        <v>4.1950000000000003</v>
      </c>
      <c r="D67" s="21">
        <v>4.5492021276595738</v>
      </c>
      <c r="E67" s="21">
        <v>4.3897058823529402</v>
      </c>
      <c r="F67" s="61" t="s">
        <v>67</v>
      </c>
      <c r="G67" s="21">
        <v>4.3243534482758612</v>
      </c>
      <c r="H67" s="21">
        <v>4.5393835616438354</v>
      </c>
      <c r="I67" s="61" t="s">
        <v>67</v>
      </c>
      <c r="J67" s="21">
        <v>4.458333333333333</v>
      </c>
      <c r="K67" s="21">
        <v>4.4084821428571423</v>
      </c>
      <c r="L67" s="21">
        <v>4.3805803571428541</v>
      </c>
      <c r="M67" s="21">
        <v>4.4071180555555562</v>
      </c>
      <c r="N67" s="24">
        <v>4.6906250000000007</v>
      </c>
    </row>
    <row r="68" spans="1:16">
      <c r="A68" s="8" t="s">
        <v>11</v>
      </c>
      <c r="B68" s="63">
        <f t="shared" ref="B68:N68" si="3">B67*20</f>
        <v>90.054347826086996</v>
      </c>
      <c r="C68" s="63">
        <f t="shared" si="3"/>
        <v>83.9</v>
      </c>
      <c r="D68" s="63">
        <f t="shared" si="3"/>
        <v>90.984042553191472</v>
      </c>
      <c r="E68" s="63">
        <f t="shared" si="3"/>
        <v>87.794117647058812</v>
      </c>
      <c r="F68" s="61" t="s">
        <v>67</v>
      </c>
      <c r="G68" s="63">
        <f t="shared" si="3"/>
        <v>86.487068965517224</v>
      </c>
      <c r="H68" s="63">
        <f t="shared" si="3"/>
        <v>90.787671232876704</v>
      </c>
      <c r="I68" s="61" t="s">
        <v>67</v>
      </c>
      <c r="J68" s="63">
        <f t="shared" si="3"/>
        <v>89.166666666666657</v>
      </c>
      <c r="K68" s="63">
        <f t="shared" si="3"/>
        <v>88.169642857142847</v>
      </c>
      <c r="L68" s="63">
        <f t="shared" si="3"/>
        <v>87.611607142857082</v>
      </c>
      <c r="M68" s="63">
        <f t="shared" si="3"/>
        <v>88.142361111111128</v>
      </c>
      <c r="N68" s="63">
        <f t="shared" si="3"/>
        <v>93.812500000000014</v>
      </c>
    </row>
    <row r="69" spans="1:16">
      <c r="A69" s="16" t="s">
        <v>45</v>
      </c>
      <c r="B69" s="62">
        <v>95.65</v>
      </c>
      <c r="C69" s="62">
        <v>100</v>
      </c>
      <c r="D69" s="62">
        <v>100</v>
      </c>
      <c r="E69" s="62">
        <v>94.12</v>
      </c>
      <c r="F69" s="22" t="s">
        <v>68</v>
      </c>
      <c r="G69" s="62">
        <v>100</v>
      </c>
      <c r="H69" s="64">
        <v>100</v>
      </c>
      <c r="I69" s="22" t="s">
        <v>68</v>
      </c>
      <c r="J69" s="62">
        <v>100</v>
      </c>
      <c r="K69" s="62">
        <v>100</v>
      </c>
      <c r="L69" s="62">
        <v>100</v>
      </c>
      <c r="M69" s="62">
        <v>95.83</v>
      </c>
      <c r="N69" s="62">
        <v>100</v>
      </c>
    </row>
    <row r="71" spans="1:16" ht="24" customHeight="1"/>
    <row r="72" spans="1:16" s="14" customFormat="1" ht="24" customHeight="1">
      <c r="A72" s="7" t="s">
        <v>0</v>
      </c>
      <c r="B72" s="5" t="s">
        <v>23</v>
      </c>
      <c r="C72" s="5" t="s">
        <v>24</v>
      </c>
      <c r="D72" s="5" t="s">
        <v>25</v>
      </c>
      <c r="E72" s="9" t="s">
        <v>26</v>
      </c>
      <c r="F72" s="5" t="s">
        <v>27</v>
      </c>
      <c r="G72" s="5" t="s">
        <v>28</v>
      </c>
      <c r="H72" s="5" t="s">
        <v>29</v>
      </c>
      <c r="I72" s="5" t="s">
        <v>30</v>
      </c>
      <c r="J72" s="5" t="s">
        <v>31</v>
      </c>
      <c r="K72" s="5" t="s">
        <v>32</v>
      </c>
      <c r="L72" s="5" t="s">
        <v>33</v>
      </c>
      <c r="M72" s="5" t="s">
        <v>14</v>
      </c>
      <c r="N72" s="5" t="s">
        <v>65</v>
      </c>
      <c r="O72" s="27"/>
      <c r="P72" s="3"/>
    </row>
    <row r="73" spans="1:16" s="27" customFormat="1" ht="24" customHeight="1" thickBot="1">
      <c r="A73" s="8" t="s">
        <v>9</v>
      </c>
      <c r="B73" s="26">
        <v>26</v>
      </c>
      <c r="C73" s="26">
        <v>18</v>
      </c>
      <c r="D73" s="26">
        <v>23</v>
      </c>
      <c r="E73" s="26">
        <v>37</v>
      </c>
      <c r="F73" s="26">
        <v>65</v>
      </c>
      <c r="G73" s="26">
        <v>38</v>
      </c>
      <c r="H73" s="26">
        <v>26</v>
      </c>
      <c r="I73" s="26">
        <v>52</v>
      </c>
      <c r="J73" s="26">
        <v>64</v>
      </c>
      <c r="K73" s="61" t="s">
        <v>67</v>
      </c>
      <c r="L73" s="61">
        <v>60</v>
      </c>
      <c r="M73" s="19">
        <v>29</v>
      </c>
      <c r="N73" s="61" t="s">
        <v>67</v>
      </c>
      <c r="O73" s="3"/>
      <c r="P73" s="66"/>
    </row>
    <row r="74" spans="1:16" ht="24" customHeight="1" thickBot="1">
      <c r="A74" s="88" t="s">
        <v>76</v>
      </c>
      <c r="B74" s="21">
        <v>4.6538461538461524</v>
      </c>
      <c r="C74" s="21">
        <v>4.7222222222222223</v>
      </c>
      <c r="D74" s="21">
        <v>4.6086956521739131</v>
      </c>
      <c r="E74" s="21">
        <v>4.5675675675675675</v>
      </c>
      <c r="F74" s="21">
        <v>4.615384615384615</v>
      </c>
      <c r="G74" s="21">
        <v>4.5000000000000009</v>
      </c>
      <c r="H74" s="21">
        <v>4.5384615384615374</v>
      </c>
      <c r="I74" s="21">
        <v>4.6923076923076943</v>
      </c>
      <c r="J74" s="21">
        <v>4.765625</v>
      </c>
      <c r="K74" s="61" t="s">
        <v>67</v>
      </c>
      <c r="L74" s="21">
        <v>4.6999999999999993</v>
      </c>
      <c r="M74" s="21">
        <v>4.6896551724137927</v>
      </c>
      <c r="N74" s="61" t="s">
        <v>67</v>
      </c>
    </row>
    <row r="75" spans="1:16" ht="24" customHeight="1" thickBot="1">
      <c r="A75" s="89" t="s">
        <v>77</v>
      </c>
      <c r="B75" s="21">
        <v>4.6538461538461524</v>
      </c>
      <c r="C75" s="21">
        <v>4.6111111111111116</v>
      </c>
      <c r="D75" s="21">
        <v>4.6086956521739122</v>
      </c>
      <c r="E75" s="21">
        <v>4.5675675675675675</v>
      </c>
      <c r="F75" s="21">
        <v>4.6000000000000005</v>
      </c>
      <c r="G75" s="21">
        <v>4.4473684210526319</v>
      </c>
      <c r="H75" s="21">
        <v>4.4999999999999991</v>
      </c>
      <c r="I75" s="21">
        <v>4.7115384615384617</v>
      </c>
      <c r="J75" s="21">
        <v>4.7812500000000009</v>
      </c>
      <c r="K75" s="61" t="s">
        <v>67</v>
      </c>
      <c r="L75" s="21">
        <v>4.666666666666667</v>
      </c>
      <c r="M75" s="21">
        <v>4.5862068965517242</v>
      </c>
      <c r="N75" s="61" t="s">
        <v>67</v>
      </c>
    </row>
    <row r="76" spans="1:16" ht="24" customHeight="1" thickBot="1">
      <c r="A76" s="89" t="s">
        <v>78</v>
      </c>
      <c r="B76" s="21">
        <v>4.5</v>
      </c>
      <c r="C76" s="21">
        <v>4.6111111111111116</v>
      </c>
      <c r="D76" s="21">
        <v>4.5217391304347823</v>
      </c>
      <c r="E76" s="21">
        <v>4.5945945945945947</v>
      </c>
      <c r="F76" s="21">
        <v>4.6000000000000014</v>
      </c>
      <c r="G76" s="21">
        <v>4.4473684210526327</v>
      </c>
      <c r="H76" s="21">
        <v>4.4615384615384599</v>
      </c>
      <c r="I76" s="21">
        <v>4.7307692307692317</v>
      </c>
      <c r="J76" s="21">
        <v>4.796875</v>
      </c>
      <c r="K76" s="61" t="s">
        <v>67</v>
      </c>
      <c r="L76" s="21">
        <v>4.6500000000000004</v>
      </c>
      <c r="M76" s="21">
        <v>4.6551724137931041</v>
      </c>
      <c r="N76" s="61" t="s">
        <v>67</v>
      </c>
    </row>
    <row r="77" spans="1:16" ht="24" customHeight="1" thickBot="1">
      <c r="A77" s="89" t="s">
        <v>79</v>
      </c>
      <c r="B77" s="21">
        <v>4.6538461538461524</v>
      </c>
      <c r="C77" s="21">
        <v>4.666666666666667</v>
      </c>
      <c r="D77" s="21">
        <v>4.4782608695652177</v>
      </c>
      <c r="E77" s="21">
        <v>4.5675675675675675</v>
      </c>
      <c r="F77" s="21">
        <v>4.5999999999999996</v>
      </c>
      <c r="G77" s="21">
        <v>4.526315789473685</v>
      </c>
      <c r="H77" s="21">
        <v>4.5</v>
      </c>
      <c r="I77" s="21">
        <v>4.7307692307692317</v>
      </c>
      <c r="J77" s="21">
        <v>4.75</v>
      </c>
      <c r="K77" s="61" t="s">
        <v>67</v>
      </c>
      <c r="L77" s="21">
        <v>4.583333333333333</v>
      </c>
      <c r="M77" s="21">
        <v>4.5517241379310338</v>
      </c>
      <c r="N77" s="61" t="s">
        <v>67</v>
      </c>
    </row>
    <row r="78" spans="1:16" ht="24" customHeight="1" thickBot="1">
      <c r="A78" s="89" t="s">
        <v>80</v>
      </c>
      <c r="B78" s="21">
        <v>4.615384615384615</v>
      </c>
      <c r="C78" s="21">
        <v>4.5000000000000009</v>
      </c>
      <c r="D78" s="21">
        <v>4.5652173913043477</v>
      </c>
      <c r="E78" s="21">
        <v>4.5405405405405403</v>
      </c>
      <c r="F78" s="21">
        <v>4.5384615384615383</v>
      </c>
      <c r="G78" s="21">
        <v>4.5263157894736841</v>
      </c>
      <c r="H78" s="21">
        <v>4.5769230769230758</v>
      </c>
      <c r="I78" s="21">
        <v>4.6923076923076925</v>
      </c>
      <c r="J78" s="21">
        <v>4.7187500000000018</v>
      </c>
      <c r="K78" s="61" t="s">
        <v>67</v>
      </c>
      <c r="L78" s="21">
        <v>4.6666666666666687</v>
      </c>
      <c r="M78" s="21">
        <v>4.4827586206896548</v>
      </c>
      <c r="N78" s="61" t="s">
        <v>67</v>
      </c>
    </row>
    <row r="79" spans="1:16" ht="24" customHeight="1" thickBot="1">
      <c r="A79" s="89" t="s">
        <v>81</v>
      </c>
      <c r="B79" s="21">
        <v>4.6153846153846141</v>
      </c>
      <c r="C79" s="21">
        <v>4.4444444444444446</v>
      </c>
      <c r="D79" s="21">
        <v>4.6086956521739131</v>
      </c>
      <c r="E79" s="21">
        <v>4.4864864864864868</v>
      </c>
      <c r="F79" s="21">
        <v>4.5538461538461554</v>
      </c>
      <c r="G79" s="21">
        <v>4.5526315789473681</v>
      </c>
      <c r="H79" s="21">
        <v>4.5</v>
      </c>
      <c r="I79" s="21">
        <v>4.6923076923076934</v>
      </c>
      <c r="J79" s="21">
        <v>4.6875000000000018</v>
      </c>
      <c r="K79" s="61" t="s">
        <v>67</v>
      </c>
      <c r="L79" s="21">
        <v>4.6666666666666687</v>
      </c>
      <c r="M79" s="21">
        <v>4.5862068965517251</v>
      </c>
      <c r="N79" s="61" t="s">
        <v>67</v>
      </c>
    </row>
    <row r="80" spans="1:16" ht="24" customHeight="1" thickBot="1">
      <c r="A80" s="89" t="s">
        <v>82</v>
      </c>
      <c r="B80" s="21">
        <v>4.7307692307692317</v>
      </c>
      <c r="C80" s="21">
        <v>4.6111111111111107</v>
      </c>
      <c r="D80" s="21">
        <v>4.5217391304347823</v>
      </c>
      <c r="E80" s="21">
        <v>4.4594594594594597</v>
      </c>
      <c r="F80" s="21">
        <v>4.6769230769230798</v>
      </c>
      <c r="G80" s="21">
        <v>4.6052631578947372</v>
      </c>
      <c r="H80" s="21">
        <v>4.615384615384615</v>
      </c>
      <c r="I80" s="21">
        <v>4.75</v>
      </c>
      <c r="J80" s="21">
        <v>4.7187500000000018</v>
      </c>
      <c r="K80" s="61" t="s">
        <v>67</v>
      </c>
      <c r="L80" s="21">
        <v>4.75</v>
      </c>
      <c r="M80" s="21">
        <v>4.6896551724137927</v>
      </c>
      <c r="N80" s="61" t="s">
        <v>67</v>
      </c>
    </row>
    <row r="81" spans="1:16" ht="24" customHeight="1" thickBot="1">
      <c r="A81" s="89" t="s">
        <v>83</v>
      </c>
      <c r="B81" s="21">
        <v>4.5</v>
      </c>
      <c r="C81" s="21">
        <v>4.4444444444444446</v>
      </c>
      <c r="D81" s="21">
        <v>4.5217391304347823</v>
      </c>
      <c r="E81" s="21">
        <v>4.4324324324324316</v>
      </c>
      <c r="F81" s="21">
        <v>4.4923076923076941</v>
      </c>
      <c r="G81" s="21">
        <v>4.4736842105263159</v>
      </c>
      <c r="H81" s="21">
        <v>4.5384615384615383</v>
      </c>
      <c r="I81" s="21">
        <v>4.75</v>
      </c>
      <c r="J81" s="21">
        <v>4.7343750000000009</v>
      </c>
      <c r="K81" s="61" t="s">
        <v>67</v>
      </c>
      <c r="L81" s="21">
        <v>4.6333333333333329</v>
      </c>
      <c r="M81" s="21">
        <v>4.6206896551724146</v>
      </c>
      <c r="N81" s="61" t="s">
        <v>67</v>
      </c>
    </row>
    <row r="82" spans="1:16" ht="24" customHeight="1" thickBot="1">
      <c r="A82" s="89" t="s">
        <v>84</v>
      </c>
      <c r="B82" s="21">
        <v>4.6923076923076934</v>
      </c>
      <c r="C82" s="21">
        <v>4.5555555555555554</v>
      </c>
      <c r="D82" s="21">
        <v>4.6086956521739131</v>
      </c>
      <c r="E82" s="21">
        <v>4.4864864864864868</v>
      </c>
      <c r="F82" s="21">
        <v>4.6307692307692303</v>
      </c>
      <c r="G82" s="21">
        <v>4.5526315789473699</v>
      </c>
      <c r="H82" s="21">
        <v>4.6538461538461524</v>
      </c>
      <c r="I82" s="21">
        <v>4.7115384615384608</v>
      </c>
      <c r="J82" s="21">
        <v>4.765625</v>
      </c>
      <c r="K82" s="61" t="s">
        <v>67</v>
      </c>
      <c r="L82" s="21">
        <v>4.75</v>
      </c>
      <c r="M82" s="21">
        <v>4.6896551724137936</v>
      </c>
      <c r="N82" s="61" t="s">
        <v>67</v>
      </c>
    </row>
    <row r="83" spans="1:16" ht="24" customHeight="1" thickBot="1">
      <c r="A83" s="89" t="s">
        <v>85</v>
      </c>
      <c r="B83" s="21">
        <v>4.6153846153846141</v>
      </c>
      <c r="C83" s="21">
        <v>4.666666666666667</v>
      </c>
      <c r="D83" s="21">
        <v>4.6086956521739131</v>
      </c>
      <c r="E83" s="21">
        <v>4.5405405405405403</v>
      </c>
      <c r="F83" s="21">
        <v>4.6000000000000014</v>
      </c>
      <c r="G83" s="21">
        <v>4.526315789473685</v>
      </c>
      <c r="H83" s="21">
        <v>4.5384615384615374</v>
      </c>
      <c r="I83" s="21">
        <v>4.6923076923076916</v>
      </c>
      <c r="J83" s="21">
        <v>4.7500000000000018</v>
      </c>
      <c r="K83" s="61" t="s">
        <v>67</v>
      </c>
      <c r="L83" s="21">
        <v>4.7166666666666659</v>
      </c>
      <c r="M83" s="21">
        <v>4.724137931034484</v>
      </c>
      <c r="N83" s="61" t="s">
        <v>67</v>
      </c>
    </row>
    <row r="84" spans="1:16" ht="24" customHeight="1" thickBot="1">
      <c r="A84" s="89" t="s">
        <v>86</v>
      </c>
      <c r="B84" s="21">
        <v>4.6538461538461542</v>
      </c>
      <c r="C84" s="21">
        <v>4.5555555555555554</v>
      </c>
      <c r="D84" s="21">
        <v>4.6521739130434776</v>
      </c>
      <c r="E84" s="21">
        <v>4.5675675675675675</v>
      </c>
      <c r="F84" s="21">
        <v>4.6615384615384619</v>
      </c>
      <c r="G84" s="21">
        <v>4.4999999999999991</v>
      </c>
      <c r="H84" s="21">
        <v>4.5384615384615383</v>
      </c>
      <c r="I84" s="21">
        <v>4.75</v>
      </c>
      <c r="J84" s="21">
        <v>4.75</v>
      </c>
      <c r="K84" s="61" t="s">
        <v>67</v>
      </c>
      <c r="L84" s="21">
        <v>4.6833333333333336</v>
      </c>
      <c r="M84" s="21">
        <v>4.6896551724137945</v>
      </c>
      <c r="N84" s="61" t="s">
        <v>67</v>
      </c>
    </row>
    <row r="85" spans="1:16" ht="24" customHeight="1" thickBot="1">
      <c r="A85" s="89" t="s">
        <v>87</v>
      </c>
      <c r="B85" s="21">
        <v>4.5384615384615392</v>
      </c>
      <c r="C85" s="21">
        <v>4.5000000000000009</v>
      </c>
      <c r="D85" s="21">
        <v>4.5652173913043477</v>
      </c>
      <c r="E85" s="21">
        <v>4.5405405405405403</v>
      </c>
      <c r="F85" s="21">
        <v>4.6000000000000005</v>
      </c>
      <c r="G85" s="21">
        <v>4.526315789473685</v>
      </c>
      <c r="H85" s="21">
        <v>4.5384615384615374</v>
      </c>
      <c r="I85" s="21">
        <v>4.7307692307692317</v>
      </c>
      <c r="J85" s="21">
        <v>4.7500000000000027</v>
      </c>
      <c r="K85" s="61" t="s">
        <v>67</v>
      </c>
      <c r="L85" s="21">
        <v>4.6500000000000004</v>
      </c>
      <c r="M85" s="21">
        <v>4.5517241379310338</v>
      </c>
      <c r="N85" s="61" t="s">
        <v>67</v>
      </c>
    </row>
    <row r="86" spans="1:16" ht="24" customHeight="1" thickBot="1">
      <c r="A86" s="89" t="s">
        <v>88</v>
      </c>
      <c r="B86" s="21">
        <v>4.7307692307692317</v>
      </c>
      <c r="C86" s="21">
        <v>4.5000000000000009</v>
      </c>
      <c r="D86" s="21">
        <v>4.5652173913043477</v>
      </c>
      <c r="E86" s="21">
        <v>4.4864864864864868</v>
      </c>
      <c r="F86" s="21">
        <v>4.6153846153846132</v>
      </c>
      <c r="G86" s="21">
        <v>4.4999999999999991</v>
      </c>
      <c r="H86" s="21">
        <v>4.5384615384615383</v>
      </c>
      <c r="I86" s="21">
        <v>4.7115384615384617</v>
      </c>
      <c r="J86" s="21">
        <v>4.7187500000000009</v>
      </c>
      <c r="K86" s="61" t="s">
        <v>67</v>
      </c>
      <c r="L86" s="21">
        <v>4.6166666666666654</v>
      </c>
      <c r="M86" s="21">
        <v>4.5862068965517224</v>
      </c>
      <c r="N86" s="61" t="s">
        <v>67</v>
      </c>
    </row>
    <row r="87" spans="1:16" ht="24" customHeight="1" thickBot="1">
      <c r="A87" s="89" t="s">
        <v>89</v>
      </c>
      <c r="B87" s="21">
        <v>4.6923076923076925</v>
      </c>
      <c r="C87" s="21">
        <v>4.5000000000000009</v>
      </c>
      <c r="D87" s="21">
        <v>4.5652173913043477</v>
      </c>
      <c r="E87" s="21">
        <v>4.513513513513514</v>
      </c>
      <c r="F87" s="21">
        <v>4.6307692307692303</v>
      </c>
      <c r="G87" s="21">
        <v>4.6052631578947363</v>
      </c>
      <c r="H87" s="21">
        <v>4.5</v>
      </c>
      <c r="I87" s="21">
        <v>4.75</v>
      </c>
      <c r="J87" s="21">
        <v>4.7031250000000018</v>
      </c>
      <c r="K87" s="61" t="s">
        <v>67</v>
      </c>
      <c r="L87" s="21">
        <v>4.6833333333333336</v>
      </c>
      <c r="M87" s="21">
        <v>4.6896551724137945</v>
      </c>
      <c r="N87" s="61" t="s">
        <v>67</v>
      </c>
    </row>
    <row r="88" spans="1:16" ht="24" customHeight="1" thickBot="1">
      <c r="A88" s="89" t="s">
        <v>90</v>
      </c>
      <c r="B88" s="21">
        <v>4.6538461538461524</v>
      </c>
      <c r="C88" s="21">
        <v>4.6111111111111116</v>
      </c>
      <c r="D88" s="21">
        <v>4.6086956521739131</v>
      </c>
      <c r="E88" s="21">
        <v>4.5405405405405403</v>
      </c>
      <c r="F88" s="21">
        <v>4.6153846153846159</v>
      </c>
      <c r="G88" s="21">
        <v>4.552631578947369</v>
      </c>
      <c r="H88" s="21">
        <v>4.5</v>
      </c>
      <c r="I88" s="21">
        <v>4.7692307692307709</v>
      </c>
      <c r="J88" s="21">
        <v>4.7031250000000009</v>
      </c>
      <c r="K88" s="61" t="s">
        <v>67</v>
      </c>
      <c r="L88" s="21">
        <v>4.6833333333333336</v>
      </c>
      <c r="M88" s="21">
        <v>4.6551724137931041</v>
      </c>
      <c r="N88" s="61" t="s">
        <v>67</v>
      </c>
    </row>
    <row r="89" spans="1:16" ht="24" customHeight="1" thickBot="1">
      <c r="A89" s="89" t="s">
        <v>91</v>
      </c>
      <c r="B89" s="21">
        <v>4.8076923076923075</v>
      </c>
      <c r="C89" s="21">
        <v>4.6111111111111116</v>
      </c>
      <c r="D89" s="21">
        <v>4.6521739130434776</v>
      </c>
      <c r="E89" s="21">
        <v>4.5675675675675675</v>
      </c>
      <c r="F89" s="21">
        <v>4.6615384615384636</v>
      </c>
      <c r="G89" s="21">
        <v>4.526315789473685</v>
      </c>
      <c r="H89" s="21">
        <v>4.5384615384615383</v>
      </c>
      <c r="I89" s="21">
        <v>4.7884615384615392</v>
      </c>
      <c r="J89" s="21">
        <v>4.7343750000000018</v>
      </c>
      <c r="K89" s="61" t="s">
        <v>67</v>
      </c>
      <c r="L89" s="21">
        <v>4.7833333333333332</v>
      </c>
      <c r="M89" s="21">
        <v>4.6206896551724146</v>
      </c>
      <c r="N89" s="61" t="s">
        <v>67</v>
      </c>
    </row>
    <row r="90" spans="1:16" ht="24" customHeight="1">
      <c r="A90" s="8" t="s">
        <v>10</v>
      </c>
      <c r="B90" s="21">
        <v>4.6442307692307692</v>
      </c>
      <c r="C90" s="21">
        <v>4.5694444444444438</v>
      </c>
      <c r="D90" s="21">
        <v>4.5788043478260869</v>
      </c>
      <c r="E90" s="21">
        <v>4.5287162162162158</v>
      </c>
      <c r="F90" s="21">
        <v>4.6057692307692291</v>
      </c>
      <c r="G90" s="21">
        <v>4.5230263157894743</v>
      </c>
      <c r="H90" s="21">
        <v>4.5360576923076925</v>
      </c>
      <c r="I90" s="21">
        <v>4.7283653846153859</v>
      </c>
      <c r="J90" s="21">
        <v>4.7392578125</v>
      </c>
      <c r="K90" s="61" t="s">
        <v>67</v>
      </c>
      <c r="L90" s="21">
        <v>4.6802083333333337</v>
      </c>
      <c r="M90" s="21">
        <v>4.6293103448275863</v>
      </c>
      <c r="N90" s="61" t="s">
        <v>67</v>
      </c>
    </row>
    <row r="91" spans="1:16" s="66" customFormat="1">
      <c r="A91" s="65" t="s">
        <v>11</v>
      </c>
      <c r="B91" s="68">
        <f>B90*20</f>
        <v>92.884615384615387</v>
      </c>
      <c r="C91" s="63">
        <f>C90*20</f>
        <v>91.388888888888872</v>
      </c>
      <c r="D91" s="63">
        <f>D90*20</f>
        <v>91.576086956521735</v>
      </c>
      <c r="E91" s="63">
        <f t="shared" ref="E91:M91" si="4">E90*20</f>
        <v>90.574324324324323</v>
      </c>
      <c r="F91" s="63">
        <f t="shared" si="4"/>
        <v>92.115384615384585</v>
      </c>
      <c r="G91" s="63">
        <f t="shared" si="4"/>
        <v>90.46052631578948</v>
      </c>
      <c r="H91" s="63">
        <f t="shared" si="4"/>
        <v>90.721153846153854</v>
      </c>
      <c r="I91" s="63">
        <f t="shared" si="4"/>
        <v>94.567307692307722</v>
      </c>
      <c r="J91" s="63">
        <f t="shared" si="4"/>
        <v>94.78515625</v>
      </c>
      <c r="K91" s="61" t="s">
        <v>67</v>
      </c>
      <c r="L91" s="63">
        <f t="shared" ref="L91" si="5">L90*20</f>
        <v>93.604166666666671</v>
      </c>
      <c r="M91" s="63">
        <f t="shared" si="4"/>
        <v>92.58620689655173</v>
      </c>
      <c r="N91" s="61" t="s">
        <v>67</v>
      </c>
      <c r="P91" s="3"/>
    </row>
    <row r="92" spans="1:16">
      <c r="A92" s="16" t="s">
        <v>45</v>
      </c>
      <c r="B92" s="62">
        <v>100</v>
      </c>
      <c r="C92" s="62">
        <v>100</v>
      </c>
      <c r="D92" s="62">
        <v>95.65</v>
      </c>
      <c r="E92" s="62">
        <v>100</v>
      </c>
      <c r="F92" s="62">
        <v>100</v>
      </c>
      <c r="G92" s="62">
        <v>100</v>
      </c>
      <c r="H92" s="62">
        <v>92.31</v>
      </c>
      <c r="I92" s="62">
        <v>100</v>
      </c>
      <c r="J92" s="62">
        <v>100</v>
      </c>
      <c r="K92" s="22" t="s">
        <v>68</v>
      </c>
      <c r="L92" s="23">
        <v>100</v>
      </c>
      <c r="M92" s="62">
        <v>100</v>
      </c>
      <c r="N92" s="22" t="s">
        <v>68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1"/>
  <sheetViews>
    <sheetView tabSelected="1" view="pageBreakPreview" topLeftCell="A14" zoomScaleNormal="100" zoomScaleSheetLayoutView="100" workbookViewId="0">
      <selection activeCell="G26" sqref="G26"/>
    </sheetView>
  </sheetViews>
  <sheetFormatPr defaultColWidth="9" defaultRowHeight="21"/>
  <cols>
    <col min="1" max="1" width="4.75" style="35" customWidth="1"/>
    <col min="2" max="2" width="27.625" style="35" customWidth="1"/>
    <col min="3" max="7" width="12" style="35" customWidth="1"/>
    <col min="8" max="8" width="30.125" style="35" customWidth="1"/>
    <col min="9" max="9" width="14.75" style="35" customWidth="1"/>
    <col min="10" max="10" width="7.25" style="35" customWidth="1"/>
    <col min="11" max="16384" width="9" style="35"/>
  </cols>
  <sheetData>
    <row r="1" spans="1:9" s="48" customFormat="1" ht="43.5" customHeight="1">
      <c r="A1" s="97" t="s">
        <v>162</v>
      </c>
      <c r="B1" s="98"/>
      <c r="C1" s="98"/>
      <c r="D1" s="98"/>
      <c r="E1" s="98"/>
      <c r="F1" s="98"/>
      <c r="G1" s="98"/>
      <c r="H1" s="98"/>
      <c r="I1" s="98"/>
    </row>
    <row r="2" spans="1:9" s="48" customFormat="1">
      <c r="A2" s="96" t="s">
        <v>95</v>
      </c>
      <c r="B2" s="96"/>
      <c r="C2" s="96"/>
      <c r="D2" s="96"/>
      <c r="E2" s="96"/>
      <c r="F2" s="96"/>
      <c r="G2" s="96"/>
      <c r="H2" s="96"/>
    </row>
    <row r="3" spans="1:9" s="37" customFormat="1">
      <c r="A3" s="96" t="s">
        <v>96</v>
      </c>
      <c r="B3" s="96"/>
      <c r="C3" s="96"/>
      <c r="D3" s="96"/>
      <c r="E3" s="96"/>
      <c r="F3" s="96"/>
      <c r="G3" s="96"/>
      <c r="H3" s="96"/>
      <c r="I3" s="48"/>
    </row>
    <row r="4" spans="1:9" s="48" customFormat="1">
      <c r="A4" s="50" t="s">
        <v>54</v>
      </c>
      <c r="B4" s="50"/>
      <c r="C4" s="50"/>
      <c r="D4" s="50"/>
      <c r="E4" s="50"/>
      <c r="F4" s="51"/>
      <c r="G4" s="51"/>
      <c r="H4" s="51"/>
      <c r="I4" s="37"/>
    </row>
    <row r="5" spans="1:9" s="48" customFormat="1">
      <c r="B5" s="100" t="s">
        <v>159</v>
      </c>
      <c r="C5" s="100"/>
      <c r="D5" s="100"/>
      <c r="E5" s="100"/>
      <c r="F5" s="100"/>
      <c r="G5" s="100"/>
      <c r="H5" s="100"/>
    </row>
    <row r="6" spans="1:9" s="86" customFormat="1">
      <c r="A6" s="48"/>
      <c r="B6" s="100" t="s">
        <v>160</v>
      </c>
      <c r="C6" s="100"/>
      <c r="D6" s="100"/>
      <c r="E6" s="100"/>
      <c r="F6" s="100"/>
      <c r="G6" s="100"/>
      <c r="H6" s="100"/>
      <c r="I6" s="48"/>
    </row>
    <row r="7" spans="1:9" s="37" customFormat="1" ht="21.75" customHeight="1">
      <c r="A7" s="86"/>
      <c r="B7" s="101" t="s">
        <v>161</v>
      </c>
      <c r="C7" s="101"/>
      <c r="D7" s="101"/>
      <c r="E7" s="101"/>
      <c r="F7" s="101"/>
      <c r="G7" s="101"/>
      <c r="H7" s="101"/>
      <c r="I7" s="86"/>
    </row>
    <row r="8" spans="1:9" s="37" customFormat="1" ht="21.75" customHeight="1">
      <c r="A8" s="86"/>
      <c r="B8" s="92"/>
      <c r="C8" s="92"/>
      <c r="D8" s="92"/>
      <c r="E8" s="92"/>
      <c r="F8" s="92"/>
      <c r="G8" s="92"/>
      <c r="H8" s="92"/>
      <c r="I8" s="86"/>
    </row>
    <row r="9" spans="1:9" s="37" customFormat="1" ht="21.75" customHeight="1">
      <c r="B9" s="52" t="s">
        <v>0</v>
      </c>
      <c r="C9" s="53" t="s">
        <v>34</v>
      </c>
      <c r="D9" s="53" t="s">
        <v>35</v>
      </c>
      <c r="E9" s="53" t="s">
        <v>36</v>
      </c>
      <c r="F9" s="53" t="s">
        <v>37</v>
      </c>
      <c r="G9" s="53" t="s">
        <v>38</v>
      </c>
    </row>
    <row r="10" spans="1:9" s="37" customFormat="1" ht="21.75" customHeight="1">
      <c r="B10" s="54" t="s">
        <v>9</v>
      </c>
      <c r="C10" s="55" t="s">
        <v>93</v>
      </c>
      <c r="D10" s="55" t="s">
        <v>92</v>
      </c>
      <c r="E10" s="67">
        <v>1</v>
      </c>
      <c r="F10" s="56" t="s">
        <v>163</v>
      </c>
      <c r="G10" s="56" t="s">
        <v>94</v>
      </c>
    </row>
    <row r="11" spans="1:9" s="37" customFormat="1" ht="21.75" customHeight="1">
      <c r="B11" s="54" t="s">
        <v>10</v>
      </c>
      <c r="C11" s="30">
        <v>4.4273518041237141</v>
      </c>
      <c r="D11" s="30">
        <v>4.5322708113804113</v>
      </c>
      <c r="E11" s="18">
        <v>5</v>
      </c>
      <c r="F11" s="84">
        <v>4.88</v>
      </c>
      <c r="G11" s="84">
        <v>4.6927083333333339</v>
      </c>
    </row>
    <row r="12" spans="1:9" s="37" customFormat="1" ht="21.75" customHeight="1">
      <c r="B12" s="54" t="s">
        <v>11</v>
      </c>
      <c r="C12" s="30">
        <v>88.547036082474278</v>
      </c>
      <c r="D12" s="30">
        <v>90.645416227608223</v>
      </c>
      <c r="E12" s="30">
        <v>100</v>
      </c>
      <c r="F12" s="85">
        <v>97.6</v>
      </c>
      <c r="G12" s="85">
        <v>93.854166666666686</v>
      </c>
    </row>
    <row r="13" spans="1:9" s="37" customFormat="1" ht="24" customHeight="1">
      <c r="B13" s="58"/>
      <c r="C13" s="59"/>
      <c r="D13" s="59"/>
      <c r="E13" s="59"/>
      <c r="F13" s="72"/>
      <c r="G13" s="72"/>
    </row>
    <row r="14" spans="1:9" s="37" customFormat="1" ht="24" customHeight="1">
      <c r="A14" s="99" t="s">
        <v>39</v>
      </c>
      <c r="B14" s="99"/>
      <c r="H14" s="37" t="s">
        <v>52</v>
      </c>
    </row>
    <row r="15" spans="1:9" s="37" customFormat="1" ht="24" customHeight="1">
      <c r="B15" s="40" t="s">
        <v>40</v>
      </c>
    </row>
    <row r="16" spans="1:9" s="71" customFormat="1" ht="24" customHeight="1">
      <c r="A16" s="35"/>
      <c r="B16" s="71" t="s">
        <v>104</v>
      </c>
      <c r="C16" s="38"/>
      <c r="D16" s="38"/>
      <c r="E16" s="38"/>
      <c r="F16" s="38"/>
      <c r="G16" s="38"/>
      <c r="H16" s="38"/>
      <c r="I16" s="35"/>
    </row>
    <row r="17" spans="1:12" s="71" customFormat="1" ht="24" customHeight="1">
      <c r="A17" s="35"/>
      <c r="B17" s="71" t="s">
        <v>101</v>
      </c>
      <c r="C17" s="38"/>
      <c r="D17" s="38"/>
      <c r="E17" s="38"/>
      <c r="F17" s="38"/>
      <c r="G17" s="38"/>
      <c r="H17" s="38"/>
      <c r="I17" s="35"/>
    </row>
    <row r="18" spans="1:12" s="71" customFormat="1" ht="24" customHeight="1">
      <c r="A18" s="35"/>
      <c r="B18" s="71" t="s">
        <v>103</v>
      </c>
      <c r="C18" s="38"/>
      <c r="D18" s="38"/>
      <c r="E18" s="38"/>
      <c r="F18" s="38"/>
      <c r="G18" s="38"/>
      <c r="H18" s="38"/>
      <c r="I18" s="35"/>
    </row>
    <row r="19" spans="1:12" s="71" customFormat="1" ht="24" customHeight="1">
      <c r="A19" s="35"/>
      <c r="B19" s="71" t="s">
        <v>100</v>
      </c>
      <c r="C19" s="38"/>
      <c r="D19" s="38"/>
      <c r="E19" s="38"/>
      <c r="F19" s="38"/>
      <c r="G19" s="38"/>
      <c r="H19" s="38"/>
      <c r="I19" s="35"/>
    </row>
    <row r="20" spans="1:12" s="71" customFormat="1" ht="24" customHeight="1">
      <c r="A20" s="35"/>
      <c r="B20" s="71" t="s">
        <v>98</v>
      </c>
      <c r="C20" s="38"/>
      <c r="D20" s="38"/>
      <c r="E20" s="38"/>
      <c r="F20" s="38"/>
      <c r="G20" s="38"/>
      <c r="H20" s="38"/>
      <c r="I20" s="35"/>
    </row>
    <row r="21" spans="1:12" s="71" customFormat="1" ht="24" customHeight="1">
      <c r="A21" s="35"/>
      <c r="B21" s="71" t="s">
        <v>154</v>
      </c>
      <c r="C21" s="38"/>
      <c r="D21" s="38"/>
      <c r="E21" s="38"/>
      <c r="F21" s="38"/>
      <c r="G21" s="38"/>
      <c r="H21" s="38"/>
      <c r="I21" s="35"/>
    </row>
    <row r="22" spans="1:12" s="71" customFormat="1" ht="24" customHeight="1">
      <c r="A22" s="35"/>
      <c r="B22" s="71" t="s">
        <v>152</v>
      </c>
      <c r="C22" s="38"/>
      <c r="D22" s="38"/>
      <c r="E22" s="38"/>
      <c r="F22" s="38"/>
      <c r="G22" s="38"/>
      <c r="H22" s="38"/>
      <c r="I22" s="35"/>
    </row>
    <row r="23" spans="1:12" s="71" customFormat="1" ht="24" customHeight="1">
      <c r="A23" s="35"/>
      <c r="B23" s="34" t="s">
        <v>151</v>
      </c>
      <c r="C23" s="38"/>
      <c r="D23" s="38"/>
      <c r="E23" s="38"/>
      <c r="F23" s="38"/>
      <c r="G23" s="38"/>
      <c r="H23" s="38"/>
      <c r="I23" s="35"/>
    </row>
    <row r="24" spans="1:12" s="71" customFormat="1" ht="24" customHeight="1">
      <c r="A24" s="35"/>
      <c r="B24" s="34" t="s">
        <v>166</v>
      </c>
      <c r="C24" s="38"/>
      <c r="D24" s="38"/>
      <c r="E24" s="38"/>
      <c r="F24" s="38"/>
      <c r="G24" s="38"/>
      <c r="H24" s="38"/>
      <c r="I24" s="35"/>
    </row>
    <row r="25" spans="1:12" s="71" customFormat="1" ht="24" customHeight="1">
      <c r="A25" s="35"/>
      <c r="B25" s="34" t="s">
        <v>164</v>
      </c>
      <c r="C25" s="38"/>
      <c r="D25" s="38"/>
      <c r="E25" s="38"/>
      <c r="F25" s="38"/>
      <c r="G25" s="38"/>
      <c r="H25" s="38"/>
      <c r="I25" s="35"/>
    </row>
    <row r="26" spans="1:12" s="71" customFormat="1" ht="24" customHeight="1">
      <c r="A26" s="35"/>
      <c r="B26" s="34" t="s">
        <v>165</v>
      </c>
      <c r="C26" s="38"/>
      <c r="D26" s="38"/>
      <c r="E26" s="38"/>
      <c r="F26" s="38"/>
      <c r="G26" s="38"/>
      <c r="H26" s="38"/>
      <c r="I26" s="35"/>
    </row>
    <row r="27" spans="1:12" s="71" customFormat="1" ht="24" customHeight="1">
      <c r="A27" s="35"/>
      <c r="B27" s="34" t="s">
        <v>97</v>
      </c>
      <c r="C27" s="38"/>
      <c r="D27" s="38"/>
      <c r="E27" s="38"/>
      <c r="F27" s="38"/>
      <c r="G27" s="38"/>
      <c r="H27" s="38"/>
      <c r="I27" s="35"/>
    </row>
    <row r="28" spans="1:12" s="71" customFormat="1" ht="24" customHeight="1">
      <c r="A28" s="35"/>
      <c r="B28" s="95" t="s">
        <v>170</v>
      </c>
      <c r="C28" s="95"/>
      <c r="D28" s="95"/>
      <c r="E28" s="95"/>
      <c r="F28" s="95"/>
      <c r="G28" s="95"/>
      <c r="H28" s="95"/>
      <c r="I28" s="95"/>
      <c r="J28" s="95"/>
      <c r="K28" s="95"/>
      <c r="L28" s="95"/>
    </row>
    <row r="29" spans="1:12" s="71" customFormat="1" ht="24" customHeight="1">
      <c r="A29" s="35"/>
      <c r="B29" s="34" t="s">
        <v>99</v>
      </c>
      <c r="C29" s="38"/>
      <c r="D29" s="38"/>
      <c r="E29" s="38"/>
      <c r="F29" s="38"/>
      <c r="G29" s="38"/>
      <c r="H29" s="38"/>
      <c r="I29" s="35"/>
    </row>
    <row r="30" spans="1:12" s="71" customFormat="1" ht="24" customHeight="1">
      <c r="A30" s="35"/>
      <c r="B30" s="34" t="s">
        <v>171</v>
      </c>
      <c r="C30" s="38"/>
      <c r="D30" s="38"/>
      <c r="E30" s="38"/>
      <c r="F30" s="38"/>
      <c r="G30" s="38"/>
      <c r="H30" s="38"/>
      <c r="I30" s="35"/>
    </row>
    <row r="31" spans="1:12" s="71" customFormat="1" ht="24" customHeight="1">
      <c r="A31" s="35"/>
      <c r="B31" s="34" t="s">
        <v>153</v>
      </c>
      <c r="C31" s="38"/>
      <c r="D31" s="38"/>
      <c r="E31" s="38"/>
      <c r="F31" s="38"/>
      <c r="G31" s="38"/>
      <c r="H31" s="38"/>
      <c r="I31" s="35"/>
    </row>
    <row r="32" spans="1:12" s="71" customFormat="1" ht="24" customHeight="1">
      <c r="A32" s="35"/>
      <c r="B32" s="34" t="s">
        <v>169</v>
      </c>
      <c r="C32" s="38"/>
      <c r="D32" s="38"/>
      <c r="E32" s="38"/>
      <c r="F32" s="38"/>
      <c r="G32" s="38"/>
      <c r="H32" s="38"/>
      <c r="I32" s="35"/>
    </row>
    <row r="33" spans="1:9" s="71" customFormat="1" ht="24" customHeight="1">
      <c r="A33" s="35"/>
      <c r="B33" s="34" t="s">
        <v>116</v>
      </c>
      <c r="C33" s="38"/>
      <c r="D33" s="38"/>
      <c r="E33" s="38"/>
      <c r="F33" s="38"/>
      <c r="G33" s="38"/>
      <c r="H33" s="38"/>
      <c r="I33" s="35"/>
    </row>
    <row r="34" spans="1:9" s="71" customFormat="1" ht="24" customHeight="1">
      <c r="A34" s="35"/>
      <c r="B34" s="34" t="s">
        <v>145</v>
      </c>
      <c r="C34" s="38"/>
      <c r="D34" s="38"/>
      <c r="E34" s="38"/>
      <c r="F34" s="38"/>
      <c r="G34" s="38"/>
      <c r="H34" s="38"/>
      <c r="I34" s="35"/>
    </row>
    <row r="35" spans="1:9" s="71" customFormat="1" ht="24" customHeight="1">
      <c r="A35" s="35"/>
      <c r="B35" s="34"/>
      <c r="C35" s="38"/>
      <c r="D35" s="38"/>
      <c r="E35" s="38"/>
      <c r="F35" s="38"/>
      <c r="G35" s="38"/>
      <c r="H35" s="38"/>
      <c r="I35" s="35"/>
    </row>
    <row r="36" spans="1:9" s="71" customFormat="1" ht="24" customHeight="1">
      <c r="A36" s="73"/>
      <c r="B36" s="40" t="s">
        <v>41</v>
      </c>
      <c r="C36" s="39"/>
      <c r="D36" s="39"/>
      <c r="E36" s="39"/>
      <c r="F36" s="39"/>
      <c r="G36" s="39"/>
      <c r="H36" s="39"/>
    </row>
    <row r="37" spans="1:9" s="43" customFormat="1" ht="24" customHeight="1">
      <c r="A37" s="35"/>
      <c r="B37" s="35" t="s">
        <v>167</v>
      </c>
      <c r="C37" s="38"/>
      <c r="D37" s="38"/>
      <c r="E37" s="38"/>
      <c r="F37" s="38"/>
      <c r="G37" s="38"/>
      <c r="H37" s="38"/>
      <c r="I37" s="35"/>
    </row>
    <row r="38" spans="1:9" s="43" customFormat="1" ht="24" customHeight="1">
      <c r="A38" s="35"/>
      <c r="B38" s="35" t="s">
        <v>168</v>
      </c>
      <c r="C38" s="38"/>
      <c r="D38" s="38"/>
      <c r="E38" s="38"/>
      <c r="F38" s="38"/>
      <c r="G38" s="38"/>
      <c r="H38" s="38" t="s">
        <v>150</v>
      </c>
      <c r="I38" s="35"/>
    </row>
    <row r="39" spans="1:9" s="43" customFormat="1" ht="24" customHeight="1">
      <c r="A39" s="35"/>
      <c r="B39" s="35"/>
      <c r="C39" s="38"/>
      <c r="D39" s="38"/>
      <c r="E39" s="38"/>
      <c r="F39" s="38"/>
      <c r="G39" s="38"/>
      <c r="H39" s="38"/>
      <c r="I39" s="35"/>
    </row>
    <row r="40" spans="1:9" ht="24" customHeight="1">
      <c r="A40" s="57"/>
      <c r="B40" s="49" t="s">
        <v>42</v>
      </c>
      <c r="C40" s="49"/>
      <c r="D40" s="49"/>
      <c r="E40" s="49"/>
      <c r="F40" s="37"/>
      <c r="G40" s="37"/>
      <c r="H40" s="37"/>
      <c r="I40" s="43"/>
    </row>
    <row r="41" spans="1:9" ht="24" customHeight="1">
      <c r="A41" s="71"/>
      <c r="B41" s="34" t="s">
        <v>102</v>
      </c>
      <c r="C41" s="34"/>
      <c r="D41" s="39"/>
      <c r="E41" s="41"/>
      <c r="F41" s="41"/>
      <c r="G41" s="41"/>
      <c r="H41" s="41"/>
      <c r="I41" s="71"/>
    </row>
    <row r="42" spans="1:9" ht="24" customHeight="1">
      <c r="A42" s="71"/>
      <c r="B42" s="34" t="s">
        <v>107</v>
      </c>
      <c r="C42" s="34"/>
      <c r="D42" s="39"/>
      <c r="E42" s="41"/>
      <c r="F42" s="41"/>
      <c r="G42" s="41"/>
      <c r="H42" s="41"/>
      <c r="I42" s="71"/>
    </row>
    <row r="43" spans="1:9" ht="24" customHeight="1">
      <c r="A43" s="71"/>
      <c r="B43" s="34" t="s">
        <v>146</v>
      </c>
      <c r="C43" s="34"/>
      <c r="D43" s="39"/>
      <c r="E43" s="41"/>
      <c r="F43" s="41"/>
      <c r="G43" s="41"/>
      <c r="H43" s="41"/>
      <c r="I43" s="71"/>
    </row>
    <row r="44" spans="1:9" ht="24" customHeight="1">
      <c r="A44" s="71"/>
      <c r="B44" s="34" t="s">
        <v>109</v>
      </c>
      <c r="C44" s="34"/>
      <c r="D44" s="39"/>
      <c r="E44" s="41"/>
      <c r="F44" s="41"/>
      <c r="G44" s="41"/>
      <c r="H44" s="41"/>
      <c r="I44" s="71"/>
    </row>
    <row r="45" spans="1:9" ht="24" customHeight="1">
      <c r="A45" s="71"/>
      <c r="B45" s="34" t="s">
        <v>108</v>
      </c>
      <c r="C45" s="34"/>
      <c r="D45" s="39"/>
      <c r="E45" s="41"/>
      <c r="F45" s="41"/>
      <c r="G45" s="41"/>
      <c r="H45" s="41"/>
      <c r="I45" s="71"/>
    </row>
    <row r="46" spans="1:9" ht="24" customHeight="1">
      <c r="A46" s="71"/>
      <c r="B46" s="34" t="s">
        <v>106</v>
      </c>
      <c r="C46" s="34"/>
      <c r="D46" s="39"/>
      <c r="E46" s="41"/>
      <c r="F46" s="41"/>
      <c r="G46" s="41"/>
      <c r="H46" s="41"/>
      <c r="I46" s="71"/>
    </row>
    <row r="47" spans="1:9" ht="24" customHeight="1">
      <c r="A47" s="71"/>
      <c r="B47" s="34" t="s">
        <v>105</v>
      </c>
      <c r="C47" s="34"/>
      <c r="D47" s="39"/>
      <c r="E47" s="41"/>
      <c r="F47" s="41"/>
      <c r="G47" s="41"/>
      <c r="H47" s="41"/>
      <c r="I47" s="71"/>
    </row>
    <row r="48" spans="1:9" ht="24" customHeight="1">
      <c r="A48" s="71"/>
      <c r="B48" s="34" t="s">
        <v>110</v>
      </c>
      <c r="C48" s="34"/>
      <c r="D48" s="39"/>
      <c r="E48" s="41"/>
      <c r="F48" s="41"/>
      <c r="G48" s="41"/>
      <c r="H48" s="41"/>
      <c r="I48" s="71"/>
    </row>
    <row r="49" spans="1:9" ht="24" customHeight="1">
      <c r="A49" s="71"/>
      <c r="B49" s="34"/>
      <c r="C49" s="34"/>
      <c r="D49" s="39"/>
      <c r="E49" s="41"/>
      <c r="F49" s="41"/>
      <c r="G49" s="41"/>
      <c r="H49" s="41"/>
      <c r="I49" s="71"/>
    </row>
    <row r="50" spans="1:9" ht="24" customHeight="1">
      <c r="A50" s="69" t="s">
        <v>43</v>
      </c>
      <c r="C50" s="37"/>
      <c r="D50" s="37"/>
      <c r="E50" s="37"/>
      <c r="F50" s="37"/>
      <c r="G50" s="37"/>
      <c r="H50" s="37"/>
    </row>
    <row r="51" spans="1:9" ht="24" customHeight="1">
      <c r="B51" s="40" t="s">
        <v>40</v>
      </c>
      <c r="C51" s="42"/>
      <c r="D51" s="42"/>
      <c r="E51" s="42"/>
      <c r="F51" s="42"/>
      <c r="G51" s="42"/>
      <c r="H51" s="42"/>
    </row>
    <row r="52" spans="1:9" s="71" customFormat="1" ht="24" customHeight="1">
      <c r="B52" s="71" t="s">
        <v>112</v>
      </c>
    </row>
    <row r="53" spans="1:9" s="71" customFormat="1" ht="24" customHeight="1">
      <c r="B53" s="71" t="s">
        <v>113</v>
      </c>
    </row>
    <row r="54" spans="1:9" s="71" customFormat="1" ht="24" customHeight="1">
      <c r="B54" s="71" t="s">
        <v>114</v>
      </c>
    </row>
    <row r="55" spans="1:9" s="71" customFormat="1" ht="24" customHeight="1">
      <c r="B55" s="71" t="s">
        <v>117</v>
      </c>
    </row>
    <row r="56" spans="1:9" s="71" customFormat="1" ht="24" customHeight="1">
      <c r="B56" s="71" t="s">
        <v>124</v>
      </c>
    </row>
    <row r="57" spans="1:9" s="71" customFormat="1" ht="24" customHeight="1">
      <c r="B57" s="71" t="s">
        <v>126</v>
      </c>
    </row>
    <row r="58" spans="1:9" s="71" customFormat="1" ht="24" customHeight="1">
      <c r="B58" s="71" t="s">
        <v>123</v>
      </c>
    </row>
    <row r="59" spans="1:9" s="71" customFormat="1" ht="24" customHeight="1">
      <c r="B59" s="71" t="s">
        <v>141</v>
      </c>
    </row>
    <row r="60" spans="1:9" s="71" customFormat="1" ht="24" customHeight="1">
      <c r="B60" s="71" t="s">
        <v>118</v>
      </c>
    </row>
    <row r="61" spans="1:9" s="71" customFormat="1" ht="24" customHeight="1">
      <c r="B61" s="71" t="s">
        <v>121</v>
      </c>
    </row>
    <row r="62" spans="1:9" s="71" customFormat="1" ht="24" customHeight="1">
      <c r="B62" s="71" t="s">
        <v>125</v>
      </c>
    </row>
    <row r="63" spans="1:9" s="71" customFormat="1" ht="24" customHeight="1">
      <c r="B63" s="71" t="s">
        <v>130</v>
      </c>
    </row>
    <row r="64" spans="1:9" s="71" customFormat="1" ht="24" customHeight="1">
      <c r="B64" s="71" t="s">
        <v>131</v>
      </c>
    </row>
    <row r="65" spans="1:9" s="71" customFormat="1" ht="24" customHeight="1">
      <c r="B65" s="71" t="s">
        <v>133</v>
      </c>
    </row>
    <row r="66" spans="1:9" s="71" customFormat="1" ht="24" customHeight="1">
      <c r="B66" s="71" t="s">
        <v>134</v>
      </c>
    </row>
    <row r="67" spans="1:9" s="71" customFormat="1" ht="24" customHeight="1">
      <c r="B67" s="71" t="s">
        <v>140</v>
      </c>
    </row>
    <row r="68" spans="1:9" s="71" customFormat="1" ht="24" customHeight="1">
      <c r="B68" s="71" t="s">
        <v>148</v>
      </c>
    </row>
    <row r="69" spans="1:9" s="71" customFormat="1" ht="24" customHeight="1">
      <c r="B69" s="71" t="s">
        <v>142</v>
      </c>
    </row>
    <row r="70" spans="1:9" s="71" customFormat="1" ht="24" customHeight="1">
      <c r="B70" s="71" t="s">
        <v>143</v>
      </c>
    </row>
    <row r="71" spans="1:9" s="71" customFormat="1" ht="24" customHeight="1">
      <c r="B71" s="71" t="s">
        <v>155</v>
      </c>
    </row>
    <row r="72" spans="1:9" s="71" customFormat="1" ht="24" customHeight="1">
      <c r="B72" s="71" t="s">
        <v>149</v>
      </c>
    </row>
    <row r="73" spans="1:9" s="71" customFormat="1" ht="24" customHeight="1">
      <c r="B73" s="71" t="s">
        <v>156</v>
      </c>
    </row>
    <row r="74" spans="1:9" s="71" customFormat="1" ht="24" customHeight="1">
      <c r="B74" s="71" t="s">
        <v>157</v>
      </c>
    </row>
    <row r="75" spans="1:9" s="71" customFormat="1" ht="24" customHeight="1"/>
    <row r="76" spans="1:9" ht="24" customHeight="1">
      <c r="A76" s="71"/>
      <c r="B76" s="45" t="s">
        <v>41</v>
      </c>
      <c r="C76" s="41"/>
      <c r="D76" s="41"/>
      <c r="E76" s="41"/>
      <c r="F76" s="41"/>
      <c r="G76" s="41"/>
      <c r="H76" s="41"/>
      <c r="I76" s="71"/>
    </row>
    <row r="77" spans="1:9" s="73" customFormat="1" ht="24" customHeight="1">
      <c r="B77" s="34" t="s">
        <v>137</v>
      </c>
      <c r="C77" s="70"/>
      <c r="D77" s="70"/>
      <c r="E77" s="41"/>
      <c r="F77" s="41"/>
      <c r="G77" s="41"/>
      <c r="H77" s="41"/>
      <c r="I77" s="70"/>
    </row>
    <row r="79" spans="1:9" s="73" customFormat="1" ht="24" customHeight="1">
      <c r="B79" s="47" t="s">
        <v>42</v>
      </c>
      <c r="C79" s="39"/>
      <c r="D79" s="39"/>
      <c r="E79" s="39"/>
      <c r="F79" s="39"/>
      <c r="G79" s="39"/>
      <c r="H79" s="39"/>
    </row>
    <row r="80" spans="1:9" s="73" customFormat="1" ht="24" customHeight="1">
      <c r="B80" s="35" t="s">
        <v>132</v>
      </c>
      <c r="C80" s="39"/>
      <c r="D80" s="39"/>
      <c r="E80" s="39"/>
      <c r="F80" s="39"/>
      <c r="G80" s="39"/>
      <c r="H80" s="39"/>
    </row>
    <row r="81" spans="1:9" s="73" customFormat="1" ht="24" customHeight="1">
      <c r="B81" s="71" t="s">
        <v>111</v>
      </c>
      <c r="C81" s="39"/>
      <c r="D81" s="39"/>
      <c r="E81" s="39"/>
      <c r="F81" s="39"/>
      <c r="G81" s="39"/>
      <c r="H81" s="39"/>
    </row>
    <row r="82" spans="1:9" s="73" customFormat="1" ht="24" customHeight="1">
      <c r="B82" s="34" t="s">
        <v>115</v>
      </c>
      <c r="C82" s="36"/>
      <c r="D82" s="36"/>
      <c r="E82" s="36"/>
      <c r="F82" s="36"/>
      <c r="G82" s="36"/>
      <c r="H82" s="36"/>
    </row>
    <row r="83" spans="1:9" s="73" customFormat="1" ht="24" customHeight="1">
      <c r="B83" s="37" t="s">
        <v>119</v>
      </c>
      <c r="C83" s="36"/>
      <c r="D83" s="36"/>
      <c r="E83" s="36"/>
      <c r="F83" s="36"/>
      <c r="G83" s="36"/>
      <c r="H83" s="36"/>
    </row>
    <row r="84" spans="1:9" s="73" customFormat="1" ht="24" customHeight="1">
      <c r="B84" s="34" t="s">
        <v>120</v>
      </c>
      <c r="C84" s="39"/>
      <c r="D84" s="39"/>
      <c r="E84" s="39"/>
      <c r="F84" s="39"/>
      <c r="G84" s="39"/>
      <c r="H84" s="39"/>
    </row>
    <row r="85" spans="1:9" s="73" customFormat="1" ht="24" customHeight="1">
      <c r="B85" s="34" t="s">
        <v>122</v>
      </c>
      <c r="C85" s="39"/>
      <c r="D85" s="39"/>
      <c r="E85" s="39"/>
      <c r="F85" s="39"/>
      <c r="G85" s="39"/>
      <c r="H85" s="39"/>
    </row>
    <row r="86" spans="1:9" s="73" customFormat="1" ht="24" customHeight="1">
      <c r="A86" s="71"/>
      <c r="B86" s="34" t="s">
        <v>128</v>
      </c>
      <c r="C86" s="39"/>
      <c r="D86" s="39"/>
      <c r="E86" s="39"/>
      <c r="F86" s="39"/>
      <c r="G86" s="39"/>
      <c r="H86" s="39"/>
    </row>
    <row r="87" spans="1:9" s="73" customFormat="1" ht="24" customHeight="1">
      <c r="A87" s="71"/>
      <c r="B87" s="71" t="s">
        <v>127</v>
      </c>
      <c r="C87" s="39"/>
      <c r="D87" s="39"/>
      <c r="E87" s="39"/>
      <c r="F87" s="39"/>
      <c r="G87" s="39"/>
      <c r="H87" s="39"/>
    </row>
    <row r="88" spans="1:9" ht="24" customHeight="1">
      <c r="A88" s="71"/>
      <c r="B88" s="34" t="s">
        <v>129</v>
      </c>
      <c r="C88" s="39"/>
      <c r="D88" s="39"/>
      <c r="E88" s="39"/>
      <c r="F88" s="39"/>
      <c r="G88" s="39"/>
      <c r="H88" s="39"/>
      <c r="I88" s="73"/>
    </row>
    <row r="89" spans="1:9" s="71" customFormat="1" ht="24" customHeight="1">
      <c r="A89" s="73"/>
      <c r="B89" s="71" t="s">
        <v>135</v>
      </c>
      <c r="C89" s="41"/>
      <c r="D89" s="41"/>
      <c r="E89" s="41"/>
      <c r="F89" s="41"/>
      <c r="G89" s="41"/>
      <c r="H89" s="41"/>
    </row>
    <row r="90" spans="1:9" s="73" customFormat="1" ht="24" customHeight="1">
      <c r="A90" s="71"/>
      <c r="B90" s="71" t="s">
        <v>136</v>
      </c>
      <c r="C90" s="41"/>
      <c r="D90" s="41"/>
      <c r="E90" s="41"/>
      <c r="F90" s="41"/>
      <c r="G90" s="41"/>
      <c r="H90" s="41"/>
      <c r="I90" s="71"/>
    </row>
    <row r="91" spans="1:9" s="73" customFormat="1" ht="24" customHeight="1">
      <c r="A91" s="71"/>
      <c r="B91" s="71" t="s">
        <v>139</v>
      </c>
      <c r="C91" s="41"/>
      <c r="D91" s="41"/>
      <c r="E91" s="41"/>
      <c r="F91" s="41"/>
      <c r="G91" s="41"/>
      <c r="H91" s="41"/>
      <c r="I91" s="71"/>
    </row>
    <row r="92" spans="1:9" s="73" customFormat="1" ht="24" customHeight="1">
      <c r="A92" s="71"/>
      <c r="B92" s="71" t="s">
        <v>138</v>
      </c>
      <c r="C92" s="39"/>
      <c r="D92" s="39"/>
      <c r="E92" s="39"/>
      <c r="F92" s="39"/>
      <c r="G92" s="39"/>
      <c r="H92" s="39"/>
    </row>
    <row r="93" spans="1:9" s="73" customFormat="1" ht="24" customHeight="1">
      <c r="A93" s="71"/>
      <c r="B93" s="71" t="s">
        <v>144</v>
      </c>
      <c r="C93" s="39"/>
      <c r="D93" s="39"/>
      <c r="E93" s="39"/>
      <c r="F93" s="39"/>
      <c r="G93" s="39"/>
      <c r="H93" s="39"/>
    </row>
    <row r="94" spans="1:9" s="73" customFormat="1" ht="24" customHeight="1">
      <c r="A94" s="71"/>
      <c r="B94" s="93" t="s">
        <v>147</v>
      </c>
      <c r="C94" s="39"/>
      <c r="D94" s="39"/>
      <c r="E94" s="39"/>
      <c r="F94" s="39"/>
      <c r="G94" s="39"/>
      <c r="H94" s="39"/>
    </row>
    <row r="95" spans="1:9" s="73" customFormat="1" ht="24" customHeight="1">
      <c r="A95" s="71"/>
      <c r="B95" s="93" t="s">
        <v>158</v>
      </c>
      <c r="C95" s="39"/>
      <c r="D95" s="39"/>
      <c r="E95" s="39"/>
      <c r="F95" s="39"/>
      <c r="G95" s="39"/>
      <c r="H95" s="39"/>
    </row>
    <row r="96" spans="1:9" s="73" customFormat="1" ht="24" customHeight="1">
      <c r="A96" s="71"/>
      <c r="B96" s="93"/>
      <c r="C96" s="39"/>
      <c r="D96" s="39"/>
      <c r="E96" s="39"/>
      <c r="F96" s="39"/>
      <c r="G96" s="39"/>
      <c r="H96" s="39"/>
    </row>
    <row r="97" spans="1:9" s="73" customFormat="1" ht="24" customHeight="1">
      <c r="A97" s="71"/>
      <c r="B97" s="93"/>
      <c r="C97" s="39"/>
      <c r="D97" s="39"/>
      <c r="E97" s="39"/>
      <c r="F97" s="39"/>
      <c r="G97" s="39"/>
      <c r="H97" s="39"/>
    </row>
    <row r="98" spans="1:9" s="73" customFormat="1" ht="24" customHeight="1">
      <c r="A98" s="71"/>
      <c r="B98" s="93"/>
      <c r="C98" s="39"/>
      <c r="D98" s="39"/>
      <c r="E98" s="39"/>
      <c r="F98" s="39"/>
      <c r="G98" s="39"/>
      <c r="H98" s="39"/>
    </row>
    <row r="99" spans="1:9" s="73" customFormat="1" ht="24" customHeight="1">
      <c r="A99" s="71"/>
      <c r="C99" s="41"/>
      <c r="D99" s="41"/>
      <c r="E99" s="41"/>
      <c r="F99" s="41"/>
      <c r="G99" s="41"/>
      <c r="H99" s="41"/>
      <c r="I99" s="71"/>
    </row>
    <row r="100" spans="1:9" s="71" customFormat="1" ht="24" customHeight="1">
      <c r="B100" s="44"/>
      <c r="C100" s="39"/>
      <c r="D100" s="39"/>
      <c r="E100" s="39"/>
      <c r="F100" s="39"/>
      <c r="G100" s="39"/>
      <c r="H100" s="39"/>
      <c r="I100" s="73"/>
    </row>
    <row r="101" spans="1:9" s="71" customFormat="1" ht="24" customHeight="1">
      <c r="B101" s="44"/>
      <c r="C101" s="41"/>
      <c r="D101" s="41"/>
      <c r="E101" s="41"/>
      <c r="F101" s="41"/>
      <c r="G101" s="41"/>
      <c r="H101" s="41"/>
    </row>
    <row r="102" spans="1:9" s="71" customFormat="1" ht="24" customHeight="1">
      <c r="B102" s="44"/>
      <c r="C102" s="41"/>
      <c r="D102" s="41"/>
      <c r="E102" s="41"/>
      <c r="F102" s="41"/>
      <c r="G102" s="41"/>
      <c r="H102" s="41"/>
    </row>
    <row r="103" spans="1:9" s="71" customFormat="1" ht="24" customHeight="1">
      <c r="B103" s="44"/>
      <c r="C103" s="41"/>
      <c r="D103" s="41"/>
      <c r="E103" s="41"/>
      <c r="F103" s="41"/>
      <c r="G103" s="41"/>
      <c r="H103" s="41"/>
    </row>
    <row r="104" spans="1:9" s="71" customFormat="1" ht="24" customHeight="1">
      <c r="B104" s="46"/>
      <c r="C104" s="41"/>
      <c r="D104" s="41"/>
      <c r="E104" s="41"/>
      <c r="F104" s="41"/>
      <c r="G104" s="41"/>
      <c r="H104" s="41"/>
    </row>
    <row r="105" spans="1:9" s="71" customFormat="1" ht="24" customHeight="1">
      <c r="B105" s="46"/>
      <c r="C105" s="41"/>
      <c r="D105" s="41"/>
      <c r="E105" s="41"/>
      <c r="F105" s="41"/>
      <c r="G105" s="41"/>
      <c r="H105" s="41"/>
    </row>
    <row r="106" spans="1:9" s="71" customFormat="1" ht="24" customHeight="1">
      <c r="B106" s="46"/>
      <c r="C106" s="41"/>
      <c r="D106" s="41"/>
      <c r="E106" s="41"/>
      <c r="F106" s="41"/>
      <c r="G106" s="41"/>
      <c r="H106" s="41"/>
    </row>
    <row r="107" spans="1:9" s="71" customFormat="1" ht="24" customHeight="1">
      <c r="B107" s="46"/>
      <c r="C107" s="41"/>
      <c r="D107" s="41"/>
      <c r="E107" s="41"/>
      <c r="F107" s="41"/>
      <c r="G107" s="41"/>
      <c r="H107" s="41"/>
    </row>
    <row r="108" spans="1:9" s="71" customFormat="1" ht="24" customHeight="1">
      <c r="B108" s="46"/>
      <c r="C108" s="41"/>
      <c r="D108" s="41"/>
      <c r="E108" s="41"/>
      <c r="F108" s="41"/>
      <c r="G108" s="41"/>
      <c r="H108" s="41"/>
    </row>
    <row r="109" spans="1:9" s="71" customFormat="1" ht="24" customHeight="1">
      <c r="B109" s="46"/>
      <c r="C109" s="41"/>
      <c r="D109" s="41"/>
      <c r="E109" s="41"/>
      <c r="F109" s="41"/>
      <c r="G109" s="41"/>
      <c r="H109" s="41"/>
    </row>
    <row r="110" spans="1:9" s="71" customFormat="1" ht="24" customHeight="1">
      <c r="B110" s="46"/>
      <c r="C110" s="41"/>
      <c r="D110" s="41"/>
      <c r="E110" s="41"/>
      <c r="F110" s="41"/>
      <c r="G110" s="41"/>
      <c r="H110" s="41"/>
    </row>
    <row r="111" spans="1:9" s="71" customFormat="1" ht="24" customHeight="1">
      <c r="B111" s="46"/>
      <c r="C111" s="41"/>
      <c r="D111" s="41"/>
      <c r="E111" s="41"/>
      <c r="F111" s="41"/>
      <c r="G111" s="41"/>
      <c r="H111" s="41"/>
    </row>
    <row r="112" spans="1:9" s="71" customFormat="1" ht="24" customHeight="1">
      <c r="B112" s="46"/>
      <c r="C112" s="41"/>
      <c r="D112" s="41"/>
      <c r="E112" s="41"/>
      <c r="F112" s="41"/>
      <c r="G112" s="41"/>
      <c r="H112" s="41"/>
    </row>
    <row r="113" spans="1:9" s="71" customFormat="1" ht="24" customHeight="1">
      <c r="B113" s="46"/>
      <c r="C113" s="41"/>
      <c r="D113" s="41"/>
      <c r="E113" s="41"/>
      <c r="F113" s="41"/>
      <c r="G113" s="41"/>
      <c r="H113" s="41"/>
    </row>
    <row r="114" spans="1:9" s="71" customFormat="1" ht="24" customHeight="1">
      <c r="B114" s="46"/>
      <c r="C114" s="41"/>
      <c r="D114" s="41"/>
      <c r="E114" s="41"/>
      <c r="F114" s="41"/>
      <c r="G114" s="41"/>
      <c r="H114" s="41"/>
    </row>
    <row r="115" spans="1:9" s="71" customFormat="1" ht="24" customHeight="1">
      <c r="B115" s="35"/>
      <c r="C115" s="41"/>
      <c r="D115" s="41"/>
      <c r="E115" s="41"/>
      <c r="F115" s="41"/>
      <c r="G115" s="41"/>
      <c r="H115" s="41"/>
    </row>
    <row r="116" spans="1:9" s="71" customFormat="1" ht="24" customHeight="1">
      <c r="B116" s="35"/>
      <c r="C116" s="41"/>
      <c r="D116" s="41"/>
      <c r="E116" s="41"/>
      <c r="F116" s="41"/>
      <c r="G116" s="41"/>
      <c r="H116" s="41"/>
    </row>
    <row r="117" spans="1:9" s="71" customFormat="1" ht="24" customHeight="1">
      <c r="B117" s="35"/>
      <c r="C117" s="41"/>
      <c r="D117" s="41"/>
      <c r="E117" s="41"/>
      <c r="F117" s="41"/>
      <c r="G117" s="41"/>
      <c r="H117" s="41"/>
    </row>
    <row r="118" spans="1:9" s="71" customFormat="1" ht="24" customHeight="1">
      <c r="B118" s="35"/>
      <c r="C118" s="41"/>
      <c r="D118" s="41"/>
      <c r="E118" s="41"/>
      <c r="F118" s="41"/>
      <c r="G118" s="41"/>
      <c r="H118" s="41"/>
    </row>
    <row r="119" spans="1:9" s="71" customFormat="1" ht="24" customHeight="1">
      <c r="A119" s="35"/>
      <c r="B119" s="35"/>
      <c r="C119" s="41"/>
      <c r="D119" s="41"/>
      <c r="E119" s="41"/>
      <c r="F119" s="41"/>
      <c r="G119" s="41"/>
      <c r="H119" s="41"/>
    </row>
    <row r="120" spans="1:9" s="71" customFormat="1" ht="24" customHeight="1">
      <c r="A120" s="35"/>
      <c r="B120" s="35"/>
      <c r="C120" s="41"/>
      <c r="D120" s="41"/>
      <c r="E120" s="41"/>
      <c r="F120" s="41"/>
      <c r="G120" s="41"/>
      <c r="H120" s="41"/>
    </row>
    <row r="121" spans="1:9">
      <c r="C121" s="41"/>
      <c r="D121" s="41"/>
      <c r="E121" s="41"/>
      <c r="F121" s="41"/>
      <c r="G121" s="41"/>
      <c r="H121" s="41"/>
      <c r="I121" s="71"/>
    </row>
  </sheetData>
  <mergeCells count="8">
    <mergeCell ref="B28:L28"/>
    <mergeCell ref="A3:H3"/>
    <mergeCell ref="A1:I1"/>
    <mergeCell ref="A14:B14"/>
    <mergeCell ref="A2:H2"/>
    <mergeCell ref="B5:H5"/>
    <mergeCell ref="B7:H7"/>
    <mergeCell ref="B6:H6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2</vt:i4>
      </vt:variant>
    </vt:vector>
  </HeadingPairs>
  <TitlesOfParts>
    <vt:vector size="4" baseType="lpstr">
      <vt:lpstr>Total Table</vt:lpstr>
      <vt:lpstr>Summary</vt:lpstr>
      <vt:lpstr>Summary!Print_Area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2024-12-11T03:22:29Z</dcterms:modified>
</cp:coreProperties>
</file>