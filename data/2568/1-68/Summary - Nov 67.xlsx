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11.Nov\"/>
    </mc:Choice>
  </mc:AlternateContent>
  <xr:revisionPtr revIDLastSave="0" documentId="13_ncr:1_{C9354138-9B9B-449E-AC7C-E1F2FBA7B00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Summary!$A$1:$M$98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8" i="1" l="1"/>
  <c r="Q45" i="1"/>
  <c r="P22" i="1"/>
  <c r="G11" i="2"/>
  <c r="I22" i="1"/>
  <c r="Q22" i="1"/>
  <c r="C22" i="1"/>
  <c r="B22" i="1"/>
  <c r="H45" i="1"/>
  <c r="G45" i="1"/>
  <c r="F45" i="1"/>
  <c r="E45" i="1"/>
  <c r="D45" i="1"/>
  <c r="C45" i="1"/>
  <c r="M45" i="1"/>
  <c r="N45" i="1"/>
  <c r="O45" i="1"/>
  <c r="P45" i="1"/>
  <c r="G22" i="1"/>
  <c r="F22" i="1"/>
  <c r="E22" i="1"/>
  <c r="O22" i="1"/>
  <c r="N22" i="1"/>
  <c r="M22" i="1"/>
  <c r="L22" i="1"/>
  <c r="K22" i="1"/>
  <c r="J45" i="1"/>
  <c r="L91" i="1" l="1"/>
  <c r="J68" i="1" l="1"/>
  <c r="K68" i="1"/>
  <c r="M68" i="1"/>
  <c r="N68" i="1"/>
  <c r="M91" i="1"/>
  <c r="B91" i="1"/>
  <c r="C91" i="1"/>
  <c r="D91" i="1"/>
  <c r="E91" i="1"/>
  <c r="F91" i="1"/>
  <c r="G91" i="1"/>
  <c r="H91" i="1"/>
  <c r="I91" i="1"/>
  <c r="J91" i="1"/>
  <c r="B68" i="1"/>
  <c r="C68" i="1"/>
  <c r="D68" i="1"/>
  <c r="E68" i="1"/>
  <c r="G68" i="1"/>
  <c r="H68" i="1"/>
</calcChain>
</file>

<file path=xl/sharedStrings.xml><?xml version="1.0" encoding="utf-8"?>
<sst xmlns="http://schemas.openxmlformats.org/spreadsheetml/2006/main" count="481" uniqueCount="171">
  <si>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</si>
  <si>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</si>
  <si>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</si>
  <si>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</si>
  <si>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</si>
  <si>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</si>
  <si>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</si>
  <si>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</si>
  <si>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</si>
  <si>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</si>
  <si>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</si>
  <si>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</si>
  <si>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</si>
  <si>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</si>
  <si>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</si>
  <si>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</si>
  <si>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</si>
  <si>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</si>
  <si>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</si>
  <si>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</si>
  <si>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</si>
  <si>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</si>
  <si>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</si>
  <si>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</si>
  <si>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</si>
  <si>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</si>
  <si>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</si>
  <si>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</si>
  <si>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</si>
  <si>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</si>
  <si>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</si>
  <si>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</si>
  <si>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</si>
  <si>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</si>
  <si>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</si>
  <si>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</si>
  <si>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</si>
  <si>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</si>
  <si>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</si>
  <si>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</si>
  <si>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</si>
  <si>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</si>
  <si>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</si>
  <si>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</si>
  <si>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</si>
  <si>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</si>
  <si>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</si>
  <si>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</si>
  <si>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</si>
  <si>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</si>
  <si>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</si>
  <si>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</si>
  <si>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</si>
  <si>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</si>
  <si>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</si>
  <si>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</si>
  <si>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</si>
  <si>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</si>
  <si>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</si>
  <si>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</si>
  <si>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</si>
  <si>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</si>
  <si>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</si>
  <si>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</si>
  <si>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</si>
  <si>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</si>
  <si>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</si>
  <si>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</si>
  <si>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</si>
  <si>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</si>
  <si>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</si>
  <si>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โรคเลือด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</si>
  <si>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</si>
  <si>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</si>
  <si>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</si>
  <si>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</si>
  <si>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</si>
  <si>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</si>
  <si>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</si>
  <si>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</si>
  <si>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</si>
  <si>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</si>
  <si>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</si>
  <si>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</si>
  <si>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</si>
  <si>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</si>
  <si>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</si>
  <si>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</si>
  <si>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</si>
  <si>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</si>
  <si>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</si>
  <si>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สรุปการประเมินผล OP-IP VOICE เดือนพฤศจิกายน 2567</t>
  </si>
  <si>
    <t>สรุปการประเมินผล OP-IP VOICE เดือน เดือนพฤศจิกายน 2567</t>
  </si>
  <si>
    <t>ชั้น 1 คัดกรอง
 อาคาร 150 ปี</t>
  </si>
  <si>
    <t>35</t>
  </si>
  <si>
    <t>433</t>
  </si>
  <si>
    <t>988</t>
  </si>
  <si>
    <t xml:space="preserve">ค่าเฉลี่ยความพึงพอใจการใช้บริการของโรงพยาบาล OPD = 87.34% IPD = 91.47%  </t>
  </si>
  <si>
    <t xml:space="preserve">ค่าเฉลี่ยการแนะนำญาติหรือคนรู้จักให้มาใช้บริการที่โรงพยาบาล  OPD = 96.07% IPD = 99.60%  </t>
  </si>
  <si>
    <t xml:space="preserve"> - ปรับปรุงทุกส่วน</t>
  </si>
  <si>
    <t xml:space="preserve"> - ที่จอดรถไกล ไม่มีรถรับส่งคนไข้</t>
  </si>
  <si>
    <t xml:space="preserve"> - รอยานาน</t>
  </si>
  <si>
    <t xml:space="preserve"> - การแจกบัตรคิว</t>
  </si>
  <si>
    <t xml:space="preserve"> - การประสานงานภายใน และลำดับขั้นตอนที่ชัดเจนไม่มี ควรปรับปรุง</t>
  </si>
  <si>
    <t xml:space="preserve"> - จุดลงทะเบียนน้อย</t>
  </si>
  <si>
    <t xml:space="preserve"> - เก้าอี้นั่งรอไม่เพียงพอ (คลินิกพิเศษเฉพาะทางนอกเวลา)</t>
  </si>
  <si>
    <t xml:space="preserve"> - ควรมีตู้น้ำดื่มให้บริการ</t>
  </si>
  <si>
    <t xml:space="preserve"> - รอนาน (4)</t>
  </si>
  <si>
    <t xml:space="preserve"> - ความล่าช้าในการบริการ (2)</t>
  </si>
  <si>
    <t xml:space="preserve"> - รอแพทย์นาน  (2)</t>
  </si>
  <si>
    <t xml:space="preserve"> - แพทย์ไม่เพียงพอ</t>
  </si>
  <si>
    <t xml:space="preserve"> - เจาะเลือด ทิ่มหลายรอบมาก เจ็บจนร้องไห้</t>
  </si>
  <si>
    <t xml:space="preserve"> - อยากให้พนักงานรักษาสิทธิผู้ป่วย โดยการเรียกหมายเลขแทนชื่อ โดยเฉพาะกลุ่มเปราะบาง เช่นผู้ป่วยเอชไอวี</t>
  </si>
  <si>
    <t xml:space="preserve"> - รอตรวจนาน  (2)</t>
  </si>
  <si>
    <t xml:space="preserve"> - รอการเงินนาน ช้า  (2)</t>
  </si>
  <si>
    <t xml:space="preserve"> - รอเจาะเลือดใช้เวลานานเกินไป</t>
  </si>
  <si>
    <t xml:space="preserve"> - ระบบดูงง ไม่ชัดเจน สำหรับผู้ที่ไม่เคยมาใช้บริการ ไม่มีป้ายสำหรับแนะนำขั้นตอนการใช้บริการ</t>
  </si>
  <si>
    <t xml:space="preserve"> - รอคิวนาน (2)</t>
  </si>
  <si>
    <t xml:space="preserve"> - ควรมีการแจ้งว่าเมื่อทำบัตรนัดหาย จะสามารถเช็ควันนัดได้ที่ใดบ้าง </t>
  </si>
  <si>
    <t xml:space="preserve"> - ควรมีทางเลือกในการรักษาให้แก่ผู้ป่วย</t>
  </si>
  <si>
    <t xml:space="preserve"> - จำนวนคิวน้อยเกินไป (คลินิกหู คอ จมูก)</t>
  </si>
  <si>
    <t xml:space="preserve"> - อยากให้มีเจ้าหน้าที่แนะนำในด่านแรกเลยเพราะครั้งแรกที่ใช้บริการ เนื่องจากได้คำแนะนำได้จากผู้ป่วยที่เคยมาก่อน ให้คำแนะนำว่าคนมาครั้งแรกต้องทำอะไรบ้าง แต่ไม่มีเจ้าหน้าที่แนะนำ</t>
  </si>
  <si>
    <t xml:space="preserve"> - ควรมีเจ้าหน้าที่ให้บริการกับผู้ป่วยสูงอายุบางคนเขียนหนังสือไม่ได้</t>
  </si>
  <si>
    <t xml:space="preserve"> - มีผู้สูงอายุหลายคนกรอกแบบฟอร์มไม่ได้เพราะตัวเล็กและปัญหาด้านสายตาแถมลืมพกแว่น น่าจะมีแว่นสายตาบริการบางจุดค่ะ</t>
  </si>
  <si>
    <t xml:space="preserve"> - ห้องเปลี่ยนเสื้อผ้าควรมีการแยกชาย-หญิง หรือทำให้มิดชิดมากกว่าการใช้ผ้าม่าน (ห้องผ่าตัด/วิสัญญี)</t>
  </si>
  <si>
    <t xml:space="preserve"> - การงดใช้เครื่องมือติดต่อสื่อสาร ทำให้ติดต่อบุคคลภายนอกได้ยากมาก (SICU)</t>
  </si>
  <si>
    <t xml:space="preserve"> - ทำแผลเจ็บมาก</t>
  </si>
  <si>
    <t xml:space="preserve"> - ควรเพิ่มเก้าอี้นั่งสำหรับญาติที่มาเยี่ยม หรือมีให้ยืม ใช้เสร็จแล้วค่อยนำไปคืน (19B)</t>
  </si>
  <si>
    <t xml:space="preserve"> - ลดการตรวจลง อยากให้แพทย์ พยาบาล และคนไข้มีเวลาพักผ่อนมากขึ้นในตอนกลางคืน</t>
  </si>
  <si>
    <t xml:space="preserve"> - อาหารทานแทบไม่ได้เลย จืดมาก จืดจนไม่เคยทานหมด เหลือทิ้งตลอดจนน่าเสียดาย อยากให้มีการพัฒนารสชาติอาหาร</t>
  </si>
  <si>
    <t xml:space="preserve"> - อาหารเย็นเกินไป ไม่ร้อน (2)</t>
  </si>
  <si>
    <t xml:space="preserve"> - แอร์เย็นเกินไป (22B)</t>
  </si>
  <si>
    <t xml:space="preserve"> - วัน Admit ใช้เวลานาน เนื่องจากต้องรอทางตึกพร้อมรับเวร อยากให้มีระบบการจัดการที่รวดเร็วกว่านี้</t>
  </si>
  <si>
    <t xml:space="preserve"> - เสียงดัง (22C)</t>
  </si>
  <si>
    <t xml:space="preserve"> - ไม่มีเครื่องทำน้ำอุ่น (22C)</t>
  </si>
  <si>
    <t xml:space="preserve"> - ควรเพิ่มทางเลือกในการพูดคุยกับแพทย์ เช่น ช่องทางไลน์</t>
  </si>
  <si>
    <t xml:space="preserve"> - น้ำดื่มที่มีให้น้อยเกินไป (23A)</t>
  </si>
  <si>
    <t xml:space="preserve"> - ห้องพิเศษหายากมาก กว่าจะได้ต้องรอเวลานาน</t>
  </si>
  <si>
    <t xml:space="preserve"> - ระบบการติดต่อสอบถามไม่ดี</t>
  </si>
  <si>
    <t xml:space="preserve"> - อาหารเป็นไก่แทบทุกมื้อ</t>
  </si>
  <si>
    <t xml:space="preserve"> - ของใช้ที่มีให้ไม่เพียงพอ ควรมีการเติม (24A)</t>
  </si>
  <si>
    <t xml:space="preserve"> - ที่จอดรถ ลิฟต์ ค่อนข้างงง และแคบ ปรับปรุงที่จอดรถจะดีค่ะ เสามีรอบขูดเยอะ</t>
  </si>
  <si>
    <t xml:space="preserve"> - เพิ่มแก้วกาแฟ จาน ชาม ช้อน ส้อม (25A)</t>
  </si>
  <si>
    <t xml:space="preserve"> - ในห้องน้ำควรมีผ้าเช็ดเท้า (25A)</t>
  </si>
  <si>
    <t xml:space="preserve"> - เรื่องของญาติที่มาเฝ้าไข้ต้องอายุไม่เกิน 60 ปี ควรเปลี่ยนหรือพิจารณาเป็นเคสไป เพราะบางท่านก็ไม่ได้มีญาติเด็ก ๆ ว่างมาเฝ้า</t>
  </si>
  <si>
    <t xml:space="preserve"> - ปรับปรุงเรื่องอาหาร</t>
  </si>
  <si>
    <t xml:space="preserve"> - ผ้าเช็ดพื้นในห้องน้ำไม่มี (24A)</t>
  </si>
  <si>
    <t xml:space="preserve"> - การทำความสะอาดห้องน้ำควรเช็ดพื้นให้แห้ง ไม่ควรปล่อยไว้ให้เปียกน้ำและรอให้แห้ง  (24A)</t>
  </si>
  <si>
    <t xml:space="preserve"> - ห้องน้ำชักโครกรั่ว ฝาชักโครกนอตหลุด (25B)</t>
  </si>
  <si>
    <t xml:space="preserve"> - ควรปรับปรุงเรื่องการเก็บถาดอาหาร เพราะบางครั้งคนไข้ยังไม่ได้ทานอาหาร แต่จะมาขอเก็บถาดอาหาร เพราบอกว่าภาชนะใส่ไม่เพียงพอ ต้องนำไปให้ผู้ป่วยห้องอื่น</t>
  </si>
  <si>
    <t xml:space="preserve"> - เพิ่มรองเท้าเดินในห้อง (25B)</t>
  </si>
  <si>
    <t xml:space="preserve"> - ฝาชักโครกห้องน้ำไม่ดี (25B)</t>
  </si>
  <si>
    <t xml:space="preserve"> - เจอแมลงสาปค่อนข้างเยอะ บริเวณห้องน้ำ และโต๊ะอาหาร (25B)</t>
  </si>
  <si>
    <t xml:space="preserve"> - ในห้องน้ำ อาจจะให้มีราวตากผ้าเปียกเพิ่มขึ้นอีก 1 ราว (25B)</t>
  </si>
  <si>
    <t xml:space="preserve"> - มีกลิ่นไม่พึงประสงค์ 25B ห้อง 19  (25B)</t>
  </si>
  <si>
    <t xml:space="preserve"> - อยากให้มีตลาดนัดขายของกิน</t>
  </si>
  <si>
    <t>อันดับ 2 อุปกรณ์ เครื่องมือ และสถานที่ไม่สมบูรณ์ (OPD : 4   IPD : 19 )</t>
  </si>
  <si>
    <t>อันดับ 3 การทำงานและพฤติกรรมของบุคลากร (OPD : 2 IPD : 0 )</t>
  </si>
  <si>
    <t xml:space="preserve">   ฝากดูแลเรื่องนี้ด้วยนะคะ รอนานเกินไป บ้างครั้งมาตรวจรอเช้าก็แล้วยังจะข้ามให้ไปรอรอบบ่ายอีก</t>
  </si>
  <si>
    <t xml:space="preserve">   กรุณาปรับปรุงด้วยนะคะ</t>
  </si>
  <si>
    <t xml:space="preserve"> - ให้ลงคำแนะนำหรือติชม แล้วโรงพยาบาลเคยเอามาแก้ไข้ปรับปรุงบ้างไหมคะ โรงพยาบาลบาลใหญ่โตอยู่ในตัวอำเภอ แต่บริการไม่โอเคเลย รอคิวแต่ละจุดนานสุด ๆ คัดกรอกแล้วคัดกรอกอีก รอทั้งวันก็ไม่ได้ตรวจ </t>
  </si>
  <si>
    <t xml:space="preserve"> - รอนานเกินไปไหมลองไปพิจารณากันดูนะคะ มา 7 โมงเช้าเที่ยงก็ไม่ได้ตรวจ จะให้คนป่วยตายก่อนหรือยังไงคะ ตึกประกันสังคมมากี่ครั้งก็ผิดหวังตลอดจะอยู่ตึกเก่าหรือตึกใหม่ก็ไม่มีการปรับปรุงเรื่องนี้เลย </t>
  </si>
  <si>
    <t xml:space="preserve"> - การบริการค่อนข้างช้า ไปทีใช้เวลาเกือบทั้งวันเลยค่ะและเรื่องการตรวจสิทธิการรักษาทีแรกบอกไม่เสียเงินย้ำสอบถามหลายรอบแล้วแต่พอตรวจเสร็จพยาบาลบอกว่าแบบนี้ต้องจ่ายเงินเอง </t>
  </si>
  <si>
    <t xml:space="preserve">   การประสานงานหรือข้อมูลไม่ดีเลยค่ะ</t>
  </si>
  <si>
    <t>การเงินและบัญชี</t>
  </si>
  <si>
    <t>อันดับ 1 การให้บริการโดยรวม (OPD : 24  IPD : 14 )</t>
  </si>
  <si>
    <t xml:space="preserve"> - ควรมีเก้าอี้สำหรับญาติที่มาเยี่ยม มาเยี่ยมทียืนกันขาแข็ง (19D)</t>
  </si>
  <si>
    <t xml:space="preserve">174 </t>
  </si>
  <si>
    <t xml:space="preserve">   คนป่วยรอนาน นานจริง ๆ หรือว่าต้องมีเงินเท่านั้นถึงจะรักษาและบริการให้ดี ผู้ป่วยคนหนึ่งจรวจไม่ถึง 5 นาที แต่การรอยาวนาน ๆ ถ้าตายแล้วคงตาย รอเรียกคิวก็กว่าจะเรียก ไม่รู้รออะไรกัน</t>
  </si>
  <si>
    <t xml:space="preserve"> - รอทำใบนัดตั้งแต่ 10:00-15:00 น. ยังไม่ได้รับใบนัด ควรจัดการเรื่องเวลามากกว่านี้</t>
  </si>
  <si>
    <t xml:space="preserve"> - ค่าห้องน่าจะราคาถูกกว่านี้ แพงไปและของใช้เมื่อผู้ป่วยพักเกิน 2 คืนควรเติมให้ ทั้งน้ำดื่มญาติด้วย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</si>
</sst>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2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14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</cellXfs>
  <cellStyles count="18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" xfId="0" builtinId="0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opLeftCell="A69" zoomScale="90" zoomScaleNormal="90" zoomScaleSheetLayoutView="80" workbookViewId="0">
      <selection activeCell="E23" sqref="E23"/>
    </sheetView>
  </sheetViews>
  <sheetFormatPr defaultColWidth="9" defaultRowHeight="21"/>
  <cols>
    <col min="1" max="1" width="57.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7" s="13" customFormat="1" ht="49.7" customHeight="1">
      <c r="A1" s="96" t="s">
        <v>91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7" s="13" customFormat="1" ht="49.7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7" s="2" customFormat="1" ht="54.75" customHeight="1">
      <c r="A3" s="6" t="s">
        <v>0</v>
      </c>
      <c r="B3" s="87" t="s">
        <v>93</v>
      </c>
      <c r="C3" s="87" t="s">
        <v>73</v>
      </c>
      <c r="D3" s="87" t="s">
        <v>69</v>
      </c>
      <c r="E3" s="1" t="s">
        <v>2</v>
      </c>
      <c r="F3" s="1" t="s">
        <v>58</v>
      </c>
      <c r="G3" s="1" t="s">
        <v>64</v>
      </c>
      <c r="H3" s="1" t="s">
        <v>59</v>
      </c>
      <c r="I3" s="1" t="s">
        <v>3</v>
      </c>
      <c r="J3" s="1" t="s">
        <v>4</v>
      </c>
      <c r="K3" s="1" t="s">
        <v>61</v>
      </c>
      <c r="L3" s="1" t="s">
        <v>50</v>
      </c>
      <c r="M3" s="1" t="s">
        <v>44</v>
      </c>
      <c r="N3" s="1" t="s">
        <v>5</v>
      </c>
      <c r="O3" s="1" t="s">
        <v>66</v>
      </c>
      <c r="P3" s="1" t="s">
        <v>62</v>
      </c>
      <c r="Q3" s="1" t="s">
        <v>70</v>
      </c>
    </row>
    <row r="4" spans="1:17" s="83" customFormat="1" ht="24.75" customHeight="1" thickBot="1">
      <c r="A4" s="80" t="s">
        <v>9</v>
      </c>
      <c r="B4" s="26">
        <v>1</v>
      </c>
      <c r="C4" s="81">
        <v>2</v>
      </c>
      <c r="D4" s="61" t="s">
        <v>67</v>
      </c>
      <c r="E4" s="82">
        <v>14</v>
      </c>
      <c r="F4" s="91">
        <v>33</v>
      </c>
      <c r="G4" s="91">
        <v>21</v>
      </c>
      <c r="H4" s="61" t="s">
        <v>67</v>
      </c>
      <c r="I4" s="81">
        <v>1</v>
      </c>
      <c r="J4" s="61" t="s">
        <v>67</v>
      </c>
      <c r="K4" s="81">
        <v>8</v>
      </c>
      <c r="L4" s="81">
        <v>14</v>
      </c>
      <c r="M4" s="81">
        <v>54</v>
      </c>
      <c r="N4" s="81">
        <v>109</v>
      </c>
      <c r="O4" s="81">
        <v>3</v>
      </c>
      <c r="P4" s="81">
        <v>1</v>
      </c>
      <c r="Q4" s="81">
        <v>1</v>
      </c>
    </row>
    <row r="5" spans="1:17" s="2" customFormat="1" ht="24" customHeight="1" thickBot="1">
      <c r="A5" s="89" t="s">
        <v>75</v>
      </c>
      <c r="B5" s="25">
        <v>1</v>
      </c>
      <c r="C5" s="75">
        <v>5</v>
      </c>
      <c r="D5" s="61" t="s">
        <v>67</v>
      </c>
      <c r="E5" s="30">
        <v>4.5000000000000009</v>
      </c>
      <c r="F5" s="75">
        <v>4.2121212121212119</v>
      </c>
      <c r="G5" s="25">
        <v>3.4285714285714288</v>
      </c>
      <c r="H5" s="61" t="s">
        <v>67</v>
      </c>
      <c r="I5" s="25">
        <v>5</v>
      </c>
      <c r="J5" s="61" t="s">
        <v>67</v>
      </c>
      <c r="K5" s="20">
        <v>4.125</v>
      </c>
      <c r="L5" s="20">
        <v>4.4285714285714279</v>
      </c>
      <c r="M5" s="20">
        <v>4.2962962962962941</v>
      </c>
      <c r="N5" s="20">
        <v>4.2201834862385326</v>
      </c>
      <c r="O5" s="25">
        <v>5</v>
      </c>
      <c r="P5" s="61">
        <v>4</v>
      </c>
      <c r="Q5" s="61">
        <v>5</v>
      </c>
    </row>
    <row r="6" spans="1:17" s="2" customFormat="1" ht="24" customHeight="1" thickBot="1">
      <c r="A6" s="90" t="s">
        <v>76</v>
      </c>
      <c r="B6" s="25">
        <v>1</v>
      </c>
      <c r="C6" s="75">
        <v>5</v>
      </c>
      <c r="D6" s="61" t="s">
        <v>67</v>
      </c>
      <c r="E6" s="30">
        <v>4.4285714285714288</v>
      </c>
      <c r="F6" s="75">
        <v>4.121212121212122</v>
      </c>
      <c r="G6" s="25">
        <v>3.4761904761904763</v>
      </c>
      <c r="H6" s="61" t="s">
        <v>67</v>
      </c>
      <c r="I6" s="25">
        <v>5</v>
      </c>
      <c r="J6" s="61" t="s">
        <v>67</v>
      </c>
      <c r="K6" s="20">
        <v>4.2499999999999991</v>
      </c>
      <c r="L6" s="20">
        <v>4.3571428571428568</v>
      </c>
      <c r="M6" s="20">
        <v>4.333333333333333</v>
      </c>
      <c r="N6" s="20">
        <v>4.330275229357798</v>
      </c>
      <c r="O6" s="25">
        <v>5</v>
      </c>
      <c r="P6" s="61">
        <v>4</v>
      </c>
      <c r="Q6" s="61">
        <v>5</v>
      </c>
    </row>
    <row r="7" spans="1:17" s="2" customFormat="1" ht="24" customHeight="1" thickBot="1">
      <c r="A7" s="90" t="s">
        <v>77</v>
      </c>
      <c r="B7" s="25">
        <v>1</v>
      </c>
      <c r="C7" s="75">
        <v>5</v>
      </c>
      <c r="D7" s="61" t="s">
        <v>67</v>
      </c>
      <c r="E7" s="30">
        <v>4.5</v>
      </c>
      <c r="F7" s="75">
        <v>4.2727272727272716</v>
      </c>
      <c r="G7" s="25">
        <v>3.4285714285714288</v>
      </c>
      <c r="H7" s="61" t="s">
        <v>67</v>
      </c>
      <c r="I7" s="25">
        <v>5</v>
      </c>
      <c r="J7" s="61" t="s">
        <v>67</v>
      </c>
      <c r="K7" s="20">
        <v>4.125</v>
      </c>
      <c r="L7" s="20">
        <v>4.2857142857142856</v>
      </c>
      <c r="M7" s="20">
        <v>4.2592592592592586</v>
      </c>
      <c r="N7" s="20">
        <v>4.2935779816513735</v>
      </c>
      <c r="O7" s="25">
        <v>5</v>
      </c>
      <c r="P7" s="61">
        <v>4</v>
      </c>
      <c r="Q7" s="61">
        <v>5</v>
      </c>
    </row>
    <row r="8" spans="1:17" s="2" customFormat="1" ht="24" customHeight="1" thickBot="1">
      <c r="A8" s="90" t="s">
        <v>78</v>
      </c>
      <c r="B8" s="25">
        <v>1</v>
      </c>
      <c r="C8" s="75">
        <v>5</v>
      </c>
      <c r="D8" s="61" t="s">
        <v>67</v>
      </c>
      <c r="E8" s="30">
        <v>4.4285714285714288</v>
      </c>
      <c r="F8" s="75">
        <v>4.1818181818181808</v>
      </c>
      <c r="G8" s="25">
        <v>3.3809523809523809</v>
      </c>
      <c r="H8" s="61" t="s">
        <v>67</v>
      </c>
      <c r="I8" s="25">
        <v>5</v>
      </c>
      <c r="J8" s="61" t="s">
        <v>67</v>
      </c>
      <c r="K8" s="20">
        <v>4.2499999999999991</v>
      </c>
      <c r="L8" s="20">
        <v>4.4285714285714288</v>
      </c>
      <c r="M8" s="20">
        <v>4.2222222222222223</v>
      </c>
      <c r="N8" s="20">
        <v>4.2568807339449535</v>
      </c>
      <c r="O8" s="25">
        <v>5</v>
      </c>
      <c r="P8" s="61">
        <v>4</v>
      </c>
      <c r="Q8" s="61">
        <v>5</v>
      </c>
    </row>
    <row r="9" spans="1:17" s="2" customFormat="1" ht="24" customHeight="1" thickBot="1">
      <c r="A9" s="90" t="s">
        <v>79</v>
      </c>
      <c r="B9" s="25">
        <v>1</v>
      </c>
      <c r="C9" s="75">
        <v>5</v>
      </c>
      <c r="D9" s="61" t="s">
        <v>67</v>
      </c>
      <c r="E9" s="30">
        <v>4.3571428571428568</v>
      </c>
      <c r="F9" s="75">
        <v>3.7272727272727271</v>
      </c>
      <c r="G9" s="25">
        <v>3.2857142857142856</v>
      </c>
      <c r="H9" s="61" t="s">
        <v>67</v>
      </c>
      <c r="I9" s="25">
        <v>5</v>
      </c>
      <c r="J9" s="61" t="s">
        <v>67</v>
      </c>
      <c r="K9" s="20">
        <v>3.125</v>
      </c>
      <c r="L9" s="20">
        <v>4.3571428571428577</v>
      </c>
      <c r="M9" s="20">
        <v>4.1481481481481479</v>
      </c>
      <c r="N9" s="20">
        <v>4.2110091743119273</v>
      </c>
      <c r="O9" s="25">
        <v>5</v>
      </c>
      <c r="P9" s="61">
        <v>5</v>
      </c>
      <c r="Q9" s="61">
        <v>5</v>
      </c>
    </row>
    <row r="10" spans="1:17" s="2" customFormat="1" ht="24" customHeight="1" thickBot="1">
      <c r="A10" s="90" t="s">
        <v>80</v>
      </c>
      <c r="B10" s="25">
        <v>1</v>
      </c>
      <c r="C10" s="75">
        <v>5</v>
      </c>
      <c r="D10" s="61" t="s">
        <v>67</v>
      </c>
      <c r="E10" s="30">
        <v>4.4285714285714279</v>
      </c>
      <c r="F10" s="75">
        <v>3.9696969696969706</v>
      </c>
      <c r="G10" s="25">
        <v>3.2857142857142856</v>
      </c>
      <c r="H10" s="61" t="s">
        <v>67</v>
      </c>
      <c r="I10" s="25">
        <v>5</v>
      </c>
      <c r="J10" s="61" t="s">
        <v>67</v>
      </c>
      <c r="K10" s="20">
        <v>3.125</v>
      </c>
      <c r="L10" s="20">
        <v>4.2857142857142856</v>
      </c>
      <c r="M10" s="20">
        <v>4.148148148148147</v>
      </c>
      <c r="N10" s="20">
        <v>4.28440366972477</v>
      </c>
      <c r="O10" s="25">
        <v>5</v>
      </c>
      <c r="P10" s="61">
        <v>5</v>
      </c>
      <c r="Q10" s="61">
        <v>5</v>
      </c>
    </row>
    <row r="11" spans="1:17" s="2" customFormat="1" ht="24" customHeight="1" thickBot="1">
      <c r="A11" s="90" t="s">
        <v>81</v>
      </c>
      <c r="B11" s="25">
        <v>1</v>
      </c>
      <c r="C11" s="75">
        <v>5</v>
      </c>
      <c r="D11" s="61" t="s">
        <v>67</v>
      </c>
      <c r="E11" s="30">
        <v>4.4999999999999991</v>
      </c>
      <c r="F11" s="75">
        <v>3.8787878787878789</v>
      </c>
      <c r="G11" s="25">
        <v>3.2380952380952381</v>
      </c>
      <c r="H11" s="61" t="s">
        <v>67</v>
      </c>
      <c r="I11" s="25">
        <v>5</v>
      </c>
      <c r="J11" s="61" t="s">
        <v>67</v>
      </c>
      <c r="K11" s="20">
        <v>3.375</v>
      </c>
      <c r="L11" s="20">
        <v>4.3571428571428577</v>
      </c>
      <c r="M11" s="20">
        <v>4.0555555555555562</v>
      </c>
      <c r="N11" s="20">
        <v>4.2844036697247709</v>
      </c>
      <c r="O11" s="25">
        <v>5</v>
      </c>
      <c r="P11" s="61">
        <v>4</v>
      </c>
      <c r="Q11" s="61">
        <v>5</v>
      </c>
    </row>
    <row r="12" spans="1:17" s="2" customFormat="1" ht="24" customHeight="1" thickBot="1">
      <c r="A12" s="90" t="s">
        <v>82</v>
      </c>
      <c r="B12" s="25">
        <v>1</v>
      </c>
      <c r="C12" s="75">
        <v>5</v>
      </c>
      <c r="D12" s="61" t="s">
        <v>67</v>
      </c>
      <c r="E12" s="30">
        <v>4.3571428571428568</v>
      </c>
      <c r="F12" s="75">
        <v>4.0303030303030303</v>
      </c>
      <c r="G12" s="25">
        <v>3.3333333333333335</v>
      </c>
      <c r="H12" s="61" t="s">
        <v>67</v>
      </c>
      <c r="I12" s="25">
        <v>5</v>
      </c>
      <c r="J12" s="61" t="s">
        <v>67</v>
      </c>
      <c r="K12" s="20">
        <v>4.375</v>
      </c>
      <c r="L12" s="20">
        <v>4.2857142857142856</v>
      </c>
      <c r="M12" s="20">
        <v>4.2222222222222223</v>
      </c>
      <c r="N12" s="20">
        <v>4.330275229357798</v>
      </c>
      <c r="O12" s="25">
        <v>5</v>
      </c>
      <c r="P12" s="61">
        <v>4</v>
      </c>
      <c r="Q12" s="61">
        <v>5</v>
      </c>
    </row>
    <row r="13" spans="1:17" s="2" customFormat="1" ht="24" customHeight="1" thickBot="1">
      <c r="A13" s="90" t="s">
        <v>83</v>
      </c>
      <c r="B13" s="25">
        <v>1</v>
      </c>
      <c r="C13" s="75">
        <v>5</v>
      </c>
      <c r="D13" s="61" t="s">
        <v>67</v>
      </c>
      <c r="E13" s="30">
        <v>4.4999999999999991</v>
      </c>
      <c r="F13" s="75">
        <v>4.2121212121212119</v>
      </c>
      <c r="G13" s="25">
        <v>3.4761904761904763</v>
      </c>
      <c r="H13" s="61" t="s">
        <v>67</v>
      </c>
      <c r="I13" s="25">
        <v>5</v>
      </c>
      <c r="J13" s="61" t="s">
        <v>67</v>
      </c>
      <c r="K13" s="20">
        <v>3.625</v>
      </c>
      <c r="L13" s="20">
        <v>4.3571428571428577</v>
      </c>
      <c r="M13" s="20">
        <v>4.3333333333333339</v>
      </c>
      <c r="N13" s="20">
        <v>4.3211009174311927</v>
      </c>
      <c r="O13" s="25">
        <v>5</v>
      </c>
      <c r="P13" s="61">
        <v>5</v>
      </c>
      <c r="Q13" s="61">
        <v>5</v>
      </c>
    </row>
    <row r="14" spans="1:17" s="2" customFormat="1" ht="24" customHeight="1" thickBot="1">
      <c r="A14" s="90" t="s">
        <v>84</v>
      </c>
      <c r="B14" s="25">
        <v>1</v>
      </c>
      <c r="C14" s="75">
        <v>5</v>
      </c>
      <c r="D14" s="61" t="s">
        <v>67</v>
      </c>
      <c r="E14" s="30">
        <v>4.3571428571428568</v>
      </c>
      <c r="F14" s="75">
        <v>3.9090909090909092</v>
      </c>
      <c r="G14" s="25">
        <v>3.4761904761904763</v>
      </c>
      <c r="H14" s="61" t="s">
        <v>67</v>
      </c>
      <c r="I14" s="25">
        <v>5</v>
      </c>
      <c r="J14" s="61" t="s">
        <v>67</v>
      </c>
      <c r="K14" s="20">
        <v>3.5</v>
      </c>
      <c r="L14" s="20">
        <v>4.3571428571428577</v>
      </c>
      <c r="M14" s="20">
        <v>4.3333333333333339</v>
      </c>
      <c r="N14" s="20">
        <v>4.3669724770642224</v>
      </c>
      <c r="O14" s="25">
        <v>5</v>
      </c>
      <c r="P14" s="61">
        <v>5</v>
      </c>
      <c r="Q14" s="61">
        <v>5</v>
      </c>
    </row>
    <row r="15" spans="1:17" s="2" customFormat="1" ht="24" customHeight="1" thickBot="1">
      <c r="A15" s="90" t="s">
        <v>85</v>
      </c>
      <c r="B15" s="25">
        <v>1</v>
      </c>
      <c r="C15" s="75">
        <v>5</v>
      </c>
      <c r="D15" s="61" t="s">
        <v>67</v>
      </c>
      <c r="E15" s="30">
        <v>4.5714285714285712</v>
      </c>
      <c r="F15" s="75">
        <v>3.9696969696969697</v>
      </c>
      <c r="G15" s="25">
        <v>3.4285714285714284</v>
      </c>
      <c r="H15" s="61" t="s">
        <v>67</v>
      </c>
      <c r="I15" s="25">
        <v>5</v>
      </c>
      <c r="J15" s="61" t="s">
        <v>67</v>
      </c>
      <c r="K15" s="20">
        <v>3.5</v>
      </c>
      <c r="L15" s="20">
        <v>4.3571428571428577</v>
      </c>
      <c r="M15" s="20">
        <v>4.2222222222222232</v>
      </c>
      <c r="N15" s="20">
        <v>4.3027522935779805</v>
      </c>
      <c r="O15" s="25">
        <v>5</v>
      </c>
      <c r="P15" s="61">
        <v>4</v>
      </c>
      <c r="Q15" s="61">
        <v>5</v>
      </c>
    </row>
    <row r="16" spans="1:17" s="2" customFormat="1" ht="24" customHeight="1" thickBot="1">
      <c r="A16" s="90" t="s">
        <v>86</v>
      </c>
      <c r="B16" s="25">
        <v>1</v>
      </c>
      <c r="C16" s="75">
        <v>5</v>
      </c>
      <c r="D16" s="61" t="s">
        <v>67</v>
      </c>
      <c r="E16" s="30">
        <v>4.5</v>
      </c>
      <c r="F16" s="75">
        <v>4.3030303030303028</v>
      </c>
      <c r="G16" s="25">
        <v>3.4761904761904763</v>
      </c>
      <c r="H16" s="61" t="s">
        <v>67</v>
      </c>
      <c r="I16" s="25">
        <v>5</v>
      </c>
      <c r="J16" s="61" t="s">
        <v>67</v>
      </c>
      <c r="K16" s="20">
        <v>4.375</v>
      </c>
      <c r="L16" s="20">
        <v>4.5714285714285721</v>
      </c>
      <c r="M16" s="20">
        <v>4.2777777777777795</v>
      </c>
      <c r="N16" s="20">
        <v>4.3119266055045857</v>
      </c>
      <c r="O16" s="25">
        <v>5</v>
      </c>
      <c r="P16" s="61">
        <v>4</v>
      </c>
      <c r="Q16" s="61">
        <v>5</v>
      </c>
    </row>
    <row r="17" spans="1:18" s="2" customFormat="1" ht="24" customHeight="1" thickBot="1">
      <c r="A17" s="90" t="s">
        <v>87</v>
      </c>
      <c r="B17" s="25">
        <v>1</v>
      </c>
      <c r="C17" s="75">
        <v>5</v>
      </c>
      <c r="D17" s="61" t="s">
        <v>67</v>
      </c>
      <c r="E17" s="30">
        <v>4.5714285714285721</v>
      </c>
      <c r="F17" s="75">
        <v>4.2424242424242422</v>
      </c>
      <c r="G17" s="25">
        <v>3.5238095238095237</v>
      </c>
      <c r="H17" s="61" t="s">
        <v>67</v>
      </c>
      <c r="I17" s="25">
        <v>5</v>
      </c>
      <c r="J17" s="61" t="s">
        <v>67</v>
      </c>
      <c r="K17" s="20">
        <v>4.2499999999999991</v>
      </c>
      <c r="L17" s="20">
        <v>4.3571428571428568</v>
      </c>
      <c r="M17" s="20">
        <v>4.2407407407407405</v>
      </c>
      <c r="N17" s="20">
        <v>4.28440366972477</v>
      </c>
      <c r="O17" s="25">
        <v>5</v>
      </c>
      <c r="P17" s="61">
        <v>4</v>
      </c>
      <c r="Q17" s="61">
        <v>5</v>
      </c>
    </row>
    <row r="18" spans="1:18" s="2" customFormat="1" ht="24" customHeight="1" thickBot="1">
      <c r="A18" s="90" t="s">
        <v>88</v>
      </c>
      <c r="B18" s="25">
        <v>1</v>
      </c>
      <c r="C18" s="75">
        <v>5</v>
      </c>
      <c r="D18" s="61" t="s">
        <v>67</v>
      </c>
      <c r="E18" s="30">
        <v>4.4285714285714279</v>
      </c>
      <c r="F18" s="75">
        <v>4.0303030303030303</v>
      </c>
      <c r="G18" s="25">
        <v>3.5238095238095237</v>
      </c>
      <c r="H18" s="61" t="s">
        <v>67</v>
      </c>
      <c r="I18" s="25">
        <v>5</v>
      </c>
      <c r="J18" s="61" t="s">
        <v>67</v>
      </c>
      <c r="K18" s="20">
        <v>4.2499999999999991</v>
      </c>
      <c r="L18" s="20">
        <v>4.2857142857142856</v>
      </c>
      <c r="M18" s="20">
        <v>4.2407407407407396</v>
      </c>
      <c r="N18" s="20">
        <v>4.2935779816513735</v>
      </c>
      <c r="O18" s="25">
        <v>5</v>
      </c>
      <c r="P18" s="61">
        <v>4</v>
      </c>
      <c r="Q18" s="61">
        <v>5</v>
      </c>
    </row>
    <row r="19" spans="1:18" s="2" customFormat="1" ht="24" customHeight="1" thickBot="1">
      <c r="A19" s="90" t="s">
        <v>89</v>
      </c>
      <c r="B19" s="25">
        <v>1</v>
      </c>
      <c r="C19" s="75">
        <v>5</v>
      </c>
      <c r="D19" s="61" t="s">
        <v>67</v>
      </c>
      <c r="E19" s="30">
        <v>4.6428571428571423</v>
      </c>
      <c r="F19" s="75">
        <v>4.0606060606060606</v>
      </c>
      <c r="G19" s="25">
        <v>3.5238095238095242</v>
      </c>
      <c r="H19" s="61" t="s">
        <v>67</v>
      </c>
      <c r="I19" s="25">
        <v>5</v>
      </c>
      <c r="J19" s="61" t="s">
        <v>67</v>
      </c>
      <c r="K19" s="20">
        <v>4.2499999999999991</v>
      </c>
      <c r="L19" s="20">
        <v>4.5000000000000009</v>
      </c>
      <c r="M19" s="20">
        <v>4.333333333333333</v>
      </c>
      <c r="N19" s="20">
        <v>4.3302752293577988</v>
      </c>
      <c r="O19" s="25">
        <v>5</v>
      </c>
      <c r="P19" s="61">
        <v>4</v>
      </c>
      <c r="Q19" s="61">
        <v>5</v>
      </c>
    </row>
    <row r="20" spans="1:18" s="2" customFormat="1" ht="24" customHeight="1" thickBot="1">
      <c r="A20" s="90" t="s">
        <v>90</v>
      </c>
      <c r="B20" s="25">
        <v>1</v>
      </c>
      <c r="C20" s="75">
        <v>5</v>
      </c>
      <c r="D20" s="61" t="s">
        <v>67</v>
      </c>
      <c r="E20" s="30">
        <v>4.5714285714285721</v>
      </c>
      <c r="F20" s="75">
        <v>4.1818181818181817</v>
      </c>
      <c r="G20" s="25">
        <v>3.4761904761904763</v>
      </c>
      <c r="H20" s="61" t="s">
        <v>67</v>
      </c>
      <c r="I20" s="25">
        <v>5</v>
      </c>
      <c r="J20" s="61" t="s">
        <v>67</v>
      </c>
      <c r="K20" s="20">
        <v>3.375</v>
      </c>
      <c r="L20" s="20">
        <v>4.5000000000000009</v>
      </c>
      <c r="M20" s="20">
        <v>4.2962962962962941</v>
      </c>
      <c r="N20" s="20">
        <v>4.3211009174311927</v>
      </c>
      <c r="O20" s="25">
        <v>5</v>
      </c>
      <c r="P20" s="61">
        <v>4</v>
      </c>
      <c r="Q20" s="61">
        <v>5</v>
      </c>
    </row>
    <row r="21" spans="1:18" s="2" customFormat="1" ht="24" customHeight="1">
      <c r="A21" s="15" t="s">
        <v>10</v>
      </c>
      <c r="B21" s="25">
        <v>1</v>
      </c>
      <c r="C21" s="75">
        <v>5</v>
      </c>
      <c r="D21" s="61" t="s">
        <v>67</v>
      </c>
      <c r="E21" s="30">
        <v>4.4776785714285712</v>
      </c>
      <c r="F21" s="75">
        <v>4.0814393939393927</v>
      </c>
      <c r="G21" s="25">
        <v>3.4226190476190474</v>
      </c>
      <c r="H21" s="61" t="s">
        <v>67</v>
      </c>
      <c r="I21" s="25">
        <v>5</v>
      </c>
      <c r="J21" s="61" t="s">
        <v>67</v>
      </c>
      <c r="K21" s="20">
        <v>3.8671875</v>
      </c>
      <c r="L21" s="20">
        <v>4.3794642857142865</v>
      </c>
      <c r="M21" s="20">
        <v>4.247685185185186</v>
      </c>
      <c r="N21" s="20">
        <v>4.2964449541284404</v>
      </c>
      <c r="O21" s="25">
        <v>5</v>
      </c>
      <c r="P21" s="61">
        <v>4.25</v>
      </c>
      <c r="Q21" s="61">
        <v>5</v>
      </c>
    </row>
    <row r="22" spans="1:18" s="2" customFormat="1" ht="24.75" customHeight="1">
      <c r="A22" s="8" t="s">
        <v>11</v>
      </c>
      <c r="B22" s="63">
        <f t="shared" ref="B22:C22" si="0">B21*20</f>
        <v>20</v>
      </c>
      <c r="C22" s="63">
        <f t="shared" si="0"/>
        <v>100</v>
      </c>
      <c r="D22" s="61" t="s">
        <v>67</v>
      </c>
      <c r="E22" s="63">
        <f t="shared" ref="E22:I22" si="1">E21*20</f>
        <v>89.553571428571416</v>
      </c>
      <c r="F22" s="63">
        <f t="shared" si="1"/>
        <v>81.628787878787847</v>
      </c>
      <c r="G22" s="63">
        <f t="shared" si="1"/>
        <v>68.452380952380949</v>
      </c>
      <c r="H22" s="61" t="s">
        <v>67</v>
      </c>
      <c r="I22" s="63">
        <f t="shared" si="1"/>
        <v>100</v>
      </c>
      <c r="J22" s="61" t="s">
        <v>67</v>
      </c>
      <c r="K22" s="63">
        <f t="shared" ref="K22:Q22" si="2">K21*20</f>
        <v>77.34375</v>
      </c>
      <c r="L22" s="63">
        <f t="shared" si="2"/>
        <v>87.589285714285722</v>
      </c>
      <c r="M22" s="63">
        <f t="shared" si="2"/>
        <v>84.953703703703724</v>
      </c>
      <c r="N22" s="63">
        <f t="shared" si="2"/>
        <v>85.928899082568805</v>
      </c>
      <c r="O22" s="63">
        <f t="shared" si="2"/>
        <v>100</v>
      </c>
      <c r="P22" s="63">
        <f t="shared" si="2"/>
        <v>85</v>
      </c>
      <c r="Q22" s="63">
        <f t="shared" si="2"/>
        <v>100</v>
      </c>
    </row>
    <row r="23" spans="1:18">
      <c r="A23" s="16" t="s">
        <v>45</v>
      </c>
      <c r="B23" s="62">
        <v>0</v>
      </c>
      <c r="C23" s="22">
        <v>100</v>
      </c>
      <c r="D23" s="92" t="s">
        <v>67</v>
      </c>
      <c r="E23" s="62">
        <v>92.86</v>
      </c>
      <c r="F23" s="23">
        <v>96.79</v>
      </c>
      <c r="G23" s="62">
        <v>76.19</v>
      </c>
      <c r="H23" s="92" t="s">
        <v>67</v>
      </c>
      <c r="I23" s="77">
        <v>100</v>
      </c>
      <c r="J23" s="92" t="s">
        <v>67</v>
      </c>
      <c r="K23" s="62">
        <v>87.5</v>
      </c>
      <c r="L23" s="62">
        <v>85.71</v>
      </c>
      <c r="M23" s="62">
        <v>96.3</v>
      </c>
      <c r="N23" s="62">
        <v>99.08</v>
      </c>
      <c r="O23" s="77">
        <v>100</v>
      </c>
      <c r="P23" s="92">
        <v>100</v>
      </c>
      <c r="Q23" s="92">
        <v>100</v>
      </c>
    </row>
    <row r="25" spans="1:18" ht="24" customHeight="1"/>
    <row r="26" spans="1:18" ht="59.25" customHeight="1">
      <c r="A26" s="6" t="s">
        <v>0</v>
      </c>
      <c r="B26" s="1" t="s">
        <v>55</v>
      </c>
      <c r="C26" s="1" t="s">
        <v>7</v>
      </c>
      <c r="D26" s="1" t="s">
        <v>6</v>
      </c>
      <c r="E26" s="1" t="s">
        <v>8</v>
      </c>
      <c r="F26" s="1" t="s">
        <v>57</v>
      </c>
      <c r="G26" s="1" t="s">
        <v>63</v>
      </c>
      <c r="H26" s="1" t="s">
        <v>60</v>
      </c>
      <c r="I26" s="1" t="s">
        <v>12</v>
      </c>
      <c r="J26" s="1" t="s">
        <v>46</v>
      </c>
      <c r="K26" s="1" t="s">
        <v>71</v>
      </c>
      <c r="L26" s="1" t="s">
        <v>72</v>
      </c>
      <c r="M26" s="1" t="s">
        <v>51</v>
      </c>
      <c r="N26" s="1" t="s">
        <v>56</v>
      </c>
      <c r="O26" s="1" t="s">
        <v>1</v>
      </c>
      <c r="P26" s="1" t="s">
        <v>36</v>
      </c>
      <c r="Q26" s="1" t="s">
        <v>74</v>
      </c>
      <c r="R26" s="1" t="s">
        <v>164</v>
      </c>
    </row>
    <row r="27" spans="1:18" s="27" customFormat="1" ht="24" customHeight="1" thickBot="1">
      <c r="A27" s="8" t="s">
        <v>9</v>
      </c>
      <c r="B27" s="61" t="s">
        <v>67</v>
      </c>
      <c r="C27" s="61">
        <v>1</v>
      </c>
      <c r="D27" s="61">
        <v>1</v>
      </c>
      <c r="E27" s="26">
        <v>8</v>
      </c>
      <c r="F27" s="26">
        <v>65</v>
      </c>
      <c r="G27" s="61">
        <v>15</v>
      </c>
      <c r="H27" s="26">
        <v>35</v>
      </c>
      <c r="I27" s="61" t="s">
        <v>67</v>
      </c>
      <c r="J27" s="26">
        <v>25</v>
      </c>
      <c r="K27" s="61" t="s">
        <v>67</v>
      </c>
      <c r="L27" s="61" t="s">
        <v>67</v>
      </c>
      <c r="M27" s="26">
        <v>7</v>
      </c>
      <c r="N27" s="26">
        <v>1</v>
      </c>
      <c r="O27" s="26">
        <v>2</v>
      </c>
      <c r="P27" s="26">
        <v>10</v>
      </c>
      <c r="Q27" s="61">
        <v>1</v>
      </c>
      <c r="R27" s="61" t="s">
        <v>67</v>
      </c>
    </row>
    <row r="28" spans="1:18" ht="24" customHeight="1" thickBot="1">
      <c r="A28" s="89" t="s">
        <v>75</v>
      </c>
      <c r="B28" s="61" t="s">
        <v>67</v>
      </c>
      <c r="C28" s="61">
        <v>4</v>
      </c>
      <c r="D28" s="61">
        <v>5</v>
      </c>
      <c r="E28" s="20">
        <v>4.875</v>
      </c>
      <c r="F28" s="25">
        <v>4.7384615384615385</v>
      </c>
      <c r="G28" s="88">
        <v>5</v>
      </c>
      <c r="H28" s="20">
        <v>4.5428571428571436</v>
      </c>
      <c r="I28" s="61" t="s">
        <v>67</v>
      </c>
      <c r="J28" s="20">
        <v>4.8000000000000007</v>
      </c>
      <c r="K28" s="61" t="s">
        <v>67</v>
      </c>
      <c r="L28" s="61" t="s">
        <v>67</v>
      </c>
      <c r="M28" s="25">
        <v>4.7142857142857144</v>
      </c>
      <c r="N28" s="20">
        <v>5</v>
      </c>
      <c r="O28" s="25">
        <v>4</v>
      </c>
      <c r="P28" s="25">
        <v>4.5</v>
      </c>
      <c r="Q28" s="75">
        <v>5</v>
      </c>
      <c r="R28" s="61" t="s">
        <v>67</v>
      </c>
    </row>
    <row r="29" spans="1:18" ht="24" customHeight="1" thickBot="1">
      <c r="A29" s="90" t="s">
        <v>76</v>
      </c>
      <c r="B29" s="61" t="s">
        <v>67</v>
      </c>
      <c r="C29" s="61">
        <v>4</v>
      </c>
      <c r="D29" s="61">
        <v>5</v>
      </c>
      <c r="E29" s="20">
        <v>4.875</v>
      </c>
      <c r="F29" s="25">
        <v>4.7538461538461538</v>
      </c>
      <c r="G29" s="88">
        <v>5</v>
      </c>
      <c r="H29" s="20">
        <v>4.4857142857142849</v>
      </c>
      <c r="I29" s="61" t="s">
        <v>67</v>
      </c>
      <c r="J29" s="20">
        <v>4.6399999999999997</v>
      </c>
      <c r="K29" s="61" t="s">
        <v>67</v>
      </c>
      <c r="L29" s="61" t="s">
        <v>67</v>
      </c>
      <c r="M29" s="25">
        <v>4.7142857142857144</v>
      </c>
      <c r="N29" s="20">
        <v>5</v>
      </c>
      <c r="O29" s="25">
        <v>4</v>
      </c>
      <c r="P29" s="25">
        <v>4.3</v>
      </c>
      <c r="Q29" s="75">
        <v>5</v>
      </c>
      <c r="R29" s="61" t="s">
        <v>67</v>
      </c>
    </row>
    <row r="30" spans="1:18" ht="24" customHeight="1" thickBot="1">
      <c r="A30" s="90" t="s">
        <v>77</v>
      </c>
      <c r="B30" s="61" t="s">
        <v>67</v>
      </c>
      <c r="C30" s="61">
        <v>4</v>
      </c>
      <c r="D30" s="61">
        <v>4</v>
      </c>
      <c r="E30" s="20">
        <v>4.875</v>
      </c>
      <c r="F30" s="25">
        <v>4.6615384615384627</v>
      </c>
      <c r="G30" s="88">
        <v>5</v>
      </c>
      <c r="H30" s="20">
        <v>4.4285714285714279</v>
      </c>
      <c r="I30" s="61" t="s">
        <v>67</v>
      </c>
      <c r="J30" s="20">
        <v>4.6399999999999997</v>
      </c>
      <c r="K30" s="61" t="s">
        <v>67</v>
      </c>
      <c r="L30" s="61" t="s">
        <v>67</v>
      </c>
      <c r="M30" s="25">
        <v>4.7142857142857144</v>
      </c>
      <c r="N30" s="20">
        <v>5</v>
      </c>
      <c r="O30" s="25">
        <v>4</v>
      </c>
      <c r="P30" s="25">
        <v>4.4000000000000012</v>
      </c>
      <c r="Q30" s="75">
        <v>5</v>
      </c>
      <c r="R30" s="61" t="s">
        <v>67</v>
      </c>
    </row>
    <row r="31" spans="1:18" ht="24" customHeight="1" thickBot="1">
      <c r="A31" s="90" t="s">
        <v>78</v>
      </c>
      <c r="B31" s="61" t="s">
        <v>67</v>
      </c>
      <c r="C31" s="61">
        <v>4</v>
      </c>
      <c r="D31" s="61">
        <v>4</v>
      </c>
      <c r="E31" s="20">
        <v>4.75</v>
      </c>
      <c r="F31" s="25">
        <v>4.6923076923076907</v>
      </c>
      <c r="G31" s="88">
        <v>5</v>
      </c>
      <c r="H31" s="20">
        <v>4.4857142857142849</v>
      </c>
      <c r="I31" s="61" t="s">
        <v>67</v>
      </c>
      <c r="J31" s="20">
        <v>4.72</v>
      </c>
      <c r="K31" s="61" t="s">
        <v>67</v>
      </c>
      <c r="L31" s="61" t="s">
        <v>67</v>
      </c>
      <c r="M31" s="25">
        <v>4.7142857142857144</v>
      </c>
      <c r="N31" s="20">
        <v>5</v>
      </c>
      <c r="O31" s="25">
        <v>4</v>
      </c>
      <c r="P31" s="25">
        <v>4.5</v>
      </c>
      <c r="Q31" s="75">
        <v>5</v>
      </c>
      <c r="R31" s="61" t="s">
        <v>67</v>
      </c>
    </row>
    <row r="32" spans="1:18" ht="24" customHeight="1" thickBot="1">
      <c r="A32" s="90" t="s">
        <v>79</v>
      </c>
      <c r="B32" s="61" t="s">
        <v>67</v>
      </c>
      <c r="C32" s="61">
        <v>4</v>
      </c>
      <c r="D32" s="61">
        <v>5</v>
      </c>
      <c r="E32" s="20">
        <v>4.75</v>
      </c>
      <c r="F32" s="25">
        <v>4.415384615384613</v>
      </c>
      <c r="G32" s="88">
        <v>5</v>
      </c>
      <c r="H32" s="20">
        <v>4.4857142857142849</v>
      </c>
      <c r="I32" s="61" t="s">
        <v>67</v>
      </c>
      <c r="J32" s="20">
        <v>4.68</v>
      </c>
      <c r="K32" s="61" t="s">
        <v>67</v>
      </c>
      <c r="L32" s="61" t="s">
        <v>67</v>
      </c>
      <c r="M32" s="25">
        <v>4.7142857142857144</v>
      </c>
      <c r="N32" s="20">
        <v>4</v>
      </c>
      <c r="O32" s="25">
        <v>2.5</v>
      </c>
      <c r="P32" s="25">
        <v>4.7</v>
      </c>
      <c r="Q32" s="75">
        <v>5</v>
      </c>
      <c r="R32" s="61" t="s">
        <v>67</v>
      </c>
    </row>
    <row r="33" spans="1:18" ht="24" customHeight="1" thickBot="1">
      <c r="A33" s="90" t="s">
        <v>80</v>
      </c>
      <c r="B33" s="61" t="s">
        <v>67</v>
      </c>
      <c r="C33" s="61">
        <v>4</v>
      </c>
      <c r="D33" s="61">
        <v>5</v>
      </c>
      <c r="E33" s="20">
        <v>4.875</v>
      </c>
      <c r="F33" s="25">
        <v>4.5999999999999996</v>
      </c>
      <c r="G33" s="88">
        <v>5</v>
      </c>
      <c r="H33" s="20">
        <v>4.4857142857142849</v>
      </c>
      <c r="I33" s="61" t="s">
        <v>67</v>
      </c>
      <c r="J33" s="20">
        <v>4.72</v>
      </c>
      <c r="K33" s="61" t="s">
        <v>67</v>
      </c>
      <c r="L33" s="61" t="s">
        <v>67</v>
      </c>
      <c r="M33" s="25">
        <v>4.8571428571428568</v>
      </c>
      <c r="N33" s="20">
        <v>4</v>
      </c>
      <c r="O33" s="25">
        <v>2</v>
      </c>
      <c r="P33" s="25">
        <v>4.7</v>
      </c>
      <c r="Q33" s="75">
        <v>5</v>
      </c>
      <c r="R33" s="61" t="s">
        <v>67</v>
      </c>
    </row>
    <row r="34" spans="1:18" ht="24" customHeight="1" thickBot="1">
      <c r="A34" s="90" t="s">
        <v>81</v>
      </c>
      <c r="B34" s="61" t="s">
        <v>67</v>
      </c>
      <c r="C34" s="61">
        <v>4</v>
      </c>
      <c r="D34" s="61">
        <v>4</v>
      </c>
      <c r="E34" s="20">
        <v>4.75</v>
      </c>
      <c r="F34" s="25">
        <v>4.5999999999999996</v>
      </c>
      <c r="G34" s="88">
        <v>5</v>
      </c>
      <c r="H34" s="20">
        <v>4.5142857142857142</v>
      </c>
      <c r="I34" s="61" t="s">
        <v>67</v>
      </c>
      <c r="J34" s="20">
        <v>4.72</v>
      </c>
      <c r="K34" s="61" t="s">
        <v>67</v>
      </c>
      <c r="L34" s="61" t="s">
        <v>67</v>
      </c>
      <c r="M34" s="25">
        <v>5</v>
      </c>
      <c r="N34" s="20">
        <v>4</v>
      </c>
      <c r="O34" s="25">
        <v>2</v>
      </c>
      <c r="P34" s="25">
        <v>4.5</v>
      </c>
      <c r="Q34" s="75">
        <v>5</v>
      </c>
      <c r="R34" s="61" t="s">
        <v>67</v>
      </c>
    </row>
    <row r="35" spans="1:18" ht="24" customHeight="1" thickBot="1">
      <c r="A35" s="90" t="s">
        <v>82</v>
      </c>
      <c r="B35" s="61" t="s">
        <v>67</v>
      </c>
      <c r="C35" s="61">
        <v>4</v>
      </c>
      <c r="D35" s="61">
        <v>4</v>
      </c>
      <c r="E35" s="20">
        <v>4.375</v>
      </c>
      <c r="F35" s="25">
        <v>4.569230769230769</v>
      </c>
      <c r="G35" s="88">
        <v>5</v>
      </c>
      <c r="H35" s="20">
        <v>4.4857142857142849</v>
      </c>
      <c r="I35" s="61" t="s">
        <v>67</v>
      </c>
      <c r="J35" s="20">
        <v>4.5199999999999996</v>
      </c>
      <c r="K35" s="61" t="s">
        <v>67</v>
      </c>
      <c r="L35" s="61" t="s">
        <v>67</v>
      </c>
      <c r="M35" s="25">
        <v>4.5714285714285712</v>
      </c>
      <c r="N35" s="20">
        <v>5</v>
      </c>
      <c r="O35" s="25">
        <v>4</v>
      </c>
      <c r="P35" s="25">
        <v>4.4000000000000012</v>
      </c>
      <c r="Q35" s="75">
        <v>5</v>
      </c>
      <c r="R35" s="61" t="s">
        <v>67</v>
      </c>
    </row>
    <row r="36" spans="1:18" ht="24" customHeight="1" thickBot="1">
      <c r="A36" s="90" t="s">
        <v>83</v>
      </c>
      <c r="B36" s="61" t="s">
        <v>67</v>
      </c>
      <c r="C36" s="61">
        <v>4</v>
      </c>
      <c r="D36" s="61">
        <v>4</v>
      </c>
      <c r="E36" s="20">
        <v>4.375</v>
      </c>
      <c r="F36" s="25">
        <v>4.6461538461538456</v>
      </c>
      <c r="G36" s="88">
        <v>5</v>
      </c>
      <c r="H36" s="20">
        <v>4.5142857142857142</v>
      </c>
      <c r="I36" s="61" t="s">
        <v>67</v>
      </c>
      <c r="J36" s="20">
        <v>4.5599999999999996</v>
      </c>
      <c r="K36" s="61" t="s">
        <v>67</v>
      </c>
      <c r="L36" s="61" t="s">
        <v>67</v>
      </c>
      <c r="M36" s="25">
        <v>5</v>
      </c>
      <c r="N36" s="20">
        <v>5</v>
      </c>
      <c r="O36" s="25">
        <v>4</v>
      </c>
      <c r="P36" s="25">
        <v>4.6000000000000005</v>
      </c>
      <c r="Q36" s="75">
        <v>5</v>
      </c>
      <c r="R36" s="61" t="s">
        <v>67</v>
      </c>
    </row>
    <row r="37" spans="1:18" ht="24" customHeight="1" thickBot="1">
      <c r="A37" s="90" t="s">
        <v>84</v>
      </c>
      <c r="B37" s="61" t="s">
        <v>67</v>
      </c>
      <c r="C37" s="61">
        <v>4</v>
      </c>
      <c r="D37" s="61">
        <v>5</v>
      </c>
      <c r="E37" s="20">
        <v>4.3750000000000009</v>
      </c>
      <c r="F37" s="25">
        <v>4.5384615384615383</v>
      </c>
      <c r="G37" s="88">
        <v>5</v>
      </c>
      <c r="H37" s="20">
        <v>4.5428571428571436</v>
      </c>
      <c r="I37" s="61" t="s">
        <v>67</v>
      </c>
      <c r="J37" s="20">
        <v>4.6399999999999997</v>
      </c>
      <c r="K37" s="61" t="s">
        <v>67</v>
      </c>
      <c r="L37" s="61" t="s">
        <v>67</v>
      </c>
      <c r="M37" s="25">
        <v>5</v>
      </c>
      <c r="N37" s="20">
        <v>5</v>
      </c>
      <c r="O37" s="25">
        <v>4</v>
      </c>
      <c r="P37" s="25">
        <v>4.4000000000000004</v>
      </c>
      <c r="Q37" s="75">
        <v>5</v>
      </c>
      <c r="R37" s="61" t="s">
        <v>67</v>
      </c>
    </row>
    <row r="38" spans="1:18" ht="24" customHeight="1" thickBot="1">
      <c r="A38" s="90" t="s">
        <v>85</v>
      </c>
      <c r="B38" s="61" t="s">
        <v>67</v>
      </c>
      <c r="C38" s="61">
        <v>4</v>
      </c>
      <c r="D38" s="61">
        <v>5</v>
      </c>
      <c r="E38" s="20">
        <v>4.3750000000000009</v>
      </c>
      <c r="F38" s="25">
        <v>4.6153846153846132</v>
      </c>
      <c r="G38" s="88">
        <v>5</v>
      </c>
      <c r="H38" s="20">
        <v>4.4857142857142849</v>
      </c>
      <c r="I38" s="61" t="s">
        <v>67</v>
      </c>
      <c r="J38" s="20">
        <v>4.68</v>
      </c>
      <c r="K38" s="61" t="s">
        <v>67</v>
      </c>
      <c r="L38" s="61" t="s">
        <v>67</v>
      </c>
      <c r="M38" s="25">
        <v>4.8571428571428568</v>
      </c>
      <c r="N38" s="20">
        <v>5</v>
      </c>
      <c r="O38" s="25">
        <v>4.5</v>
      </c>
      <c r="P38" s="25">
        <v>4.4000000000000012</v>
      </c>
      <c r="Q38" s="75">
        <v>5</v>
      </c>
      <c r="R38" s="61" t="s">
        <v>67</v>
      </c>
    </row>
    <row r="39" spans="1:18" ht="24" customHeight="1" thickBot="1">
      <c r="A39" s="90" t="s">
        <v>86</v>
      </c>
      <c r="B39" s="61" t="s">
        <v>67</v>
      </c>
      <c r="C39" s="61">
        <v>4</v>
      </c>
      <c r="D39" s="61">
        <v>5</v>
      </c>
      <c r="E39" s="20">
        <v>4.75</v>
      </c>
      <c r="F39" s="25">
        <v>4.6769230769230798</v>
      </c>
      <c r="G39" s="88">
        <v>5</v>
      </c>
      <c r="H39" s="20">
        <v>4.4571428571428564</v>
      </c>
      <c r="I39" s="61" t="s">
        <v>67</v>
      </c>
      <c r="J39" s="20">
        <v>4.5999999999999996</v>
      </c>
      <c r="K39" s="61" t="s">
        <v>67</v>
      </c>
      <c r="L39" s="61" t="s">
        <v>67</v>
      </c>
      <c r="M39" s="25">
        <v>4.8571428571428568</v>
      </c>
      <c r="N39" s="20">
        <v>5</v>
      </c>
      <c r="O39" s="25">
        <v>4</v>
      </c>
      <c r="P39" s="25">
        <v>4.5</v>
      </c>
      <c r="Q39" s="75">
        <v>5</v>
      </c>
      <c r="R39" s="61" t="s">
        <v>67</v>
      </c>
    </row>
    <row r="40" spans="1:18" ht="24" customHeight="1" thickBot="1">
      <c r="A40" s="90" t="s">
        <v>87</v>
      </c>
      <c r="B40" s="61" t="s">
        <v>67</v>
      </c>
      <c r="C40" s="61">
        <v>4</v>
      </c>
      <c r="D40" s="61">
        <v>4</v>
      </c>
      <c r="E40" s="20">
        <v>4.375</v>
      </c>
      <c r="F40" s="25">
        <v>4.6307692307692321</v>
      </c>
      <c r="G40" s="88">
        <v>5</v>
      </c>
      <c r="H40" s="20">
        <v>4.4285714285714288</v>
      </c>
      <c r="I40" s="61" t="s">
        <v>67</v>
      </c>
      <c r="J40" s="20">
        <v>4.68</v>
      </c>
      <c r="K40" s="61" t="s">
        <v>67</v>
      </c>
      <c r="L40" s="61" t="s">
        <v>67</v>
      </c>
      <c r="M40" s="25">
        <v>4.8571428571428568</v>
      </c>
      <c r="N40" s="20">
        <v>4</v>
      </c>
      <c r="O40" s="25">
        <v>4</v>
      </c>
      <c r="P40" s="25">
        <v>4.5</v>
      </c>
      <c r="Q40" s="75">
        <v>5</v>
      </c>
      <c r="R40" s="61" t="s">
        <v>67</v>
      </c>
    </row>
    <row r="41" spans="1:18" ht="24" customHeight="1" thickBot="1">
      <c r="A41" s="90" t="s">
        <v>88</v>
      </c>
      <c r="B41" s="61" t="s">
        <v>67</v>
      </c>
      <c r="C41" s="61">
        <v>4</v>
      </c>
      <c r="D41" s="61">
        <v>5</v>
      </c>
      <c r="E41" s="20">
        <v>4</v>
      </c>
      <c r="F41" s="25">
        <v>4.6461538461538447</v>
      </c>
      <c r="G41" s="88">
        <v>5</v>
      </c>
      <c r="H41" s="20">
        <v>4.4857142857142849</v>
      </c>
      <c r="I41" s="61" t="s">
        <v>67</v>
      </c>
      <c r="J41" s="20">
        <v>4.72</v>
      </c>
      <c r="K41" s="61" t="s">
        <v>67</v>
      </c>
      <c r="L41" s="61" t="s">
        <v>67</v>
      </c>
      <c r="M41" s="25">
        <v>5</v>
      </c>
      <c r="N41" s="20">
        <v>4</v>
      </c>
      <c r="O41" s="25">
        <v>3.5</v>
      </c>
      <c r="P41" s="25">
        <v>4.4000000000000012</v>
      </c>
      <c r="Q41" s="75">
        <v>5</v>
      </c>
      <c r="R41" s="61" t="s">
        <v>67</v>
      </c>
    </row>
    <row r="42" spans="1:18" ht="24" customHeight="1" thickBot="1">
      <c r="A42" s="90" t="s">
        <v>89</v>
      </c>
      <c r="B42" s="61" t="s">
        <v>67</v>
      </c>
      <c r="C42" s="61">
        <v>4</v>
      </c>
      <c r="D42" s="61">
        <v>5</v>
      </c>
      <c r="E42" s="20">
        <v>4.75</v>
      </c>
      <c r="F42" s="25">
        <v>4.7076923076923087</v>
      </c>
      <c r="G42" s="88">
        <v>5</v>
      </c>
      <c r="H42" s="20">
        <v>4.4571428571428564</v>
      </c>
      <c r="I42" s="61" t="s">
        <v>67</v>
      </c>
      <c r="J42" s="20">
        <v>4.7199999999999989</v>
      </c>
      <c r="K42" s="61" t="s">
        <v>67</v>
      </c>
      <c r="L42" s="61" t="s">
        <v>67</v>
      </c>
      <c r="M42" s="25">
        <v>4.8571428571428568</v>
      </c>
      <c r="N42" s="20">
        <v>5</v>
      </c>
      <c r="O42" s="25">
        <v>3.5</v>
      </c>
      <c r="P42" s="25">
        <v>4.4000000000000012</v>
      </c>
      <c r="Q42" s="75">
        <v>5</v>
      </c>
      <c r="R42" s="61" t="s">
        <v>67</v>
      </c>
    </row>
    <row r="43" spans="1:18" ht="24" customHeight="1" thickBot="1">
      <c r="A43" s="90" t="s">
        <v>90</v>
      </c>
      <c r="B43" s="61" t="s">
        <v>67</v>
      </c>
      <c r="C43" s="61">
        <v>4</v>
      </c>
      <c r="D43" s="61">
        <v>5</v>
      </c>
      <c r="E43" s="20">
        <v>4.5</v>
      </c>
      <c r="F43" s="25">
        <v>4.6923076923076925</v>
      </c>
      <c r="G43" s="88">
        <v>5</v>
      </c>
      <c r="H43" s="20">
        <v>4.6285714285714281</v>
      </c>
      <c r="I43" s="61" t="s">
        <v>67</v>
      </c>
      <c r="J43" s="20">
        <v>4.72</v>
      </c>
      <c r="K43" s="61" t="s">
        <v>67</v>
      </c>
      <c r="L43" s="61" t="s">
        <v>67</v>
      </c>
      <c r="M43" s="25">
        <v>5</v>
      </c>
      <c r="N43" s="20">
        <v>5</v>
      </c>
      <c r="O43" s="25">
        <v>2.5</v>
      </c>
      <c r="P43" s="25">
        <v>4.5</v>
      </c>
      <c r="Q43" s="75">
        <v>5</v>
      </c>
      <c r="R43" s="61" t="s">
        <v>67</v>
      </c>
    </row>
    <row r="44" spans="1:18" ht="24" customHeight="1">
      <c r="A44" s="8" t="s">
        <v>10</v>
      </c>
      <c r="B44" s="61" t="s">
        <v>67</v>
      </c>
      <c r="C44" s="61">
        <v>4</v>
      </c>
      <c r="D44" s="61">
        <v>4.63</v>
      </c>
      <c r="E44" s="20">
        <v>4.6015625</v>
      </c>
      <c r="F44" s="25">
        <v>4.6365384615384615</v>
      </c>
      <c r="G44" s="88">
        <v>5</v>
      </c>
      <c r="H44" s="20">
        <v>4.4946428571428561</v>
      </c>
      <c r="I44" s="61" t="s">
        <v>67</v>
      </c>
      <c r="J44" s="20">
        <v>4.6724999999999994</v>
      </c>
      <c r="K44" s="61" t="s">
        <v>67</v>
      </c>
      <c r="L44" s="61" t="s">
        <v>67</v>
      </c>
      <c r="M44" s="25">
        <v>4.8392857142857135</v>
      </c>
      <c r="N44" s="20">
        <v>4.6875</v>
      </c>
      <c r="O44" s="25">
        <v>3.53125</v>
      </c>
      <c r="P44" s="25">
        <v>4.4812499999999993</v>
      </c>
      <c r="Q44" s="75">
        <v>5</v>
      </c>
      <c r="R44" s="61" t="s">
        <v>67</v>
      </c>
    </row>
    <row r="45" spans="1:18">
      <c r="A45" s="8" t="s">
        <v>11</v>
      </c>
      <c r="B45" s="61" t="s">
        <v>67</v>
      </c>
      <c r="C45" s="63">
        <f t="shared" ref="C45:H45" si="3">C44*20</f>
        <v>80</v>
      </c>
      <c r="D45" s="63">
        <f t="shared" si="3"/>
        <v>92.6</v>
      </c>
      <c r="E45" s="63">
        <f t="shared" si="3"/>
        <v>92.03125</v>
      </c>
      <c r="F45" s="63">
        <f t="shared" si="3"/>
        <v>92.730769230769226</v>
      </c>
      <c r="G45" s="63">
        <f t="shared" si="3"/>
        <v>100</v>
      </c>
      <c r="H45" s="63">
        <f t="shared" si="3"/>
        <v>89.892857142857125</v>
      </c>
      <c r="I45" s="61" t="s">
        <v>67</v>
      </c>
      <c r="J45" s="63">
        <f t="shared" ref="J45:Q45" si="4">J44*20</f>
        <v>93.449999999999989</v>
      </c>
      <c r="K45" s="61" t="s">
        <v>67</v>
      </c>
      <c r="L45" s="61" t="s">
        <v>67</v>
      </c>
      <c r="M45" s="63">
        <f t="shared" si="4"/>
        <v>96.785714285714278</v>
      </c>
      <c r="N45" s="63">
        <f t="shared" si="4"/>
        <v>93.75</v>
      </c>
      <c r="O45" s="63">
        <f t="shared" si="4"/>
        <v>70.625</v>
      </c>
      <c r="P45" s="63">
        <f t="shared" si="4"/>
        <v>89.624999999999986</v>
      </c>
      <c r="Q45" s="63">
        <f t="shared" si="4"/>
        <v>100</v>
      </c>
      <c r="R45" s="61" t="s">
        <v>67</v>
      </c>
    </row>
    <row r="46" spans="1:18">
      <c r="A46" s="76" t="s">
        <v>45</v>
      </c>
      <c r="B46" s="92" t="s">
        <v>67</v>
      </c>
      <c r="C46" s="79">
        <v>100</v>
      </c>
      <c r="D46" s="79">
        <v>100</v>
      </c>
      <c r="E46" s="77">
        <v>87.5</v>
      </c>
      <c r="F46" s="77">
        <v>100</v>
      </c>
      <c r="G46" s="79">
        <v>100</v>
      </c>
      <c r="H46" s="77">
        <v>97.14</v>
      </c>
      <c r="I46" s="92" t="s">
        <v>67</v>
      </c>
      <c r="J46" s="77">
        <v>100</v>
      </c>
      <c r="K46" s="92" t="s">
        <v>67</v>
      </c>
      <c r="L46" s="92" t="s">
        <v>67</v>
      </c>
      <c r="M46" s="77">
        <v>100</v>
      </c>
      <c r="N46" s="77">
        <v>100</v>
      </c>
      <c r="O46" s="78">
        <v>100</v>
      </c>
      <c r="P46" s="78">
        <v>90</v>
      </c>
      <c r="Q46" s="77">
        <v>100</v>
      </c>
      <c r="R46" s="92" t="s">
        <v>67</v>
      </c>
    </row>
    <row r="48" spans="1:18" ht="24" customHeight="1"/>
    <row r="49" spans="1:14" s="14" customFormat="1" ht="24" customHeight="1">
      <c r="A49" s="6" t="s">
        <v>0</v>
      </c>
      <c r="B49" s="5" t="s">
        <v>47</v>
      </c>
      <c r="C49" s="5" t="s">
        <v>13</v>
      </c>
      <c r="D49" s="5" t="s">
        <v>49</v>
      </c>
      <c r="E49" s="5" t="s">
        <v>15</v>
      </c>
      <c r="F49" s="17" t="s">
        <v>53</v>
      </c>
      <c r="G49" s="5" t="s">
        <v>16</v>
      </c>
      <c r="H49" s="5" t="s">
        <v>17</v>
      </c>
      <c r="I49" s="5" t="s">
        <v>18</v>
      </c>
      <c r="J49" s="5" t="s">
        <v>19</v>
      </c>
      <c r="K49" s="5" t="s">
        <v>20</v>
      </c>
      <c r="L49" s="5" t="s">
        <v>48</v>
      </c>
      <c r="M49" s="5" t="s">
        <v>21</v>
      </c>
      <c r="N49" s="5" t="s">
        <v>22</v>
      </c>
    </row>
    <row r="50" spans="1:14" s="27" customFormat="1" ht="24" customHeight="1" thickBot="1">
      <c r="A50" s="8" t="s">
        <v>9</v>
      </c>
      <c r="B50" s="26">
        <v>33</v>
      </c>
      <c r="C50" s="31">
        <v>56</v>
      </c>
      <c r="D50" s="26">
        <v>39</v>
      </c>
      <c r="E50" s="26">
        <v>13</v>
      </c>
      <c r="F50" s="61" t="s">
        <v>67</v>
      </c>
      <c r="G50" s="26">
        <v>81</v>
      </c>
      <c r="H50" s="26">
        <v>54</v>
      </c>
      <c r="I50" s="61" t="s">
        <v>67</v>
      </c>
      <c r="J50" s="61">
        <v>25</v>
      </c>
      <c r="K50" s="28">
        <v>31</v>
      </c>
      <c r="L50" s="26">
        <v>39</v>
      </c>
      <c r="M50" s="26">
        <v>56</v>
      </c>
      <c r="N50" s="26">
        <v>53</v>
      </c>
    </row>
    <row r="51" spans="1:14" ht="24" customHeight="1" thickBot="1">
      <c r="A51" s="89" t="s">
        <v>75</v>
      </c>
      <c r="B51" s="21">
        <v>4.575757575757577</v>
      </c>
      <c r="C51" s="32">
        <v>4.0892857142857144</v>
      </c>
      <c r="D51" s="21">
        <v>4.7179487179487181</v>
      </c>
      <c r="E51" s="21">
        <v>4.615384615384615</v>
      </c>
      <c r="F51" s="61" t="s">
        <v>67</v>
      </c>
      <c r="G51" s="21">
        <v>4.5679012345679002</v>
      </c>
      <c r="H51" s="21">
        <v>4.5370370370370372</v>
      </c>
      <c r="I51" s="61" t="s">
        <v>67</v>
      </c>
      <c r="J51" s="61">
        <v>4.7600000000000016</v>
      </c>
      <c r="K51" s="21">
        <v>4.5161290322580649</v>
      </c>
      <c r="L51" s="21">
        <v>4.4871794871794881</v>
      </c>
      <c r="M51" s="21">
        <v>4.4999999999999991</v>
      </c>
      <c r="N51" s="24">
        <v>4.5471698113207548</v>
      </c>
    </row>
    <row r="52" spans="1:14" ht="24" customHeight="1" thickBot="1">
      <c r="A52" s="90" t="s">
        <v>76</v>
      </c>
      <c r="B52" s="21">
        <v>4.575757575757577</v>
      </c>
      <c r="C52" s="32">
        <v>4.1250000000000009</v>
      </c>
      <c r="D52" s="21">
        <v>4.7179487179487181</v>
      </c>
      <c r="E52" s="21">
        <v>4.5384615384615383</v>
      </c>
      <c r="F52" s="61" t="s">
        <v>67</v>
      </c>
      <c r="G52" s="21">
        <v>4.617283950617284</v>
      </c>
      <c r="H52" s="21">
        <v>4.4814814814814827</v>
      </c>
      <c r="I52" s="61" t="s">
        <v>67</v>
      </c>
      <c r="J52" s="61">
        <v>4.7600000000000016</v>
      </c>
      <c r="K52" s="21">
        <v>4.5161290322580649</v>
      </c>
      <c r="L52" s="21">
        <v>4.5128205128205128</v>
      </c>
      <c r="M52" s="21">
        <v>4.4464285714285703</v>
      </c>
      <c r="N52" s="24">
        <v>4.5660377358490551</v>
      </c>
    </row>
    <row r="53" spans="1:14" ht="24" customHeight="1" thickBot="1">
      <c r="A53" s="90" t="s">
        <v>77</v>
      </c>
      <c r="B53" s="21">
        <v>4.575757575757577</v>
      </c>
      <c r="C53" s="32">
        <v>4.1785714285714297</v>
      </c>
      <c r="D53" s="21">
        <v>4.6153846153846159</v>
      </c>
      <c r="E53" s="21">
        <v>4.3846153846153832</v>
      </c>
      <c r="F53" s="61" t="s">
        <v>67</v>
      </c>
      <c r="G53" s="21">
        <v>4.5432098765432114</v>
      </c>
      <c r="H53" s="21">
        <v>4.5370370370370372</v>
      </c>
      <c r="I53" s="61" t="s">
        <v>67</v>
      </c>
      <c r="J53" s="61">
        <v>4.84</v>
      </c>
      <c r="K53" s="21">
        <v>4.4193548387096779</v>
      </c>
      <c r="L53" s="21">
        <v>4.5128205128205128</v>
      </c>
      <c r="M53" s="21">
        <v>4.4107142857142847</v>
      </c>
      <c r="N53" s="24">
        <v>4.6037735849056602</v>
      </c>
    </row>
    <row r="54" spans="1:14" ht="24" customHeight="1" thickBot="1">
      <c r="A54" s="90" t="s">
        <v>78</v>
      </c>
      <c r="B54" s="21">
        <v>4.4848484848484853</v>
      </c>
      <c r="C54" s="32">
        <v>4.1428571428571441</v>
      </c>
      <c r="D54" s="21">
        <v>4.6153846153846159</v>
      </c>
      <c r="E54" s="21">
        <v>4.4615384615384599</v>
      </c>
      <c r="F54" s="61" t="s">
        <v>67</v>
      </c>
      <c r="G54" s="21">
        <v>4.5925925925925917</v>
      </c>
      <c r="H54" s="21">
        <v>4.5740740740740735</v>
      </c>
      <c r="I54" s="61" t="s">
        <v>67</v>
      </c>
      <c r="J54" s="61">
        <v>4.8000000000000007</v>
      </c>
      <c r="K54" s="21">
        <v>4.225806451612903</v>
      </c>
      <c r="L54" s="21">
        <v>4.4871794871794881</v>
      </c>
      <c r="M54" s="21">
        <v>4.4642857142857135</v>
      </c>
      <c r="N54" s="24">
        <v>4.5471698113207539</v>
      </c>
    </row>
    <row r="55" spans="1:14" ht="24" customHeight="1" thickBot="1">
      <c r="A55" s="90" t="s">
        <v>79</v>
      </c>
      <c r="B55" s="21">
        <v>4.4848484848484853</v>
      </c>
      <c r="C55" s="32">
        <v>4.1250000000000009</v>
      </c>
      <c r="D55" s="21">
        <v>4.5641025641025639</v>
      </c>
      <c r="E55" s="21">
        <v>4.615384615384615</v>
      </c>
      <c r="F55" s="61" t="s">
        <v>67</v>
      </c>
      <c r="G55" s="21">
        <v>4.6172839506172823</v>
      </c>
      <c r="H55" s="21">
        <v>4.5</v>
      </c>
      <c r="I55" s="61" t="s">
        <v>67</v>
      </c>
      <c r="J55" s="61">
        <v>4.72</v>
      </c>
      <c r="K55" s="21">
        <v>3.9354838709677424</v>
      </c>
      <c r="L55" s="21">
        <v>4.4102564102564097</v>
      </c>
      <c r="M55" s="21">
        <v>4.4821428571428559</v>
      </c>
      <c r="N55" s="24">
        <v>4.4905660377358485</v>
      </c>
    </row>
    <row r="56" spans="1:14" ht="24" customHeight="1" thickBot="1">
      <c r="A56" s="90" t="s">
        <v>80</v>
      </c>
      <c r="B56" s="21">
        <v>4.575757575757577</v>
      </c>
      <c r="C56" s="32">
        <v>4.1607142857142865</v>
      </c>
      <c r="D56" s="21">
        <v>4.6923076923076934</v>
      </c>
      <c r="E56" s="21">
        <v>4.5384615384615374</v>
      </c>
      <c r="F56" s="61" t="s">
        <v>67</v>
      </c>
      <c r="G56" s="21">
        <v>4.5679012345679002</v>
      </c>
      <c r="H56" s="21">
        <v>4.4629629629629619</v>
      </c>
      <c r="I56" s="61" t="s">
        <v>67</v>
      </c>
      <c r="J56" s="61">
        <v>4.68</v>
      </c>
      <c r="K56" s="21">
        <v>4.1612903225806459</v>
      </c>
      <c r="L56" s="21">
        <v>4.4358974358974361</v>
      </c>
      <c r="M56" s="21">
        <v>4.4464285714285703</v>
      </c>
      <c r="N56" s="24">
        <v>4.5471698113207548</v>
      </c>
    </row>
    <row r="57" spans="1:14" ht="24" customHeight="1" thickBot="1">
      <c r="A57" s="90" t="s">
        <v>81</v>
      </c>
      <c r="B57" s="21">
        <v>4.575757575757577</v>
      </c>
      <c r="C57" s="32">
        <v>4.1964285714285712</v>
      </c>
      <c r="D57" s="21">
        <v>4.5897435897435903</v>
      </c>
      <c r="E57" s="21">
        <v>4.615384615384615</v>
      </c>
      <c r="F57" s="61" t="s">
        <v>67</v>
      </c>
      <c r="G57" s="21">
        <v>4.5432098765432096</v>
      </c>
      <c r="H57" s="21">
        <v>4.5740740740740735</v>
      </c>
      <c r="I57" s="61" t="s">
        <v>67</v>
      </c>
      <c r="J57" s="61">
        <v>4.84</v>
      </c>
      <c r="K57" s="21">
        <v>4.3548387096774199</v>
      </c>
      <c r="L57" s="21">
        <v>4.5128205128205119</v>
      </c>
      <c r="M57" s="21">
        <v>4.428571428571427</v>
      </c>
      <c r="N57" s="24">
        <v>4.5471698113207539</v>
      </c>
    </row>
    <row r="58" spans="1:14" ht="24" customHeight="1" thickBot="1">
      <c r="A58" s="90" t="s">
        <v>82</v>
      </c>
      <c r="B58" s="21">
        <v>4.454545454545455</v>
      </c>
      <c r="C58" s="32">
        <v>4.1607142857142865</v>
      </c>
      <c r="D58" s="21">
        <v>4.5384615384615383</v>
      </c>
      <c r="E58" s="21">
        <v>4.5384615384615383</v>
      </c>
      <c r="F58" s="61" t="s">
        <v>67</v>
      </c>
      <c r="G58" s="21">
        <v>4.5432098765432114</v>
      </c>
      <c r="H58" s="21">
        <v>4.4814814814814818</v>
      </c>
      <c r="I58" s="61" t="s">
        <v>67</v>
      </c>
      <c r="J58" s="61">
        <v>4.72</v>
      </c>
      <c r="K58" s="21">
        <v>4.225806451612903</v>
      </c>
      <c r="L58" s="21">
        <v>4.3846153846153841</v>
      </c>
      <c r="M58" s="21">
        <v>4.4464285714285703</v>
      </c>
      <c r="N58" s="24">
        <v>4.4905660377358485</v>
      </c>
    </row>
    <row r="59" spans="1:14" ht="24" customHeight="1" thickBot="1">
      <c r="A59" s="90" t="s">
        <v>83</v>
      </c>
      <c r="B59" s="21">
        <v>4.4848484848484853</v>
      </c>
      <c r="C59" s="32">
        <v>4.1607142857142856</v>
      </c>
      <c r="D59" s="21">
        <v>4.6410256410256396</v>
      </c>
      <c r="E59" s="21">
        <v>4.3846153846153841</v>
      </c>
      <c r="F59" s="61" t="s">
        <v>67</v>
      </c>
      <c r="G59" s="21">
        <v>4.5925925925925917</v>
      </c>
      <c r="H59" s="21">
        <v>4.5740740740740735</v>
      </c>
      <c r="I59" s="61" t="s">
        <v>67</v>
      </c>
      <c r="J59" s="61">
        <v>4.8000000000000007</v>
      </c>
      <c r="K59" s="21">
        <v>4.290322580645161</v>
      </c>
      <c r="L59" s="21">
        <v>4.5897435897435894</v>
      </c>
      <c r="M59" s="21">
        <v>4.5</v>
      </c>
      <c r="N59" s="24">
        <v>4.6603773584905648</v>
      </c>
    </row>
    <row r="60" spans="1:14" ht="24" customHeight="1" thickBot="1">
      <c r="A60" s="90" t="s">
        <v>84</v>
      </c>
      <c r="B60" s="21">
        <v>4.575757575757577</v>
      </c>
      <c r="C60" s="32">
        <v>4.1785714285714297</v>
      </c>
      <c r="D60" s="21">
        <v>4.6666666666666661</v>
      </c>
      <c r="E60" s="21">
        <v>4.615384615384615</v>
      </c>
      <c r="F60" s="61" t="s">
        <v>67</v>
      </c>
      <c r="G60" s="21">
        <v>4.666666666666667</v>
      </c>
      <c r="H60" s="21">
        <v>4.5740740740740735</v>
      </c>
      <c r="I60" s="61" t="s">
        <v>67</v>
      </c>
      <c r="J60" s="61">
        <v>4.6399999999999997</v>
      </c>
      <c r="K60" s="21">
        <v>4.1935483870967749</v>
      </c>
      <c r="L60" s="21">
        <v>4.4358974358974361</v>
      </c>
      <c r="M60" s="21">
        <v>4.4464285714285703</v>
      </c>
      <c r="N60" s="24">
        <v>4.5660377358490551</v>
      </c>
    </row>
    <row r="61" spans="1:14" ht="24" customHeight="1" thickBot="1">
      <c r="A61" s="90" t="s">
        <v>85</v>
      </c>
      <c r="B61" s="21">
        <v>4.5454545454545459</v>
      </c>
      <c r="C61" s="32">
        <v>4.1785714285714297</v>
      </c>
      <c r="D61" s="21">
        <v>4.6153846153846159</v>
      </c>
      <c r="E61" s="21">
        <v>4.615384615384615</v>
      </c>
      <c r="F61" s="61" t="s">
        <v>67</v>
      </c>
      <c r="G61" s="21">
        <v>4.5802469135802477</v>
      </c>
      <c r="H61" s="21">
        <v>4.6666666666666652</v>
      </c>
      <c r="I61" s="61" t="s">
        <v>67</v>
      </c>
      <c r="J61" s="61">
        <v>4.8000000000000007</v>
      </c>
      <c r="K61" s="21">
        <v>4.290322580645161</v>
      </c>
      <c r="L61" s="21">
        <v>4.4358974358974361</v>
      </c>
      <c r="M61" s="21">
        <v>4.5</v>
      </c>
      <c r="N61" s="24">
        <v>4.6037735849056602</v>
      </c>
    </row>
    <row r="62" spans="1:14" ht="24" customHeight="1" thickBot="1">
      <c r="A62" s="90" t="s">
        <v>86</v>
      </c>
      <c r="B62" s="21">
        <v>4.5151515151515156</v>
      </c>
      <c r="C62" s="32">
        <v>4.1071428571428585</v>
      </c>
      <c r="D62" s="21">
        <v>4.6410256410256396</v>
      </c>
      <c r="E62" s="21">
        <v>4.3846153846153832</v>
      </c>
      <c r="F62" s="61" t="s">
        <v>67</v>
      </c>
      <c r="G62" s="21">
        <v>4.6049382716049374</v>
      </c>
      <c r="H62" s="21">
        <v>4.5555555555555562</v>
      </c>
      <c r="I62" s="61" t="s">
        <v>67</v>
      </c>
      <c r="J62" s="61">
        <v>4.84</v>
      </c>
      <c r="K62" s="21">
        <v>4.3548387096774199</v>
      </c>
      <c r="L62" s="21">
        <v>4.4615384615384617</v>
      </c>
      <c r="M62" s="21">
        <v>4.4107142857142847</v>
      </c>
      <c r="N62" s="24">
        <v>4.5471698113207539</v>
      </c>
    </row>
    <row r="63" spans="1:14" ht="24" customHeight="1" thickBot="1">
      <c r="A63" s="90" t="s">
        <v>87</v>
      </c>
      <c r="B63" s="21">
        <v>4.5454545454545459</v>
      </c>
      <c r="C63" s="32">
        <v>4.1071428571428577</v>
      </c>
      <c r="D63" s="21">
        <v>4.6410256410256396</v>
      </c>
      <c r="E63" s="21">
        <v>4.4615384615384608</v>
      </c>
      <c r="F63" s="61" t="s">
        <v>67</v>
      </c>
      <c r="G63" s="21">
        <v>4.5679012345679011</v>
      </c>
      <c r="H63" s="21">
        <v>4.5555555555555562</v>
      </c>
      <c r="I63" s="61" t="s">
        <v>67</v>
      </c>
      <c r="J63" s="61">
        <v>4.68</v>
      </c>
      <c r="K63" s="21">
        <v>4.32258064516129</v>
      </c>
      <c r="L63" s="21">
        <v>4.4871794871794863</v>
      </c>
      <c r="M63" s="21">
        <v>4.3571428571428585</v>
      </c>
      <c r="N63" s="24">
        <v>4.5094339622641506</v>
      </c>
    </row>
    <row r="64" spans="1:14" ht="24" customHeight="1" thickBot="1">
      <c r="A64" s="90" t="s">
        <v>88</v>
      </c>
      <c r="B64" s="21">
        <v>4.5151515151515156</v>
      </c>
      <c r="C64" s="32">
        <v>4.1071428571428577</v>
      </c>
      <c r="D64" s="21">
        <v>4.6410256410256396</v>
      </c>
      <c r="E64" s="21">
        <v>4.4615384615384608</v>
      </c>
      <c r="F64" s="61" t="s">
        <v>67</v>
      </c>
      <c r="G64" s="21">
        <v>4.6172839506172823</v>
      </c>
      <c r="H64" s="21">
        <v>4.5</v>
      </c>
      <c r="I64" s="61" t="s">
        <v>67</v>
      </c>
      <c r="J64" s="61">
        <v>4.68</v>
      </c>
      <c r="K64" s="21">
        <v>4.387096774193548</v>
      </c>
      <c r="L64" s="21">
        <v>4.4358974358974361</v>
      </c>
      <c r="M64" s="21">
        <v>4.5178571428571406</v>
      </c>
      <c r="N64" s="24">
        <v>4.5849056603773573</v>
      </c>
    </row>
    <row r="65" spans="1:16" ht="24" customHeight="1" thickBot="1">
      <c r="A65" s="90" t="s">
        <v>89</v>
      </c>
      <c r="B65" s="21">
        <v>4.4848484848484853</v>
      </c>
      <c r="C65" s="32">
        <v>4.1071428571428577</v>
      </c>
      <c r="D65" s="21">
        <v>4.6153846153846159</v>
      </c>
      <c r="E65" s="21">
        <v>4.5384615384615383</v>
      </c>
      <c r="F65" s="61" t="s">
        <v>67</v>
      </c>
      <c r="G65" s="21">
        <v>4.6543209876543212</v>
      </c>
      <c r="H65" s="21">
        <v>4.5555555555555562</v>
      </c>
      <c r="I65" s="61" t="s">
        <v>67</v>
      </c>
      <c r="J65" s="61">
        <v>4.76</v>
      </c>
      <c r="K65" s="21">
        <v>4.3548387096774199</v>
      </c>
      <c r="L65" s="21">
        <v>4.4871794871794863</v>
      </c>
      <c r="M65" s="21">
        <v>4.5</v>
      </c>
      <c r="N65" s="24">
        <v>4.6226415094339632</v>
      </c>
    </row>
    <row r="66" spans="1:16" ht="24" customHeight="1" thickBot="1">
      <c r="A66" s="90" t="s">
        <v>90</v>
      </c>
      <c r="B66" s="21">
        <v>4.5454545454545459</v>
      </c>
      <c r="C66" s="32">
        <v>4.1785714285714297</v>
      </c>
      <c r="D66" s="21">
        <v>4.7435897435897454</v>
      </c>
      <c r="E66" s="21">
        <v>4.7692307692307692</v>
      </c>
      <c r="F66" s="61" t="s">
        <v>67</v>
      </c>
      <c r="G66" s="21">
        <v>4.654320987654323</v>
      </c>
      <c r="H66" s="21">
        <v>4.648148148148147</v>
      </c>
      <c r="I66" s="61" t="s">
        <v>67</v>
      </c>
      <c r="J66" s="61">
        <v>4.839999999999999</v>
      </c>
      <c r="K66" s="21">
        <v>4.3548387096774199</v>
      </c>
      <c r="L66" s="21">
        <v>4.5384615384615374</v>
      </c>
      <c r="M66" s="21">
        <v>4.5178571428571423</v>
      </c>
      <c r="N66" s="24">
        <v>4.6603773584905674</v>
      </c>
    </row>
    <row r="67" spans="1:16" ht="24" customHeight="1">
      <c r="A67" s="8" t="s">
        <v>10</v>
      </c>
      <c r="B67" s="21">
        <v>4.5321969696969697</v>
      </c>
      <c r="C67" s="74">
        <v>4.1439732142857144</v>
      </c>
      <c r="D67" s="21">
        <v>4.6410256410256396</v>
      </c>
      <c r="E67" s="21">
        <v>4.5336538461538476</v>
      </c>
      <c r="F67" s="61" t="s">
        <v>67</v>
      </c>
      <c r="G67" s="21">
        <v>4.5956790123456805</v>
      </c>
      <c r="H67" s="21">
        <v>4.5486111111111116</v>
      </c>
      <c r="I67" s="61" t="s">
        <v>67</v>
      </c>
      <c r="J67" s="61">
        <v>4.7600000000000007</v>
      </c>
      <c r="K67" s="21">
        <v>4.3064516129032251</v>
      </c>
      <c r="L67" s="21">
        <v>4.4759615384615383</v>
      </c>
      <c r="M67" s="21">
        <v>4.4609375</v>
      </c>
      <c r="N67" s="24">
        <v>4.5683962264150937</v>
      </c>
    </row>
    <row r="68" spans="1:16">
      <c r="A68" s="8" t="s">
        <v>11</v>
      </c>
      <c r="B68" s="63">
        <f t="shared" ref="B68:N68" si="5">B67*20</f>
        <v>90.643939393939391</v>
      </c>
      <c r="C68" s="63">
        <f t="shared" si="5"/>
        <v>82.879464285714292</v>
      </c>
      <c r="D68" s="63">
        <f t="shared" si="5"/>
        <v>92.820512820512789</v>
      </c>
      <c r="E68" s="63">
        <f t="shared" si="5"/>
        <v>90.673076923076948</v>
      </c>
      <c r="F68" s="61" t="s">
        <v>67</v>
      </c>
      <c r="G68" s="63">
        <f t="shared" si="5"/>
        <v>91.913580246913611</v>
      </c>
      <c r="H68" s="63">
        <f t="shared" si="5"/>
        <v>90.972222222222229</v>
      </c>
      <c r="I68" s="61" t="s">
        <v>67</v>
      </c>
      <c r="J68" s="63">
        <f t="shared" si="5"/>
        <v>95.200000000000017</v>
      </c>
      <c r="K68" s="63">
        <f t="shared" si="5"/>
        <v>86.129032258064498</v>
      </c>
      <c r="L68" s="63">
        <f t="shared" si="5"/>
        <v>89.519230769230774</v>
      </c>
      <c r="M68" s="63">
        <f t="shared" si="5"/>
        <v>89.21875</v>
      </c>
      <c r="N68" s="63">
        <f t="shared" si="5"/>
        <v>91.36792452830187</v>
      </c>
    </row>
    <row r="69" spans="1:16">
      <c r="A69" s="16" t="s">
        <v>45</v>
      </c>
      <c r="B69" s="62">
        <v>100</v>
      </c>
      <c r="C69" s="62">
        <v>100</v>
      </c>
      <c r="D69" s="62">
        <v>100</v>
      </c>
      <c r="E69" s="62">
        <v>92.31</v>
      </c>
      <c r="F69" s="22" t="s">
        <v>67</v>
      </c>
      <c r="G69" s="62">
        <v>100</v>
      </c>
      <c r="H69" s="64">
        <v>100</v>
      </c>
      <c r="I69" s="22" t="s">
        <v>67</v>
      </c>
      <c r="J69" s="62">
        <v>100</v>
      </c>
      <c r="K69" s="62">
        <v>100</v>
      </c>
      <c r="L69" s="62">
        <v>100</v>
      </c>
      <c r="M69" s="62">
        <v>98.21</v>
      </c>
      <c r="N69" s="62">
        <v>100</v>
      </c>
    </row>
    <row r="71" spans="1:16" ht="24" customHeight="1"/>
    <row r="72" spans="1:16" s="14" customFormat="1" ht="24" customHeight="1">
      <c r="A72" s="7" t="s">
        <v>0</v>
      </c>
      <c r="B72" s="5" t="s">
        <v>23</v>
      </c>
      <c r="C72" s="5" t="s">
        <v>24</v>
      </c>
      <c r="D72" s="5" t="s">
        <v>25</v>
      </c>
      <c r="E72" s="9" t="s">
        <v>26</v>
      </c>
      <c r="F72" s="5" t="s">
        <v>27</v>
      </c>
      <c r="G72" s="5" t="s">
        <v>28</v>
      </c>
      <c r="H72" s="5" t="s">
        <v>29</v>
      </c>
      <c r="I72" s="5" t="s">
        <v>30</v>
      </c>
      <c r="J72" s="5" t="s">
        <v>31</v>
      </c>
      <c r="K72" s="5" t="s">
        <v>32</v>
      </c>
      <c r="L72" s="5" t="s">
        <v>33</v>
      </c>
      <c r="M72" s="5" t="s">
        <v>14</v>
      </c>
      <c r="N72" s="5" t="s">
        <v>65</v>
      </c>
      <c r="O72" s="27"/>
      <c r="P72" s="3"/>
    </row>
    <row r="73" spans="1:16" s="27" customFormat="1" ht="24" customHeight="1" thickBot="1">
      <c r="A73" s="8" t="s">
        <v>9</v>
      </c>
      <c r="B73" s="26">
        <v>31</v>
      </c>
      <c r="C73" s="26">
        <v>17</v>
      </c>
      <c r="D73" s="26">
        <v>43</v>
      </c>
      <c r="E73" s="26">
        <v>62</v>
      </c>
      <c r="F73" s="26">
        <v>76</v>
      </c>
      <c r="G73" s="26">
        <v>39</v>
      </c>
      <c r="H73" s="26">
        <v>42</v>
      </c>
      <c r="I73" s="26">
        <v>74</v>
      </c>
      <c r="J73" s="26">
        <v>58</v>
      </c>
      <c r="K73" s="61" t="s">
        <v>67</v>
      </c>
      <c r="L73" s="61">
        <v>44</v>
      </c>
      <c r="M73" s="19">
        <v>22</v>
      </c>
      <c r="N73" s="61" t="s">
        <v>67</v>
      </c>
      <c r="O73" s="3"/>
      <c r="P73" s="66"/>
    </row>
    <row r="74" spans="1:16" ht="24" customHeight="1" thickBot="1">
      <c r="A74" s="89" t="s">
        <v>75</v>
      </c>
      <c r="B74" s="21">
        <v>4.5161290322580649</v>
      </c>
      <c r="C74" s="21">
        <v>4.6470588235294121</v>
      </c>
      <c r="D74" s="21">
        <v>4.6976744186046506</v>
      </c>
      <c r="E74" s="21">
        <v>4.6935483870967749</v>
      </c>
      <c r="F74" s="21">
        <v>4.6184210526315814</v>
      </c>
      <c r="G74" s="21">
        <v>4.5128205128205128</v>
      </c>
      <c r="H74" s="21">
        <v>4.7619047619047619</v>
      </c>
      <c r="I74" s="21">
        <v>4.7297297297297289</v>
      </c>
      <c r="J74" s="21">
        <v>4.7758620689655178</v>
      </c>
      <c r="K74" s="61" t="s">
        <v>67</v>
      </c>
      <c r="L74" s="21">
        <v>4.704545454545455</v>
      </c>
      <c r="M74" s="21">
        <v>4.6818181818181817</v>
      </c>
      <c r="N74" s="61" t="s">
        <v>67</v>
      </c>
    </row>
    <row r="75" spans="1:16" ht="24" customHeight="1" thickBot="1">
      <c r="A75" s="90" t="s">
        <v>76</v>
      </c>
      <c r="B75" s="21">
        <v>4.4838709677419368</v>
      </c>
      <c r="C75" s="21">
        <v>4.6470588235294121</v>
      </c>
      <c r="D75" s="21">
        <v>4.6744186046511613</v>
      </c>
      <c r="E75" s="21">
        <v>4.645161290322581</v>
      </c>
      <c r="F75" s="21">
        <v>4.6315789473684204</v>
      </c>
      <c r="G75" s="21">
        <v>4.5641025641025639</v>
      </c>
      <c r="H75" s="21">
        <v>4.7380952380952372</v>
      </c>
      <c r="I75" s="21">
        <v>4.7027027027027026</v>
      </c>
      <c r="J75" s="21">
        <v>4.7241379310344831</v>
      </c>
      <c r="K75" s="61" t="s">
        <v>67</v>
      </c>
      <c r="L75" s="21">
        <v>4.704545454545455</v>
      </c>
      <c r="M75" s="21">
        <v>4.6818181818181817</v>
      </c>
      <c r="N75" s="61" t="s">
        <v>67</v>
      </c>
    </row>
    <row r="76" spans="1:16" ht="24" customHeight="1" thickBot="1">
      <c r="A76" s="90" t="s">
        <v>77</v>
      </c>
      <c r="B76" s="21">
        <v>4.387096774193548</v>
      </c>
      <c r="C76" s="21">
        <v>4.6470588235294112</v>
      </c>
      <c r="D76" s="21">
        <v>4.6511627906976738</v>
      </c>
      <c r="E76" s="21">
        <v>4.5967741935483861</v>
      </c>
      <c r="F76" s="21">
        <v>4.5263157894736814</v>
      </c>
      <c r="G76" s="21">
        <v>4.5897435897435885</v>
      </c>
      <c r="H76" s="21">
        <v>4.6190476190476195</v>
      </c>
      <c r="I76" s="21">
        <v>4.6756756756756763</v>
      </c>
      <c r="J76" s="21">
        <v>4.724137931034484</v>
      </c>
      <c r="K76" s="61" t="s">
        <v>67</v>
      </c>
      <c r="L76" s="21">
        <v>4.7272727272727284</v>
      </c>
      <c r="M76" s="21">
        <v>4.7727272727272734</v>
      </c>
      <c r="N76" s="61" t="s">
        <v>67</v>
      </c>
    </row>
    <row r="77" spans="1:16" ht="24" customHeight="1" thickBot="1">
      <c r="A77" s="90" t="s">
        <v>78</v>
      </c>
      <c r="B77" s="21">
        <v>4.4838709677419368</v>
      </c>
      <c r="C77" s="21">
        <v>4.5294117647058822</v>
      </c>
      <c r="D77" s="21">
        <v>4.6279069767441845</v>
      </c>
      <c r="E77" s="21">
        <v>4.5967741935483861</v>
      </c>
      <c r="F77" s="21">
        <v>4.552631578947369</v>
      </c>
      <c r="G77" s="21">
        <v>4.5128205128205119</v>
      </c>
      <c r="H77" s="21">
        <v>4.6904761904761898</v>
      </c>
      <c r="I77" s="21">
        <v>4.7027027027027035</v>
      </c>
      <c r="J77" s="21">
        <v>4.7413793103448283</v>
      </c>
      <c r="K77" s="61" t="s">
        <v>67</v>
      </c>
      <c r="L77" s="21">
        <v>4.704545454545455</v>
      </c>
      <c r="M77" s="21">
        <v>4.7727272727272734</v>
      </c>
      <c r="N77" s="61" t="s">
        <v>67</v>
      </c>
    </row>
    <row r="78" spans="1:16" ht="24" customHeight="1" thickBot="1">
      <c r="A78" s="90" t="s">
        <v>79</v>
      </c>
      <c r="B78" s="21">
        <v>4.4516129032258069</v>
      </c>
      <c r="C78" s="21">
        <v>4.4705882352941178</v>
      </c>
      <c r="D78" s="21">
        <v>4.7209302325581408</v>
      </c>
      <c r="E78" s="21">
        <v>4.580645161290323</v>
      </c>
      <c r="F78" s="21">
        <v>4.5394736842105257</v>
      </c>
      <c r="G78" s="21">
        <v>4.5641025641025639</v>
      </c>
      <c r="H78" s="21">
        <v>4.7142857142857144</v>
      </c>
      <c r="I78" s="21">
        <v>4.5945945945945947</v>
      </c>
      <c r="J78" s="21">
        <v>4.6896551724137918</v>
      </c>
      <c r="K78" s="61" t="s">
        <v>67</v>
      </c>
      <c r="L78" s="21">
        <v>4.75</v>
      </c>
      <c r="M78" s="21">
        <v>4.8181818181818175</v>
      </c>
      <c r="N78" s="61" t="s">
        <v>67</v>
      </c>
    </row>
    <row r="79" spans="1:16" ht="24" customHeight="1" thickBot="1">
      <c r="A79" s="90" t="s">
        <v>80</v>
      </c>
      <c r="B79" s="21">
        <v>4.387096774193548</v>
      </c>
      <c r="C79" s="21">
        <v>4.4117647058823533</v>
      </c>
      <c r="D79" s="21">
        <v>4.6976744186046515</v>
      </c>
      <c r="E79" s="21">
        <v>4.6129032258064511</v>
      </c>
      <c r="F79" s="21">
        <v>4.5657894736842106</v>
      </c>
      <c r="G79" s="21">
        <v>4.6410256410256387</v>
      </c>
      <c r="H79" s="21">
        <v>4.6904761904761898</v>
      </c>
      <c r="I79" s="21">
        <v>4.6486486486486509</v>
      </c>
      <c r="J79" s="21">
        <v>4.6724137931034475</v>
      </c>
      <c r="K79" s="61" t="s">
        <v>67</v>
      </c>
      <c r="L79" s="21">
        <v>4.6590909090909101</v>
      </c>
      <c r="M79" s="21">
        <v>4.8181818181818175</v>
      </c>
      <c r="N79" s="61" t="s">
        <v>67</v>
      </c>
    </row>
    <row r="80" spans="1:16" ht="24" customHeight="1" thickBot="1">
      <c r="A80" s="90" t="s">
        <v>81</v>
      </c>
      <c r="B80" s="21">
        <v>4.4516129032258069</v>
      </c>
      <c r="C80" s="21">
        <v>4.7058823529411766</v>
      </c>
      <c r="D80" s="21">
        <v>4.7209302325581399</v>
      </c>
      <c r="E80" s="21">
        <v>4.6451612903225801</v>
      </c>
      <c r="F80" s="21">
        <v>4.6447368421052619</v>
      </c>
      <c r="G80" s="21">
        <v>4.5128205128205119</v>
      </c>
      <c r="H80" s="21">
        <v>4.8095238095238084</v>
      </c>
      <c r="I80" s="21">
        <v>4.6486486486486491</v>
      </c>
      <c r="J80" s="21">
        <v>4.7413793103448283</v>
      </c>
      <c r="K80" s="61" t="s">
        <v>67</v>
      </c>
      <c r="L80" s="21">
        <v>4.7272727272727293</v>
      </c>
      <c r="M80" s="21">
        <v>4.8636363636363633</v>
      </c>
      <c r="N80" s="61" t="s">
        <v>67</v>
      </c>
    </row>
    <row r="81" spans="1:16" ht="24" customHeight="1" thickBot="1">
      <c r="A81" s="90" t="s">
        <v>82</v>
      </c>
      <c r="B81" s="21">
        <v>4.290322580645161</v>
      </c>
      <c r="C81" s="21">
        <v>4.4705882352941169</v>
      </c>
      <c r="D81" s="21">
        <v>4.6046511627906979</v>
      </c>
      <c r="E81" s="21">
        <v>4.612903225806452</v>
      </c>
      <c r="F81" s="21">
        <v>4.4868421052631566</v>
      </c>
      <c r="G81" s="21">
        <v>4.4358974358974361</v>
      </c>
      <c r="H81" s="21">
        <v>4.7142857142857144</v>
      </c>
      <c r="I81" s="21">
        <v>4.6621621621621623</v>
      </c>
      <c r="J81" s="21">
        <v>4.6379310344827589</v>
      </c>
      <c r="K81" s="61" t="s">
        <v>67</v>
      </c>
      <c r="L81" s="21">
        <v>4.6818181818181817</v>
      </c>
      <c r="M81" s="21">
        <v>4.8181818181818175</v>
      </c>
      <c r="N81" s="61" t="s">
        <v>67</v>
      </c>
    </row>
    <row r="82" spans="1:16" ht="24" customHeight="1" thickBot="1">
      <c r="A82" s="90" t="s">
        <v>83</v>
      </c>
      <c r="B82" s="21">
        <v>4.4838709677419359</v>
      </c>
      <c r="C82" s="21">
        <v>4.7058823529411766</v>
      </c>
      <c r="D82" s="21">
        <v>4.7441860465116292</v>
      </c>
      <c r="E82" s="21">
        <v>4.6612903225806441</v>
      </c>
      <c r="F82" s="21">
        <v>4.6447368421052619</v>
      </c>
      <c r="G82" s="21">
        <v>4.5384615384615374</v>
      </c>
      <c r="H82" s="21">
        <v>4.7380952380952372</v>
      </c>
      <c r="I82" s="21">
        <v>4.6621621621621623</v>
      </c>
      <c r="J82" s="21">
        <v>4.706896551724137</v>
      </c>
      <c r="K82" s="61" t="s">
        <v>67</v>
      </c>
      <c r="L82" s="21">
        <v>4.75</v>
      </c>
      <c r="M82" s="21">
        <v>4.8181818181818175</v>
      </c>
      <c r="N82" s="61" t="s">
        <v>67</v>
      </c>
    </row>
    <row r="83" spans="1:16" ht="24" customHeight="1" thickBot="1">
      <c r="A83" s="90" t="s">
        <v>84</v>
      </c>
      <c r="B83" s="21">
        <v>4.4838709677419368</v>
      </c>
      <c r="C83" s="21">
        <v>4.5294117647058822</v>
      </c>
      <c r="D83" s="21">
        <v>4.7209302325581408</v>
      </c>
      <c r="E83" s="21">
        <v>4.67741935483871</v>
      </c>
      <c r="F83" s="21">
        <v>4.5657894736842115</v>
      </c>
      <c r="G83" s="21">
        <v>4.6153846153846159</v>
      </c>
      <c r="H83" s="21">
        <v>4.6904761904761898</v>
      </c>
      <c r="I83" s="21">
        <v>4.6756756756756763</v>
      </c>
      <c r="J83" s="21">
        <v>4.6034482758620694</v>
      </c>
      <c r="K83" s="61" t="s">
        <v>67</v>
      </c>
      <c r="L83" s="21">
        <v>4.704545454545455</v>
      </c>
      <c r="M83" s="21">
        <v>4.8181818181818183</v>
      </c>
      <c r="N83" s="61" t="s">
        <v>67</v>
      </c>
    </row>
    <row r="84" spans="1:16" ht="24" customHeight="1" thickBot="1">
      <c r="A84" s="90" t="s">
        <v>85</v>
      </c>
      <c r="B84" s="21">
        <v>4.5483870967741939</v>
      </c>
      <c r="C84" s="21">
        <v>4.7647058823529402</v>
      </c>
      <c r="D84" s="21">
        <v>4.7209302325581417</v>
      </c>
      <c r="E84" s="21">
        <v>4.6774193548387091</v>
      </c>
      <c r="F84" s="21">
        <v>4.5657894736842115</v>
      </c>
      <c r="G84" s="21">
        <v>4.5641025641025639</v>
      </c>
      <c r="H84" s="21">
        <v>4.7380952380952381</v>
      </c>
      <c r="I84" s="21">
        <v>4.6621621621621623</v>
      </c>
      <c r="J84" s="21">
        <v>4.6896551724137927</v>
      </c>
      <c r="K84" s="61" t="s">
        <v>67</v>
      </c>
      <c r="L84" s="21">
        <v>4.75</v>
      </c>
      <c r="M84" s="21">
        <v>4.8181818181818175</v>
      </c>
      <c r="N84" s="61" t="s">
        <v>67</v>
      </c>
    </row>
    <row r="85" spans="1:16" ht="24" customHeight="1" thickBot="1">
      <c r="A85" s="90" t="s">
        <v>86</v>
      </c>
      <c r="B85" s="21">
        <v>4.387096774193548</v>
      </c>
      <c r="C85" s="21">
        <v>4.5294117647058814</v>
      </c>
      <c r="D85" s="21">
        <v>4.6511627906976747</v>
      </c>
      <c r="E85" s="21">
        <v>4.5967741935483843</v>
      </c>
      <c r="F85" s="21">
        <v>4.5394736842105257</v>
      </c>
      <c r="G85" s="21">
        <v>4.4871794871794872</v>
      </c>
      <c r="H85" s="21">
        <v>4.7619047619047601</v>
      </c>
      <c r="I85" s="21">
        <v>4.64864864864865</v>
      </c>
      <c r="J85" s="21">
        <v>4.7413793103448265</v>
      </c>
      <c r="K85" s="61" t="s">
        <v>67</v>
      </c>
      <c r="L85" s="21">
        <v>4.7272727272727293</v>
      </c>
      <c r="M85" s="21">
        <v>4.7272727272727275</v>
      </c>
      <c r="N85" s="61" t="s">
        <v>67</v>
      </c>
    </row>
    <row r="86" spans="1:16" ht="24" customHeight="1" thickBot="1">
      <c r="A86" s="90" t="s">
        <v>87</v>
      </c>
      <c r="B86" s="21">
        <v>4.3548387096774182</v>
      </c>
      <c r="C86" s="21">
        <v>4.5882352941176459</v>
      </c>
      <c r="D86" s="21">
        <v>4.6279069767441845</v>
      </c>
      <c r="E86" s="21">
        <v>4.612903225806452</v>
      </c>
      <c r="F86" s="21">
        <v>4.5657894736842106</v>
      </c>
      <c r="G86" s="21">
        <v>4.666666666666667</v>
      </c>
      <c r="H86" s="21">
        <v>4.7380952380952381</v>
      </c>
      <c r="I86" s="21">
        <v>4.6621621621621614</v>
      </c>
      <c r="J86" s="21">
        <v>4.6896551724137927</v>
      </c>
      <c r="K86" s="61" t="s">
        <v>67</v>
      </c>
      <c r="L86" s="21">
        <v>4.7272727272727284</v>
      </c>
      <c r="M86" s="21">
        <v>4.7727272727272734</v>
      </c>
      <c r="N86" s="61" t="s">
        <v>67</v>
      </c>
    </row>
    <row r="87" spans="1:16" ht="24" customHeight="1" thickBot="1">
      <c r="A87" s="90" t="s">
        <v>88</v>
      </c>
      <c r="B87" s="21">
        <v>4.4516129032258069</v>
      </c>
      <c r="C87" s="21">
        <v>4.5882352941176467</v>
      </c>
      <c r="D87" s="21">
        <v>4.6976744186046506</v>
      </c>
      <c r="E87" s="21">
        <v>4.6129032258064511</v>
      </c>
      <c r="F87" s="21">
        <v>4.6184210526315788</v>
      </c>
      <c r="G87" s="21">
        <v>4.5128205128205119</v>
      </c>
      <c r="H87" s="21">
        <v>4.6666666666666652</v>
      </c>
      <c r="I87" s="21">
        <v>4.621621621621621</v>
      </c>
      <c r="J87" s="21">
        <v>4.706896551724137</v>
      </c>
      <c r="K87" s="61" t="s">
        <v>67</v>
      </c>
      <c r="L87" s="21">
        <v>4.704545454545455</v>
      </c>
      <c r="M87" s="21">
        <v>4.8181818181818183</v>
      </c>
      <c r="N87" s="61" t="s">
        <v>67</v>
      </c>
    </row>
    <row r="88" spans="1:16" ht="24" customHeight="1" thickBot="1">
      <c r="A88" s="90" t="s">
        <v>89</v>
      </c>
      <c r="B88" s="21">
        <v>4.4838709677419368</v>
      </c>
      <c r="C88" s="21">
        <v>4.4117647058823533</v>
      </c>
      <c r="D88" s="21">
        <v>4.6976744186046506</v>
      </c>
      <c r="E88" s="21">
        <v>4.661290322580645</v>
      </c>
      <c r="F88" s="21">
        <v>4.6447368421052637</v>
      </c>
      <c r="G88" s="21">
        <v>4.4871794871794863</v>
      </c>
      <c r="H88" s="21">
        <v>4.6904761904761898</v>
      </c>
      <c r="I88" s="21">
        <v>4.6621621621621605</v>
      </c>
      <c r="J88" s="21">
        <v>4.706896551724137</v>
      </c>
      <c r="K88" s="61" t="s">
        <v>67</v>
      </c>
      <c r="L88" s="21">
        <v>4.7045454545454541</v>
      </c>
      <c r="M88" s="21">
        <v>4.7727272727272725</v>
      </c>
      <c r="N88" s="61" t="s">
        <v>67</v>
      </c>
    </row>
    <row r="89" spans="1:16" ht="24" customHeight="1" thickBot="1">
      <c r="A89" s="90" t="s">
        <v>90</v>
      </c>
      <c r="B89" s="21">
        <v>4.5483870967741939</v>
      </c>
      <c r="C89" s="21">
        <v>4.6470588235294112</v>
      </c>
      <c r="D89" s="21">
        <v>4.7209302325581399</v>
      </c>
      <c r="E89" s="21">
        <v>4.693548387096774</v>
      </c>
      <c r="F89" s="21">
        <v>4.6973684210526336</v>
      </c>
      <c r="G89" s="21">
        <v>4.5384615384615374</v>
      </c>
      <c r="H89" s="21">
        <v>4.7857142857142865</v>
      </c>
      <c r="I89" s="21">
        <v>4.6621621621621632</v>
      </c>
      <c r="J89" s="21">
        <v>4.7413793103448283</v>
      </c>
      <c r="K89" s="61" t="s">
        <v>67</v>
      </c>
      <c r="L89" s="21">
        <v>4.75</v>
      </c>
      <c r="M89" s="21">
        <v>4.8181818181818175</v>
      </c>
      <c r="N89" s="61" t="s">
        <v>67</v>
      </c>
    </row>
    <row r="90" spans="1:16" ht="24" customHeight="1">
      <c r="A90" s="8" t="s">
        <v>10</v>
      </c>
      <c r="B90" s="21">
        <v>4.4495967741935489</v>
      </c>
      <c r="C90" s="21">
        <v>4.5808823529411766</v>
      </c>
      <c r="D90" s="21">
        <v>4.6860465116279073</v>
      </c>
      <c r="E90" s="21">
        <v>4.6360887096774208</v>
      </c>
      <c r="F90" s="21">
        <v>4.587993421052631</v>
      </c>
      <c r="G90" s="21">
        <v>4.5464743589743604</v>
      </c>
      <c r="H90" s="21">
        <v>4.7217261904761907</v>
      </c>
      <c r="I90" s="21">
        <v>4.6638513513513526</v>
      </c>
      <c r="J90" s="21">
        <v>4.7058189655172438</v>
      </c>
      <c r="K90" s="61" t="s">
        <v>67</v>
      </c>
      <c r="L90" s="21">
        <v>4.7173295454545467</v>
      </c>
      <c r="M90" s="21">
        <v>4.7869318181818183</v>
      </c>
      <c r="N90" s="61" t="s">
        <v>67</v>
      </c>
    </row>
    <row r="91" spans="1:16" s="66" customFormat="1">
      <c r="A91" s="65" t="s">
        <v>11</v>
      </c>
      <c r="B91" s="68">
        <f>B90*20</f>
        <v>88.991935483870975</v>
      </c>
      <c r="C91" s="63">
        <f>C90*20</f>
        <v>91.617647058823536</v>
      </c>
      <c r="D91" s="63">
        <f>D90*20</f>
        <v>93.720930232558146</v>
      </c>
      <c r="E91" s="63">
        <f t="shared" ref="E91:M91" si="6">E90*20</f>
        <v>92.721774193548413</v>
      </c>
      <c r="F91" s="63">
        <f t="shared" si="6"/>
        <v>91.759868421052616</v>
      </c>
      <c r="G91" s="63">
        <f t="shared" si="6"/>
        <v>90.929487179487211</v>
      </c>
      <c r="H91" s="63">
        <f t="shared" si="6"/>
        <v>94.43452380952381</v>
      </c>
      <c r="I91" s="63">
        <f t="shared" si="6"/>
        <v>93.27702702702706</v>
      </c>
      <c r="J91" s="63">
        <f t="shared" si="6"/>
        <v>94.116379310344882</v>
      </c>
      <c r="K91" s="61" t="s">
        <v>67</v>
      </c>
      <c r="L91" s="63">
        <f t="shared" ref="L91" si="7">L90*20</f>
        <v>94.346590909090935</v>
      </c>
      <c r="M91" s="63">
        <f t="shared" si="6"/>
        <v>95.738636363636374</v>
      </c>
      <c r="N91" s="61" t="s">
        <v>67</v>
      </c>
      <c r="P91" s="3"/>
    </row>
    <row r="92" spans="1:16">
      <c r="A92" s="16" t="s">
        <v>45</v>
      </c>
      <c r="B92" s="62">
        <v>100</v>
      </c>
      <c r="C92" s="62">
        <v>100</v>
      </c>
      <c r="D92" s="62">
        <v>100</v>
      </c>
      <c r="E92" s="62">
        <v>100</v>
      </c>
      <c r="F92" s="62">
        <v>100</v>
      </c>
      <c r="G92" s="62">
        <v>100</v>
      </c>
      <c r="H92" s="62">
        <v>100</v>
      </c>
      <c r="I92" s="62">
        <v>98.65</v>
      </c>
      <c r="J92" s="62">
        <v>100</v>
      </c>
      <c r="K92" s="22" t="s">
        <v>68</v>
      </c>
      <c r="L92" s="23">
        <v>97.73</v>
      </c>
      <c r="M92" s="62">
        <v>100</v>
      </c>
      <c r="N92" s="22" t="s">
        <v>68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tabSelected="1" topLeftCell="A4" zoomScaleNormal="100" zoomScaleSheetLayoutView="100" workbookViewId="0">
      <selection activeCell="H90" sqref="H90"/>
    </sheetView>
  </sheetViews>
  <sheetFormatPr defaultColWidth="9" defaultRowHeight="21"/>
  <cols>
    <col min="1" max="1" width="4.75" style="34" customWidth="1"/>
    <col min="2" max="2" width="27.625" style="34" customWidth="1"/>
    <col min="3" max="7" width="12" style="34" customWidth="1"/>
    <col min="8" max="8" width="30.125" style="34" customWidth="1"/>
    <col min="9" max="9" width="14.75" style="34" customWidth="1"/>
    <col min="10" max="10" width="7.25" style="34" customWidth="1"/>
    <col min="11" max="16384" width="9" style="34"/>
  </cols>
  <sheetData>
    <row r="1" spans="1:9" s="48" customFormat="1" ht="43.5" customHeight="1">
      <c r="A1" s="98" t="s">
        <v>92</v>
      </c>
      <c r="B1" s="99"/>
      <c r="C1" s="99"/>
      <c r="D1" s="99"/>
      <c r="E1" s="99"/>
      <c r="F1" s="99"/>
      <c r="G1" s="99"/>
      <c r="H1" s="99"/>
      <c r="I1" s="99"/>
    </row>
    <row r="2" spans="1:9" s="48" customFormat="1">
      <c r="A2" s="97" t="s">
        <v>97</v>
      </c>
      <c r="B2" s="97"/>
      <c r="C2" s="97"/>
      <c r="D2" s="97"/>
      <c r="E2" s="97"/>
      <c r="F2" s="97"/>
      <c r="G2" s="97"/>
      <c r="H2" s="97"/>
    </row>
    <row r="3" spans="1:9" s="36" customFormat="1">
      <c r="A3" s="97" t="s">
        <v>98</v>
      </c>
      <c r="B3" s="97"/>
      <c r="C3" s="97"/>
      <c r="D3" s="97"/>
      <c r="E3" s="97"/>
      <c r="F3" s="97"/>
      <c r="G3" s="97"/>
      <c r="H3" s="97"/>
      <c r="I3" s="48"/>
    </row>
    <row r="4" spans="1:9" s="48" customFormat="1">
      <c r="A4" s="50" t="s">
        <v>54</v>
      </c>
      <c r="B4" s="50"/>
      <c r="C4" s="50"/>
      <c r="D4" s="50"/>
      <c r="E4" s="50"/>
      <c r="F4" s="51"/>
      <c r="G4" s="51"/>
      <c r="H4" s="51"/>
      <c r="I4" s="36"/>
    </row>
    <row r="5" spans="1:9" s="48" customFormat="1">
      <c r="B5" s="101" t="s">
        <v>165</v>
      </c>
      <c r="C5" s="101"/>
      <c r="D5" s="101"/>
      <c r="E5" s="101"/>
      <c r="F5" s="101"/>
      <c r="G5" s="101"/>
      <c r="H5" s="101"/>
    </row>
    <row r="6" spans="1:9" s="86" customFormat="1">
      <c r="A6" s="48"/>
      <c r="B6" s="101" t="s">
        <v>156</v>
      </c>
      <c r="C6" s="101"/>
      <c r="D6" s="101"/>
      <c r="E6" s="101"/>
      <c r="F6" s="101"/>
      <c r="G6" s="101"/>
      <c r="H6" s="101"/>
      <c r="I6" s="48"/>
    </row>
    <row r="7" spans="1:9" s="36" customFormat="1" ht="21.75" customHeight="1">
      <c r="A7" s="86"/>
      <c r="B7" s="102" t="s">
        <v>157</v>
      </c>
      <c r="C7" s="102"/>
      <c r="D7" s="102"/>
      <c r="E7" s="102"/>
      <c r="F7" s="102"/>
      <c r="G7" s="102"/>
      <c r="H7" s="102"/>
      <c r="I7" s="86"/>
    </row>
    <row r="8" spans="1:9" s="36" customFormat="1" ht="21.75" customHeight="1">
      <c r="B8" s="52" t="s">
        <v>0</v>
      </c>
      <c r="C8" s="53" t="s">
        <v>34</v>
      </c>
      <c r="D8" s="53" t="s">
        <v>35</v>
      </c>
      <c r="E8" s="53" t="s">
        <v>36</v>
      </c>
      <c r="F8" s="53" t="s">
        <v>37</v>
      </c>
      <c r="G8" s="53" t="s">
        <v>38</v>
      </c>
    </row>
    <row r="9" spans="1:9" s="36" customFormat="1" ht="21.75" customHeight="1">
      <c r="B9" s="54" t="s">
        <v>9</v>
      </c>
      <c r="C9" s="55" t="s">
        <v>95</v>
      </c>
      <c r="D9" s="55" t="s">
        <v>96</v>
      </c>
      <c r="E9" s="67">
        <v>10</v>
      </c>
      <c r="F9" s="56" t="s">
        <v>167</v>
      </c>
      <c r="G9" s="56" t="s">
        <v>94</v>
      </c>
    </row>
    <row r="10" spans="1:9" s="36" customFormat="1" ht="21.75" customHeight="1">
      <c r="B10" s="54" t="s">
        <v>10</v>
      </c>
      <c r="C10" s="29">
        <v>4.3667725173210199</v>
      </c>
      <c r="D10" s="29">
        <v>4.5733173076923137</v>
      </c>
      <c r="E10" s="18">
        <v>4.4812499999999993</v>
      </c>
      <c r="F10" s="84">
        <v>4.8099999999999996</v>
      </c>
      <c r="G10" s="20">
        <v>4.4946428571428561</v>
      </c>
    </row>
    <row r="11" spans="1:9" s="36" customFormat="1" ht="21.75" customHeight="1">
      <c r="B11" s="54" t="s">
        <v>11</v>
      </c>
      <c r="C11" s="29">
        <v>87.335450346420402</v>
      </c>
      <c r="D11" s="29">
        <v>91.466346153846274</v>
      </c>
      <c r="E11" s="29">
        <v>89.624999999999986</v>
      </c>
      <c r="F11" s="85">
        <v>96.2</v>
      </c>
      <c r="G11" s="63">
        <f t="shared" ref="G11" si="0">G10*20</f>
        <v>89.892857142857125</v>
      </c>
    </row>
    <row r="12" spans="1:9" s="36" customFormat="1" ht="24" customHeight="1">
      <c r="B12" s="58"/>
      <c r="C12" s="59"/>
      <c r="D12" s="59"/>
      <c r="E12" s="59"/>
      <c r="F12" s="72"/>
      <c r="G12" s="72"/>
    </row>
    <row r="13" spans="1:9" s="36" customFormat="1" ht="24" customHeight="1">
      <c r="A13" s="100" t="s">
        <v>39</v>
      </c>
      <c r="B13" s="100"/>
      <c r="H13" s="36" t="s">
        <v>52</v>
      </c>
    </row>
    <row r="14" spans="1:9" s="36" customFormat="1" ht="24" customHeight="1">
      <c r="B14" s="39" t="s">
        <v>40</v>
      </c>
    </row>
    <row r="15" spans="1:9" s="71" customFormat="1" ht="24" customHeight="1">
      <c r="A15" s="34"/>
      <c r="B15" s="33" t="s">
        <v>107</v>
      </c>
      <c r="C15" s="37"/>
      <c r="D15" s="37"/>
      <c r="E15" s="37"/>
      <c r="F15" s="37"/>
      <c r="G15" s="37"/>
      <c r="H15" s="37"/>
      <c r="I15" s="34"/>
    </row>
    <row r="16" spans="1:9" s="71" customFormat="1" ht="24" customHeight="1">
      <c r="A16" s="34"/>
      <c r="B16" s="33" t="s">
        <v>108</v>
      </c>
      <c r="C16" s="37"/>
      <c r="D16" s="37"/>
      <c r="E16" s="37"/>
      <c r="F16" s="37"/>
      <c r="G16" s="37"/>
      <c r="H16" s="37"/>
      <c r="I16" s="34"/>
    </row>
    <row r="17" spans="1:9" s="71" customFormat="1" ht="24" customHeight="1">
      <c r="A17" s="34"/>
      <c r="B17" s="33" t="s">
        <v>113</v>
      </c>
      <c r="C17" s="37"/>
      <c r="D17" s="37"/>
      <c r="E17" s="37"/>
      <c r="F17" s="37"/>
      <c r="G17" s="37"/>
      <c r="H17" s="37"/>
      <c r="I17" s="34"/>
    </row>
    <row r="18" spans="1:9" s="71" customFormat="1" ht="24" customHeight="1">
      <c r="A18" s="34"/>
      <c r="B18" s="33" t="s">
        <v>114</v>
      </c>
      <c r="C18" s="37"/>
      <c r="D18" s="37"/>
      <c r="E18" s="37"/>
      <c r="F18" s="37"/>
      <c r="G18" s="37"/>
      <c r="H18" s="37"/>
      <c r="I18" s="34"/>
    </row>
    <row r="19" spans="1:9" s="71" customFormat="1" ht="24" customHeight="1">
      <c r="A19" s="34"/>
      <c r="B19" s="33" t="s">
        <v>109</v>
      </c>
      <c r="C19" s="37"/>
      <c r="D19" s="37"/>
      <c r="E19" s="37"/>
      <c r="F19" s="37"/>
      <c r="G19" s="37"/>
      <c r="H19" s="37"/>
      <c r="I19" s="34"/>
    </row>
    <row r="20" spans="1:9" s="71" customFormat="1" ht="24" customHeight="1">
      <c r="A20" s="34"/>
      <c r="B20" s="33" t="s">
        <v>117</v>
      </c>
      <c r="C20" s="37"/>
      <c r="D20" s="37"/>
      <c r="E20" s="37"/>
      <c r="F20" s="37"/>
      <c r="G20" s="37"/>
      <c r="H20" s="37"/>
      <c r="I20" s="34"/>
    </row>
    <row r="21" spans="1:9" s="71" customFormat="1" ht="24" customHeight="1">
      <c r="A21" s="34"/>
      <c r="B21" s="33" t="s">
        <v>101</v>
      </c>
      <c r="C21" s="37"/>
      <c r="D21" s="37"/>
      <c r="E21" s="37"/>
      <c r="F21" s="37"/>
      <c r="G21" s="37"/>
      <c r="H21" s="37"/>
      <c r="I21" s="34"/>
    </row>
    <row r="22" spans="1:9" s="71" customFormat="1" ht="24" customHeight="1">
      <c r="A22" s="34"/>
      <c r="B22" s="33" t="s">
        <v>115</v>
      </c>
      <c r="C22" s="37"/>
      <c r="D22" s="37"/>
      <c r="E22" s="37"/>
      <c r="F22" s="37"/>
      <c r="G22" s="37"/>
      <c r="H22" s="37"/>
      <c r="I22" s="34"/>
    </row>
    <row r="23" spans="1:9" s="71" customFormat="1" ht="24" customHeight="1">
      <c r="A23" s="34"/>
      <c r="B23" s="33" t="s">
        <v>99</v>
      </c>
      <c r="C23" s="37"/>
      <c r="D23" s="37"/>
      <c r="E23" s="37"/>
      <c r="F23" s="37"/>
      <c r="G23" s="37"/>
      <c r="H23" s="37"/>
      <c r="I23" s="34"/>
    </row>
    <row r="24" spans="1:9" s="71" customFormat="1" ht="24" customHeight="1">
      <c r="A24" s="34"/>
      <c r="B24" s="33" t="s">
        <v>102</v>
      </c>
      <c r="C24" s="37"/>
      <c r="D24" s="37"/>
      <c r="E24" s="37"/>
      <c r="F24" s="37"/>
      <c r="G24" s="37"/>
      <c r="H24" s="37"/>
      <c r="I24" s="34"/>
    </row>
    <row r="25" spans="1:9" s="71" customFormat="1" ht="24" customHeight="1">
      <c r="A25" s="34"/>
      <c r="B25" s="33" t="s">
        <v>103</v>
      </c>
      <c r="C25" s="37"/>
      <c r="D25" s="37"/>
      <c r="E25" s="37"/>
      <c r="F25" s="37"/>
      <c r="G25" s="37"/>
      <c r="H25" s="37"/>
      <c r="I25" s="34"/>
    </row>
    <row r="26" spans="1:9" s="71" customFormat="1" ht="24" customHeight="1">
      <c r="A26" s="34"/>
      <c r="B26" s="33" t="s">
        <v>104</v>
      </c>
      <c r="C26" s="37"/>
      <c r="D26" s="37"/>
      <c r="E26" s="37"/>
      <c r="F26" s="37"/>
      <c r="G26" s="37"/>
      <c r="H26" s="37"/>
      <c r="I26" s="34"/>
    </row>
    <row r="27" spans="1:9" s="71" customFormat="1" ht="24" customHeight="1">
      <c r="A27" s="34"/>
      <c r="B27" s="33" t="s">
        <v>120</v>
      </c>
      <c r="C27" s="37"/>
      <c r="D27" s="37"/>
      <c r="E27" s="37"/>
      <c r="F27" s="37"/>
      <c r="G27" s="37"/>
      <c r="H27" s="37"/>
      <c r="I27" s="34"/>
    </row>
    <row r="28" spans="1:9" s="71" customFormat="1" ht="24" customHeight="1">
      <c r="A28" s="34"/>
      <c r="B28" s="71" t="s">
        <v>161</v>
      </c>
      <c r="C28" s="37"/>
      <c r="D28" s="37"/>
      <c r="E28" s="37"/>
      <c r="F28" s="37"/>
      <c r="G28" s="37"/>
      <c r="H28" s="37"/>
      <c r="I28" s="34"/>
    </row>
    <row r="29" spans="1:9" s="71" customFormat="1" ht="24" customHeight="1">
      <c r="A29" s="34"/>
      <c r="B29" s="71" t="s">
        <v>168</v>
      </c>
      <c r="C29" s="37"/>
      <c r="D29" s="37"/>
      <c r="E29" s="37"/>
      <c r="F29" s="37"/>
      <c r="G29" s="37"/>
      <c r="H29" s="37"/>
      <c r="I29" s="34"/>
    </row>
    <row r="30" spans="1:9" s="71" customFormat="1" ht="24" customHeight="1">
      <c r="A30" s="34"/>
      <c r="B30" s="71" t="s">
        <v>158</v>
      </c>
      <c r="C30" s="37"/>
      <c r="D30" s="37"/>
      <c r="E30" s="37"/>
      <c r="F30" s="37"/>
      <c r="G30" s="37"/>
      <c r="H30" s="37"/>
      <c r="I30" s="34"/>
    </row>
    <row r="31" spans="1:9" s="71" customFormat="1" ht="24" customHeight="1">
      <c r="A31" s="34"/>
      <c r="B31" s="71" t="s">
        <v>160</v>
      </c>
      <c r="C31" s="37"/>
      <c r="D31" s="37"/>
      <c r="E31" s="37"/>
      <c r="F31" s="37"/>
      <c r="G31" s="37"/>
      <c r="H31" s="37"/>
      <c r="I31" s="34"/>
    </row>
    <row r="32" spans="1:9" s="71" customFormat="1" ht="24" customHeight="1">
      <c r="A32" s="34"/>
      <c r="B32" s="71" t="s">
        <v>159</v>
      </c>
      <c r="C32" s="37"/>
      <c r="D32" s="37"/>
      <c r="E32" s="37"/>
      <c r="F32" s="37"/>
      <c r="G32" s="37"/>
      <c r="H32" s="37"/>
      <c r="I32" s="34"/>
    </row>
    <row r="33" spans="1:9" s="71" customFormat="1" ht="24" customHeight="1">
      <c r="A33" s="34"/>
      <c r="B33" s="71" t="s">
        <v>111</v>
      </c>
      <c r="C33" s="37"/>
      <c r="D33" s="37"/>
      <c r="E33" s="37"/>
      <c r="F33" s="37"/>
      <c r="G33" s="37"/>
      <c r="H33" s="37"/>
      <c r="I33" s="34"/>
    </row>
    <row r="34" spans="1:9" s="71" customFormat="1" ht="24" customHeight="1">
      <c r="A34" s="34"/>
      <c r="B34" s="71" t="s">
        <v>169</v>
      </c>
      <c r="C34" s="37"/>
      <c r="D34" s="37"/>
      <c r="E34" s="37"/>
      <c r="F34" s="37"/>
      <c r="G34" s="37"/>
      <c r="H34" s="37"/>
      <c r="I34" s="34"/>
    </row>
    <row r="35" spans="1:9" s="71" customFormat="1" ht="24" customHeight="1">
      <c r="A35" s="34"/>
      <c r="B35" s="71" t="s">
        <v>112</v>
      </c>
      <c r="C35" s="37"/>
      <c r="D35" s="37"/>
      <c r="E35" s="37"/>
      <c r="F35" s="37"/>
      <c r="G35" s="37"/>
      <c r="H35" s="37"/>
      <c r="I35" s="34"/>
    </row>
    <row r="36" spans="1:9" s="71" customFormat="1" ht="24" customHeight="1">
      <c r="A36" s="34"/>
      <c r="B36" s="71" t="s">
        <v>116</v>
      </c>
      <c r="C36" s="37"/>
      <c r="D36" s="37"/>
      <c r="E36" s="37"/>
      <c r="F36" s="37"/>
      <c r="G36" s="37"/>
      <c r="H36" s="37"/>
      <c r="I36" s="34"/>
    </row>
    <row r="37" spans="1:9" s="71" customFormat="1" ht="24" customHeight="1">
      <c r="A37" s="34"/>
      <c r="B37" s="71" t="s">
        <v>118</v>
      </c>
      <c r="C37" s="37"/>
      <c r="D37" s="37"/>
      <c r="E37" s="37"/>
      <c r="F37" s="37"/>
      <c r="G37" s="37"/>
      <c r="H37" s="37"/>
      <c r="I37" s="34"/>
    </row>
    <row r="38" spans="1:9" s="71" customFormat="1" ht="24" customHeight="1">
      <c r="A38" s="34"/>
      <c r="B38" s="71" t="s">
        <v>119</v>
      </c>
      <c r="C38" s="37"/>
      <c r="D38" s="37"/>
      <c r="E38" s="37"/>
      <c r="F38" s="37"/>
      <c r="G38" s="37"/>
      <c r="H38" s="37"/>
      <c r="I38" s="34"/>
    </row>
    <row r="39" spans="1:9" s="71" customFormat="1" ht="24" customHeight="1">
      <c r="A39" s="34"/>
      <c r="B39" s="33" t="s">
        <v>121</v>
      </c>
      <c r="C39" s="37"/>
      <c r="D39" s="37"/>
      <c r="E39" s="37"/>
      <c r="F39" s="37"/>
      <c r="G39" s="37"/>
      <c r="H39" s="37"/>
      <c r="I39" s="34"/>
    </row>
    <row r="40" spans="1:9" s="71" customFormat="1" ht="24" customHeight="1">
      <c r="A40" s="34"/>
      <c r="B40" s="33" t="s">
        <v>123</v>
      </c>
      <c r="C40" s="37"/>
      <c r="D40" s="37"/>
      <c r="E40" s="37"/>
      <c r="F40" s="37"/>
      <c r="G40" s="37"/>
      <c r="H40" s="37"/>
      <c r="I40" s="34"/>
    </row>
    <row r="41" spans="1:9" s="71" customFormat="1" ht="24" customHeight="1">
      <c r="A41" s="34"/>
      <c r="B41" s="33" t="s">
        <v>162</v>
      </c>
      <c r="C41" s="37"/>
      <c r="D41" s="37"/>
      <c r="E41" s="37"/>
      <c r="F41" s="37"/>
      <c r="G41" s="37"/>
      <c r="H41" s="37"/>
      <c r="I41" s="34"/>
    </row>
    <row r="42" spans="1:9" s="71" customFormat="1" ht="24" customHeight="1">
      <c r="A42" s="34"/>
      <c r="B42" s="33" t="s">
        <v>163</v>
      </c>
      <c r="C42" s="37"/>
      <c r="D42" s="37"/>
      <c r="E42" s="37"/>
      <c r="F42" s="37"/>
      <c r="G42" s="37"/>
      <c r="H42" s="37"/>
      <c r="I42" s="34"/>
    </row>
    <row r="43" spans="1:9" s="71" customFormat="1" ht="24" customHeight="1">
      <c r="A43" s="34"/>
      <c r="B43" s="33"/>
      <c r="C43" s="37"/>
      <c r="D43" s="37"/>
      <c r="E43" s="37"/>
      <c r="F43" s="37"/>
      <c r="G43" s="37"/>
      <c r="H43" s="37"/>
      <c r="I43" s="34"/>
    </row>
    <row r="44" spans="1:9" s="71" customFormat="1" ht="24" customHeight="1">
      <c r="A44" s="73"/>
      <c r="B44" s="39" t="s">
        <v>41</v>
      </c>
      <c r="C44" s="38"/>
      <c r="D44" s="38"/>
      <c r="E44" s="38"/>
      <c r="F44" s="38"/>
      <c r="G44" s="38"/>
      <c r="H44" s="38"/>
    </row>
    <row r="45" spans="1:9" s="42" customFormat="1" ht="24" customHeight="1">
      <c r="A45" s="34"/>
      <c r="B45" s="34" t="s">
        <v>110</v>
      </c>
      <c r="C45" s="37"/>
      <c r="D45" s="37"/>
      <c r="E45" s="37"/>
      <c r="F45" s="37"/>
      <c r="G45" s="37"/>
      <c r="H45" s="37"/>
      <c r="I45" s="34"/>
    </row>
    <row r="46" spans="1:9" s="42" customFormat="1" ht="24" customHeight="1">
      <c r="A46" s="34"/>
      <c r="B46" s="34" t="s">
        <v>122</v>
      </c>
      <c r="C46" s="37"/>
      <c r="D46" s="37"/>
      <c r="E46" s="37"/>
      <c r="F46" s="37"/>
      <c r="G46" s="37"/>
      <c r="H46" s="37"/>
      <c r="I46" s="34"/>
    </row>
    <row r="47" spans="1:9" s="42" customFormat="1" ht="24" customHeight="1">
      <c r="A47" s="34"/>
      <c r="B47" s="34"/>
      <c r="C47" s="37"/>
      <c r="D47" s="37"/>
      <c r="E47" s="37"/>
      <c r="F47" s="37"/>
      <c r="G47" s="37"/>
      <c r="H47" s="37"/>
      <c r="I47" s="34"/>
    </row>
    <row r="48" spans="1:9" ht="24" customHeight="1">
      <c r="A48" s="57"/>
      <c r="B48" s="49" t="s">
        <v>42</v>
      </c>
      <c r="C48" s="49"/>
      <c r="D48" s="49"/>
      <c r="E48" s="49"/>
      <c r="F48" s="36"/>
      <c r="G48" s="36"/>
      <c r="H48" s="36"/>
      <c r="I48" s="42"/>
    </row>
    <row r="49" spans="1:9" ht="24" customHeight="1">
      <c r="A49" s="57"/>
      <c r="B49" s="58" t="s">
        <v>100</v>
      </c>
      <c r="C49" s="49"/>
      <c r="D49" s="49"/>
      <c r="E49" s="49"/>
      <c r="F49" s="36"/>
      <c r="G49" s="36"/>
      <c r="H49" s="36"/>
      <c r="I49" s="42"/>
    </row>
    <row r="50" spans="1:9" ht="24" customHeight="1">
      <c r="A50" s="57"/>
      <c r="B50" s="33" t="s">
        <v>105</v>
      </c>
      <c r="C50" s="49"/>
      <c r="D50" s="49"/>
      <c r="E50" s="49"/>
      <c r="F50" s="36"/>
      <c r="G50" s="36"/>
      <c r="H50" s="36"/>
      <c r="I50" s="42"/>
    </row>
    <row r="51" spans="1:9" ht="24" customHeight="1">
      <c r="A51" s="57"/>
      <c r="B51" s="58" t="s">
        <v>106</v>
      </c>
      <c r="C51" s="49"/>
      <c r="D51" s="49"/>
      <c r="E51" s="49"/>
      <c r="F51" s="36"/>
      <c r="G51" s="36"/>
      <c r="H51" s="36"/>
      <c r="I51" s="42"/>
    </row>
    <row r="52" spans="1:9" ht="24" customHeight="1">
      <c r="A52" s="57"/>
      <c r="B52" s="103" t="s">
        <v>124</v>
      </c>
      <c r="C52" s="103"/>
      <c r="D52" s="103"/>
      <c r="E52" s="103"/>
      <c r="F52" s="103"/>
      <c r="G52" s="103"/>
      <c r="H52" s="103"/>
      <c r="I52" s="103"/>
    </row>
    <row r="53" spans="1:9" ht="24" customHeight="1">
      <c r="A53" s="57"/>
      <c r="B53" s="49"/>
      <c r="C53" s="49"/>
      <c r="D53" s="49"/>
      <c r="E53" s="49"/>
      <c r="F53" s="36"/>
      <c r="G53" s="36"/>
      <c r="H53" s="36"/>
      <c r="I53" s="42"/>
    </row>
    <row r="54" spans="1:9" ht="24" customHeight="1">
      <c r="A54" s="69" t="s">
        <v>43</v>
      </c>
      <c r="C54" s="36"/>
      <c r="D54" s="36"/>
      <c r="E54" s="36"/>
      <c r="F54" s="36"/>
      <c r="G54" s="36"/>
      <c r="H54" s="36"/>
    </row>
    <row r="55" spans="1:9" ht="24" customHeight="1">
      <c r="B55" s="39" t="s">
        <v>40</v>
      </c>
      <c r="C55" s="41"/>
      <c r="D55" s="41"/>
      <c r="E55" s="41"/>
      <c r="F55" s="41"/>
      <c r="G55" s="41"/>
      <c r="H55" s="41"/>
    </row>
    <row r="56" spans="1:9" ht="24" customHeight="1">
      <c r="B56" s="93" t="s">
        <v>130</v>
      </c>
      <c r="C56" s="41"/>
      <c r="D56" s="41"/>
      <c r="E56" s="41"/>
      <c r="F56" s="41"/>
      <c r="G56" s="41"/>
      <c r="H56" s="41"/>
    </row>
    <row r="57" spans="1:9" ht="24" customHeight="1">
      <c r="B57" s="103" t="s">
        <v>129</v>
      </c>
      <c r="C57" s="103"/>
      <c r="D57" s="103"/>
      <c r="E57" s="103"/>
      <c r="F57" s="103"/>
      <c r="G57" s="103"/>
      <c r="H57" s="103"/>
      <c r="I57" s="103"/>
    </row>
    <row r="58" spans="1:9" ht="24" customHeight="1">
      <c r="B58" s="58" t="s">
        <v>139</v>
      </c>
      <c r="C58" s="58"/>
      <c r="D58" s="58"/>
      <c r="E58" s="58"/>
      <c r="F58" s="58"/>
      <c r="G58" s="58"/>
      <c r="H58" s="58"/>
      <c r="I58" s="58"/>
    </row>
    <row r="59" spans="1:9" ht="24" customHeight="1">
      <c r="B59" s="58" t="s">
        <v>145</v>
      </c>
      <c r="C59" s="58"/>
      <c r="D59" s="58"/>
      <c r="E59" s="58"/>
      <c r="F59" s="58"/>
      <c r="G59" s="58"/>
      <c r="H59" s="58"/>
      <c r="I59" s="58"/>
    </row>
    <row r="60" spans="1:9" ht="24" customHeight="1">
      <c r="B60" s="93" t="s">
        <v>138</v>
      </c>
      <c r="C60" s="41"/>
      <c r="D60" s="41"/>
      <c r="E60" s="41"/>
      <c r="F60" s="41"/>
      <c r="G60" s="41"/>
      <c r="H60" s="41"/>
    </row>
    <row r="61" spans="1:9" ht="24" customHeight="1">
      <c r="B61" s="34" t="s">
        <v>126</v>
      </c>
      <c r="H61" s="41"/>
    </row>
    <row r="62" spans="1:9" ht="24" customHeight="1">
      <c r="B62" s="103" t="s">
        <v>128</v>
      </c>
      <c r="C62" s="103"/>
      <c r="D62" s="103"/>
      <c r="E62" s="103"/>
      <c r="F62" s="103"/>
      <c r="G62" s="103"/>
      <c r="H62" s="103"/>
      <c r="I62" s="103"/>
    </row>
    <row r="63" spans="1:9" ht="24" customHeight="1">
      <c r="B63" s="103" t="s">
        <v>132</v>
      </c>
      <c r="C63" s="103"/>
      <c r="D63" s="103"/>
      <c r="E63" s="103"/>
      <c r="F63" s="103"/>
      <c r="G63" s="103"/>
      <c r="H63" s="103"/>
    </row>
    <row r="64" spans="1:9" ht="24" customHeight="1">
      <c r="B64" s="93" t="s">
        <v>133</v>
      </c>
      <c r="C64" s="41"/>
      <c r="D64" s="41"/>
      <c r="E64" s="41"/>
      <c r="F64" s="41"/>
      <c r="G64" s="41"/>
      <c r="H64" s="41"/>
    </row>
    <row r="65" spans="1:9" s="71" customFormat="1" ht="24" customHeight="1">
      <c r="B65" s="71" t="s">
        <v>135</v>
      </c>
    </row>
    <row r="66" spans="1:9" s="71" customFormat="1" ht="24" customHeight="1">
      <c r="B66" s="71" t="s">
        <v>137</v>
      </c>
    </row>
    <row r="67" spans="1:9" s="71" customFormat="1" ht="24" customHeight="1">
      <c r="B67" s="71" t="s">
        <v>144</v>
      </c>
    </row>
    <row r="68" spans="1:9" s="71" customFormat="1" ht="24" customHeight="1">
      <c r="B68" s="71" t="s">
        <v>149</v>
      </c>
    </row>
    <row r="69" spans="1:9" s="71" customFormat="1" ht="24" customHeight="1">
      <c r="B69" s="71" t="s">
        <v>155</v>
      </c>
    </row>
    <row r="70" spans="1:9" s="71" customFormat="1" ht="24" customHeight="1"/>
    <row r="71" spans="1:9" ht="24" customHeight="1">
      <c r="A71" s="71"/>
      <c r="B71" s="44" t="s">
        <v>41</v>
      </c>
      <c r="C71" s="40"/>
      <c r="D71" s="40"/>
      <c r="E71" s="40"/>
      <c r="F71" s="40"/>
      <c r="G71" s="40"/>
      <c r="H71" s="40"/>
      <c r="I71" s="71"/>
    </row>
    <row r="72" spans="1:9" ht="24" customHeight="1">
      <c r="A72" s="71"/>
      <c r="B72" s="44"/>
      <c r="C72" s="40"/>
      <c r="D72" s="40"/>
      <c r="E72" s="40"/>
      <c r="F72" s="40"/>
      <c r="G72" s="40"/>
      <c r="H72" s="40"/>
      <c r="I72" s="71"/>
    </row>
    <row r="73" spans="1:9" ht="24" customHeight="1">
      <c r="A73" s="71"/>
      <c r="B73" s="44"/>
      <c r="C73" s="40"/>
      <c r="D73" s="40"/>
      <c r="E73" s="40"/>
      <c r="F73" s="40"/>
      <c r="G73" s="40"/>
      <c r="H73" s="40"/>
      <c r="I73" s="71"/>
    </row>
    <row r="74" spans="1:9" s="73" customFormat="1" ht="24" customHeight="1">
      <c r="B74" s="47" t="s">
        <v>42</v>
      </c>
      <c r="C74" s="38"/>
      <c r="D74" s="38"/>
      <c r="E74" s="38"/>
      <c r="F74" s="38"/>
      <c r="G74" s="38"/>
      <c r="H74" s="38"/>
    </row>
    <row r="75" spans="1:9" s="73" customFormat="1" ht="24" customHeight="1">
      <c r="B75" s="71" t="s">
        <v>170</v>
      </c>
      <c r="C75" s="40"/>
      <c r="D75" s="40"/>
      <c r="E75" s="40"/>
      <c r="F75" s="40"/>
      <c r="G75" s="40"/>
      <c r="H75" s="38"/>
    </row>
    <row r="76" spans="1:9" s="73" customFormat="1" ht="24" customHeight="1">
      <c r="B76" s="104" t="s">
        <v>125</v>
      </c>
      <c r="C76" s="104"/>
      <c r="D76" s="104"/>
      <c r="E76" s="104"/>
      <c r="F76" s="104"/>
      <c r="G76" s="104"/>
      <c r="H76" s="35"/>
    </row>
    <row r="77" spans="1:9" s="73" customFormat="1" ht="24" customHeight="1">
      <c r="B77" s="48" t="s">
        <v>127</v>
      </c>
      <c r="C77" s="70"/>
      <c r="D77" s="70"/>
      <c r="E77" s="70"/>
      <c r="F77" s="70"/>
      <c r="G77" s="70"/>
      <c r="H77" s="35"/>
    </row>
    <row r="78" spans="1:9" s="73" customFormat="1" ht="24" customHeight="1">
      <c r="B78" s="48" t="s">
        <v>166</v>
      </c>
      <c r="C78" s="40"/>
      <c r="D78" s="40"/>
      <c r="E78" s="40"/>
      <c r="F78" s="40"/>
      <c r="G78" s="40"/>
      <c r="H78" s="38"/>
    </row>
    <row r="79" spans="1:9" s="73" customFormat="1" ht="24" customHeight="1">
      <c r="B79" s="48" t="s">
        <v>131</v>
      </c>
      <c r="C79" s="40"/>
      <c r="D79" s="40"/>
      <c r="E79" s="40"/>
      <c r="F79" s="40"/>
      <c r="G79" s="40"/>
      <c r="H79" s="38"/>
    </row>
    <row r="80" spans="1:9" s="73" customFormat="1" ht="24" customHeight="1">
      <c r="A80" s="71"/>
      <c r="B80" s="48" t="s">
        <v>134</v>
      </c>
      <c r="C80" s="40"/>
      <c r="D80" s="40"/>
      <c r="E80" s="40"/>
      <c r="F80" s="40"/>
      <c r="G80" s="40"/>
      <c r="H80" s="38"/>
    </row>
    <row r="81" spans="1:9" s="73" customFormat="1" ht="24" customHeight="1">
      <c r="A81" s="71"/>
      <c r="B81" s="71" t="s">
        <v>136</v>
      </c>
      <c r="C81" s="40"/>
      <c r="D81" s="40"/>
      <c r="E81" s="40"/>
      <c r="F81" s="40"/>
      <c r="G81" s="40"/>
      <c r="H81" s="38"/>
    </row>
    <row r="82" spans="1:9" ht="24" customHeight="1">
      <c r="A82" s="71"/>
      <c r="B82" s="48" t="s">
        <v>140</v>
      </c>
      <c r="C82" s="40"/>
      <c r="D82" s="40"/>
      <c r="E82" s="40"/>
      <c r="F82" s="40"/>
      <c r="G82" s="40"/>
      <c r="H82" s="38"/>
      <c r="I82" s="73"/>
    </row>
    <row r="83" spans="1:9" s="71" customFormat="1" ht="24" customHeight="1">
      <c r="B83" s="71" t="s">
        <v>141</v>
      </c>
      <c r="C83" s="94"/>
      <c r="D83" s="94"/>
      <c r="E83" s="95"/>
      <c r="F83" s="95"/>
      <c r="G83" s="95"/>
      <c r="H83" s="45"/>
      <c r="I83" s="34"/>
    </row>
    <row r="84" spans="1:9" s="71" customFormat="1" ht="24" customHeight="1">
      <c r="A84" s="73"/>
      <c r="B84" s="71" t="s">
        <v>147</v>
      </c>
      <c r="C84" s="40"/>
      <c r="D84" s="40"/>
      <c r="E84" s="40"/>
      <c r="F84" s="40"/>
      <c r="G84" s="40"/>
      <c r="H84" s="40"/>
    </row>
    <row r="85" spans="1:9" s="71" customFormat="1" ht="24" customHeight="1">
      <c r="A85" s="73"/>
      <c r="B85" s="71" t="s">
        <v>146</v>
      </c>
      <c r="C85" s="40"/>
      <c r="D85" s="40"/>
      <c r="E85" s="40"/>
      <c r="F85" s="40"/>
      <c r="G85" s="40"/>
      <c r="H85" s="40"/>
    </row>
    <row r="86" spans="1:9" s="73" customFormat="1" ht="24" customHeight="1">
      <c r="A86" s="71"/>
      <c r="B86" s="71" t="s">
        <v>142</v>
      </c>
      <c r="C86" s="40"/>
      <c r="D86" s="40"/>
      <c r="E86" s="40"/>
      <c r="F86" s="40"/>
      <c r="G86" s="40"/>
      <c r="H86" s="40"/>
      <c r="I86" s="71"/>
    </row>
    <row r="87" spans="1:9" s="73" customFormat="1" ht="24" customHeight="1">
      <c r="A87" s="71"/>
      <c r="B87" s="71" t="s">
        <v>143</v>
      </c>
      <c r="C87" s="40"/>
      <c r="D87" s="40"/>
      <c r="E87" s="40"/>
      <c r="F87" s="40"/>
      <c r="G87" s="40"/>
      <c r="H87" s="38"/>
    </row>
    <row r="88" spans="1:9" s="73" customFormat="1" ht="24" customHeight="1">
      <c r="A88" s="71"/>
      <c r="B88" s="71" t="s">
        <v>148</v>
      </c>
      <c r="C88" s="40"/>
      <c r="D88" s="40"/>
      <c r="E88" s="40"/>
      <c r="F88" s="40"/>
      <c r="G88" s="40"/>
      <c r="H88" s="38"/>
    </row>
    <row r="89" spans="1:9" s="73" customFormat="1" ht="24" customHeight="1">
      <c r="A89" s="71"/>
      <c r="B89" s="71" t="s">
        <v>150</v>
      </c>
      <c r="C89" s="40"/>
      <c r="D89" s="40"/>
      <c r="E89" s="40"/>
      <c r="F89" s="40"/>
      <c r="G89" s="40"/>
      <c r="H89" s="38"/>
    </row>
    <row r="90" spans="1:9" s="73" customFormat="1" ht="24" customHeight="1">
      <c r="A90" s="71"/>
      <c r="B90" s="71" t="s">
        <v>151</v>
      </c>
      <c r="C90" s="40"/>
      <c r="D90" s="40"/>
      <c r="E90" s="40"/>
      <c r="F90" s="40"/>
      <c r="G90" s="40"/>
      <c r="H90" s="38"/>
    </row>
    <row r="91" spans="1:9" s="73" customFormat="1" ht="24" customHeight="1">
      <c r="A91" s="71"/>
      <c r="B91" s="71" t="s">
        <v>152</v>
      </c>
      <c r="C91" s="40"/>
      <c r="D91" s="40"/>
      <c r="E91" s="40"/>
      <c r="F91" s="40"/>
      <c r="G91" s="40"/>
      <c r="H91" s="38"/>
    </row>
    <row r="92" spans="1:9" s="73" customFormat="1" ht="24" customHeight="1">
      <c r="A92" s="71"/>
      <c r="B92" s="71" t="s">
        <v>153</v>
      </c>
      <c r="C92" s="40"/>
      <c r="D92" s="40"/>
      <c r="E92" s="40"/>
      <c r="F92" s="40"/>
      <c r="G92" s="40"/>
      <c r="H92" s="38"/>
    </row>
    <row r="93" spans="1:9" s="73" customFormat="1" ht="24" customHeight="1">
      <c r="A93" s="71"/>
      <c r="B93" s="71" t="s">
        <v>154</v>
      </c>
      <c r="C93" s="40"/>
      <c r="D93" s="40"/>
      <c r="E93" s="40"/>
      <c r="F93" s="40"/>
      <c r="G93" s="40"/>
      <c r="H93" s="38"/>
    </row>
    <row r="94" spans="1:9" s="73" customFormat="1" ht="24" customHeight="1">
      <c r="A94" s="71"/>
      <c r="C94" s="38"/>
      <c r="D94" s="38"/>
      <c r="E94" s="38"/>
      <c r="F94" s="38"/>
      <c r="G94" s="38"/>
      <c r="H94" s="38"/>
    </row>
    <row r="95" spans="1:9" s="71" customFormat="1" ht="24" customHeight="1">
      <c r="B95" s="46" t="s">
        <v>52</v>
      </c>
      <c r="C95" s="38"/>
      <c r="D95" s="38"/>
      <c r="E95" s="38"/>
      <c r="F95" s="38"/>
      <c r="G95" s="38"/>
      <c r="H95" s="38"/>
      <c r="I95" s="73"/>
    </row>
    <row r="96" spans="1:9" s="71" customFormat="1" ht="24" customHeight="1">
      <c r="B96" s="46"/>
      <c r="C96" s="40"/>
      <c r="D96" s="40"/>
      <c r="E96" s="40"/>
      <c r="F96" s="40"/>
      <c r="G96" s="40"/>
      <c r="H96" s="40"/>
    </row>
    <row r="97" spans="1:9" s="71" customFormat="1" ht="24" customHeight="1">
      <c r="A97" s="73"/>
      <c r="B97" s="46"/>
      <c r="C97" s="40"/>
      <c r="D97" s="40"/>
      <c r="E97" s="40"/>
      <c r="F97" s="40"/>
      <c r="G97" s="40"/>
      <c r="H97" s="40"/>
    </row>
    <row r="98" spans="1:9" s="71" customFormat="1" ht="24" customHeight="1">
      <c r="B98" s="46"/>
      <c r="C98" s="40"/>
      <c r="D98" s="40"/>
      <c r="E98" s="40"/>
      <c r="F98" s="40"/>
      <c r="G98" s="40"/>
      <c r="H98" s="40"/>
    </row>
    <row r="99" spans="1:9" s="73" customFormat="1" ht="24" customHeight="1">
      <c r="A99" s="71"/>
      <c r="B99" s="46"/>
      <c r="C99" s="40"/>
      <c r="D99" s="40"/>
      <c r="E99" s="40"/>
      <c r="F99" s="40"/>
      <c r="G99" s="40"/>
      <c r="H99" s="40"/>
      <c r="I99" s="71"/>
    </row>
    <row r="100" spans="1:9" s="71" customFormat="1" ht="24" customHeight="1">
      <c r="B100" s="43"/>
      <c r="C100" s="38"/>
      <c r="D100" s="38"/>
      <c r="E100" s="38"/>
      <c r="F100" s="38"/>
      <c r="G100" s="38"/>
      <c r="H100" s="38"/>
      <c r="I100" s="73"/>
    </row>
    <row r="101" spans="1:9" s="71" customFormat="1" ht="24" customHeight="1">
      <c r="B101" s="43"/>
      <c r="C101" s="40"/>
      <c r="D101" s="40"/>
      <c r="E101" s="40"/>
      <c r="F101" s="40"/>
      <c r="G101" s="40"/>
      <c r="H101" s="40"/>
    </row>
    <row r="102" spans="1:9" s="71" customFormat="1" ht="24" customHeight="1">
      <c r="B102" s="43"/>
      <c r="C102" s="40"/>
      <c r="D102" s="40"/>
      <c r="E102" s="40"/>
      <c r="F102" s="40"/>
      <c r="G102" s="40"/>
      <c r="H102" s="40"/>
    </row>
    <row r="103" spans="1:9" s="71" customFormat="1" ht="24" customHeight="1">
      <c r="B103" s="43"/>
      <c r="C103" s="40"/>
      <c r="D103" s="40"/>
      <c r="E103" s="40"/>
      <c r="F103" s="40"/>
      <c r="G103" s="40"/>
      <c r="H103" s="40"/>
    </row>
    <row r="104" spans="1:9" s="71" customFormat="1" ht="24" customHeight="1">
      <c r="B104" s="46"/>
      <c r="C104" s="40"/>
      <c r="D104" s="40"/>
      <c r="E104" s="40"/>
      <c r="F104" s="40"/>
      <c r="G104" s="40"/>
      <c r="H104" s="40"/>
    </row>
    <row r="105" spans="1:9" s="71" customFormat="1" ht="24" customHeight="1">
      <c r="B105" s="46"/>
      <c r="C105" s="40"/>
      <c r="D105" s="40"/>
      <c r="E105" s="40"/>
      <c r="F105" s="40"/>
      <c r="G105" s="40"/>
      <c r="H105" s="40"/>
    </row>
    <row r="106" spans="1:9" s="71" customFormat="1" ht="24" customHeight="1">
      <c r="B106" s="46"/>
      <c r="C106" s="40"/>
      <c r="D106" s="40"/>
      <c r="E106" s="40"/>
      <c r="F106" s="40"/>
      <c r="G106" s="40"/>
      <c r="H106" s="40"/>
    </row>
    <row r="107" spans="1:9" s="71" customFormat="1" ht="24" customHeight="1">
      <c r="B107" s="46"/>
      <c r="C107" s="40"/>
      <c r="D107" s="40"/>
      <c r="E107" s="40"/>
      <c r="F107" s="40"/>
      <c r="G107" s="40"/>
      <c r="H107" s="40"/>
    </row>
    <row r="108" spans="1:9" s="71" customFormat="1" ht="24" customHeight="1">
      <c r="B108" s="46"/>
      <c r="C108" s="40"/>
      <c r="D108" s="40"/>
      <c r="E108" s="40"/>
      <c r="F108" s="40"/>
      <c r="G108" s="40"/>
      <c r="H108" s="40"/>
    </row>
    <row r="109" spans="1:9" s="71" customFormat="1" ht="24" customHeight="1">
      <c r="B109" s="46"/>
      <c r="C109" s="40"/>
      <c r="D109" s="40"/>
      <c r="E109" s="40"/>
      <c r="F109" s="40"/>
      <c r="G109" s="40"/>
      <c r="H109" s="40"/>
    </row>
    <row r="110" spans="1:9" s="71" customFormat="1" ht="24" customHeight="1">
      <c r="B110" s="46"/>
      <c r="C110" s="40"/>
      <c r="D110" s="40"/>
      <c r="E110" s="40"/>
      <c r="F110" s="40"/>
      <c r="G110" s="40"/>
      <c r="H110" s="40"/>
    </row>
    <row r="111" spans="1:9" s="71" customFormat="1" ht="24" customHeight="1">
      <c r="B111" s="46"/>
      <c r="C111" s="40"/>
      <c r="D111" s="40"/>
      <c r="E111" s="40"/>
      <c r="F111" s="40"/>
      <c r="G111" s="40"/>
      <c r="H111" s="40"/>
    </row>
    <row r="112" spans="1:9" s="71" customFormat="1" ht="24" customHeight="1">
      <c r="B112" s="46"/>
      <c r="C112" s="40"/>
      <c r="D112" s="40"/>
      <c r="E112" s="40"/>
      <c r="F112" s="40"/>
      <c r="G112" s="40"/>
      <c r="H112" s="40"/>
    </row>
    <row r="113" spans="1:9" s="71" customFormat="1" ht="24" customHeight="1">
      <c r="B113" s="46"/>
      <c r="C113" s="40"/>
      <c r="D113" s="40"/>
      <c r="E113" s="40"/>
      <c r="F113" s="40"/>
      <c r="G113" s="40"/>
      <c r="H113" s="40"/>
    </row>
    <row r="114" spans="1:9" s="71" customFormat="1" ht="24" customHeight="1">
      <c r="B114" s="46"/>
      <c r="C114" s="40"/>
      <c r="D114" s="40"/>
      <c r="E114" s="40"/>
      <c r="F114" s="40"/>
      <c r="G114" s="40"/>
      <c r="H114" s="40"/>
    </row>
    <row r="115" spans="1:9" s="71" customFormat="1" ht="24" customHeight="1">
      <c r="B115" s="34"/>
      <c r="C115" s="40"/>
      <c r="D115" s="40"/>
      <c r="E115" s="40"/>
      <c r="F115" s="40"/>
      <c r="G115" s="40"/>
      <c r="H115" s="40"/>
    </row>
    <row r="116" spans="1:9" s="71" customFormat="1" ht="24" customHeight="1">
      <c r="B116" s="34"/>
      <c r="C116" s="40"/>
      <c r="D116" s="40"/>
      <c r="E116" s="40"/>
      <c r="F116" s="40"/>
      <c r="G116" s="40"/>
      <c r="H116" s="40"/>
    </row>
    <row r="117" spans="1:9" s="71" customFormat="1" ht="24" customHeight="1">
      <c r="B117" s="34"/>
      <c r="C117" s="40"/>
      <c r="D117" s="40"/>
      <c r="E117" s="40"/>
      <c r="F117" s="40"/>
      <c r="G117" s="40"/>
      <c r="H117" s="40"/>
    </row>
    <row r="118" spans="1:9" s="71" customFormat="1" ht="24" customHeight="1">
      <c r="B118" s="34"/>
      <c r="C118" s="40"/>
      <c r="D118" s="40"/>
      <c r="E118" s="40"/>
      <c r="F118" s="40"/>
      <c r="G118" s="40"/>
      <c r="H118" s="40"/>
    </row>
    <row r="119" spans="1:9" s="71" customFormat="1" ht="24" customHeight="1">
      <c r="A119" s="34"/>
      <c r="B119" s="34"/>
      <c r="C119" s="40"/>
      <c r="D119" s="40"/>
      <c r="E119" s="40"/>
      <c r="F119" s="40"/>
      <c r="G119" s="40"/>
      <c r="H119" s="40"/>
    </row>
    <row r="120" spans="1:9" s="71" customFormat="1" ht="24" customHeight="1">
      <c r="A120" s="34"/>
      <c r="B120" s="34"/>
      <c r="C120" s="40"/>
      <c r="D120" s="40"/>
      <c r="E120" s="40"/>
      <c r="F120" s="40"/>
      <c r="G120" s="40"/>
      <c r="H120" s="40"/>
    </row>
    <row r="121" spans="1:9">
      <c r="C121" s="40"/>
      <c r="D121" s="40"/>
      <c r="E121" s="40"/>
      <c r="F121" s="40"/>
      <c r="G121" s="40"/>
      <c r="H121" s="40"/>
      <c r="I121" s="71"/>
    </row>
  </sheetData>
  <mergeCells count="12">
    <mergeCell ref="B52:I52"/>
    <mergeCell ref="B76:G76"/>
    <mergeCell ref="B62:I62"/>
    <mergeCell ref="B57:I57"/>
    <mergeCell ref="B63:H63"/>
    <mergeCell ref="A3:H3"/>
    <mergeCell ref="A1:I1"/>
    <mergeCell ref="A13:B13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8" orientation="portrait" r:id="rId1"/>
  <colBreaks count="1" manualBreakCount="1">
    <brk id="11" max="9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2025-01-13T03:25:41Z</dcterms:modified>
</cp:coreProperties>
</file>