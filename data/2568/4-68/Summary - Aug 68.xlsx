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10.10.45.246\Quality\Aaa\ESB\2568\8. Aug 68\"/>
    </mc:Choice>
  </mc:AlternateContent>
  <xr:revisionPtr revIDLastSave="0" documentId="13_ncr:1_{53BE58C7-0DA3-408B-B17B-ACEFE92090CC}" xr6:coauthVersionLast="47" xr6:coauthVersionMax="47" xr10:uidLastSave="{00000000-0000-0000-0000-000000000000}"/>
  <bookViews>
    <workbookView xWindow="-120" yWindow="-120" windowWidth="29040" windowHeight="15840" activeTab="1" xr2:uid="{00000000-000D-0000-FFFF-FFFF00000000}"/>
  </bookViews>
  <sheets>
    <sheet name="Total Table" sheetId="1" r:id="rId1"/>
    <sheet name="Summary" sheetId="2" r:id="rId2"/>
  </sheets>
  <definedNames>
    <definedName name="OLE_LINK1" localSheetId="1">Summary!#REF!</definedName>
    <definedName name="_xlnm.Print_Area" localSheetId="0">'Total Table'!$A$1:$N$116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2" i="1" l="1"/>
  <c r="J22" i="1"/>
  <c r="M91" i="1"/>
  <c r="E68" i="1"/>
  <c r="F91" i="1"/>
  <c r="K68" i="1"/>
  <c r="B22" i="1"/>
  <c r="O45" i="1"/>
  <c r="N45" i="1"/>
  <c r="M45" i="1"/>
  <c r="E22" i="1"/>
  <c r="L45" i="1"/>
  <c r="I45" i="1"/>
  <c r="H45" i="1"/>
  <c r="G45" i="1"/>
  <c r="F45" i="1"/>
  <c r="E45" i="1"/>
  <c r="D45" i="1"/>
  <c r="P22" i="1"/>
  <c r="O22" i="1"/>
  <c r="N22" i="1"/>
  <c r="M22" i="1"/>
  <c r="K22" i="1"/>
  <c r="H22" i="1"/>
  <c r="G22" i="1"/>
  <c r="F22" i="1"/>
  <c r="D22" i="1"/>
  <c r="C22" i="1"/>
  <c r="G68" i="1"/>
  <c r="C91" i="1"/>
  <c r="B91" i="1"/>
  <c r="O91" i="1" l="1"/>
  <c r="L68" i="1" l="1"/>
  <c r="M68" i="1"/>
  <c r="N68" i="1"/>
  <c r="P68" i="1"/>
  <c r="P91" i="1"/>
  <c r="D91" i="1"/>
  <c r="E91" i="1"/>
  <c r="G91" i="1"/>
  <c r="H91" i="1"/>
  <c r="I91" i="1"/>
  <c r="J91" i="1"/>
  <c r="K91" i="1"/>
  <c r="L91" i="1"/>
  <c r="B68" i="1"/>
  <c r="C68" i="1"/>
  <c r="D68" i="1"/>
  <c r="F68" i="1"/>
  <c r="I68" i="1"/>
  <c r="J68" i="1"/>
</calcChain>
</file>

<file path=xl/sharedStrings.xml><?xml version="1.0" encoding="utf-8"?>
<sst xmlns="http://schemas.openxmlformats.org/spreadsheetml/2006/main" count="536" uniqueCount="207">
  <si>
    <t>หัวข้อ</t>
  </si>
  <si>
    <t>ทันตกรรม</t>
  </si>
  <si>
    <t>ORTHO</t>
  </si>
  <si>
    <t>ศัลยกรรม</t>
  </si>
  <si>
    <t>พัฒนาการเด็ก</t>
  </si>
  <si>
    <t>ANC</t>
  </si>
  <si>
    <t>เบาหวาน</t>
  </si>
  <si>
    <t>จักษุ</t>
  </si>
  <si>
    <t>จำนวนใบประเมิน</t>
  </si>
  <si>
    <t>ระดับคะแนนเฉลี่ย</t>
  </si>
  <si>
    <t>คิดเป็นร้อยละ</t>
  </si>
  <si>
    <t>ไตเทียม</t>
  </si>
  <si>
    <t>ห้องคลอด</t>
  </si>
  <si>
    <t>ตึกสว่าง</t>
  </si>
  <si>
    <t>MICU</t>
  </si>
  <si>
    <t>18A</t>
  </si>
  <si>
    <t>18B</t>
  </si>
  <si>
    <t>18C</t>
  </si>
  <si>
    <t>18D</t>
  </si>
  <si>
    <t>19A</t>
  </si>
  <si>
    <t>19C</t>
  </si>
  <si>
    <t>19D</t>
  </si>
  <si>
    <t>21D</t>
  </si>
  <si>
    <t>22A</t>
  </si>
  <si>
    <t>22B</t>
  </si>
  <si>
    <t>22C</t>
  </si>
  <si>
    <t>22D</t>
  </si>
  <si>
    <t>23A</t>
  </si>
  <si>
    <t>24A</t>
  </si>
  <si>
    <t>25A</t>
  </si>
  <si>
    <t>25B</t>
  </si>
  <si>
    <t>26A</t>
  </si>
  <si>
    <t>26B</t>
  </si>
  <si>
    <t>OPD</t>
  </si>
  <si>
    <t>IPD</t>
  </si>
  <si>
    <t>ER</t>
  </si>
  <si>
    <t>BLD</t>
  </si>
  <si>
    <t>OR</t>
  </si>
  <si>
    <t>ข้อเสนอแนะ OPD</t>
  </si>
  <si>
    <t>1. ด้านบริการ</t>
  </si>
  <si>
    <t>2. ด้านบุคลากร</t>
  </si>
  <si>
    <t>3. ด้านอุปกรณ์ เครื่องมือ สถานที่</t>
  </si>
  <si>
    <t>ข้อเสนอแนะ IPD</t>
  </si>
  <si>
    <t>OB-GYN</t>
  </si>
  <si>
    <t>การแนะนำญาติหรือคนรู้จักให้มาใช้บริการที่โรงพยาบาล (ร้อยละ)</t>
  </si>
  <si>
    <t>21A</t>
  </si>
  <si>
    <t>SICU</t>
  </si>
  <si>
    <t>19B</t>
  </si>
  <si>
    <t>NICU</t>
  </si>
  <si>
    <t>PED</t>
  </si>
  <si>
    <t>จิตเวช</t>
  </si>
  <si>
    <t xml:space="preserve"> </t>
  </si>
  <si>
    <t>Burn U.</t>
  </si>
  <si>
    <t xml:space="preserve">สรุปผล ข้อเสนอแนะที่ต้องได้รับการปรับปรุง คือ </t>
  </si>
  <si>
    <t>ฝังเข็ม</t>
  </si>
  <si>
    <t>ปฐมภูมิ</t>
  </si>
  <si>
    <t>ENT</t>
  </si>
  <si>
    <t>นอกเวลา</t>
  </si>
  <si>
    <t>Meta</t>
  </si>
  <si>
    <t>ผ่าตัดวิสัญญี</t>
  </si>
  <si>
    <t>MED</t>
  </si>
  <si>
    <t>กายภาพ</t>
  </si>
  <si>
    <t>ส่องกล้อง</t>
  </si>
  <si>
    <t>คลินิกเวชปฏิบัติ</t>
  </si>
  <si>
    <t>ผิวหนัง</t>
  </si>
  <si>
    <t xml:space="preserve"> -</t>
  </si>
  <si>
    <t>-</t>
  </si>
  <si>
    <t>เวชกรรม
ฟื้นฟู</t>
  </si>
  <si>
    <t>ชั้น 1
 อาคาร 
150 ปี</t>
  </si>
  <si>
    <t>หัตถการ</t>
  </si>
  <si>
    <t>ห้องบัตร ชั้น 1</t>
  </si>
  <si>
    <t>HBO</t>
  </si>
  <si>
    <t>1. แพทย์ให้ความสำคัญกับการตรวจร่างกายเพื่อวินิจฉัยโรค</t>
  </si>
  <si>
    <t>2. แพทย์ให้ข้อมูล/แนะนำวิธีการและทางเลือกในการรักษา</t>
  </si>
  <si>
    <t>3. คำถามและข้อสงสัย ได้รับคำตอบที่ชัดเจนจากแพทย์</t>
  </si>
  <si>
    <t>4. แพทย์รับฟัง/พูดคุยให้ท่านคลายความกังวลในอาการเจ็บป่วย</t>
  </si>
  <si>
    <t>5. ท่านได้มีโอกาสพูดคุยกับพยาบาลหรือเจ้าหน้าที่เรื่องอาการเจ็บป่วย</t>
  </si>
  <si>
    <t>6. พยาบาลเจ้าหน้าที่สามารถตอบข้อสงสัยได้ชัดเจน</t>
  </si>
  <si>
    <t>7. ท่านได้รับการดูแลเอาใจใส่</t>
  </si>
  <si>
    <t>8. ท่านมีส่วนร่วมในการตัดสินใจเรื่องการรักษาพยาบาล</t>
  </si>
  <si>
    <t>9. ท่านได้รับการดูแลอย่างเท่าเทียม ไม่เลือกปฏิบัติ</t>
  </si>
  <si>
    <t>10. ท่านได้รับคำแนะนำและขั้นตอนในการรับบริการโรงพยาบาล</t>
  </si>
  <si>
    <t>11. อาการเจ็บป่วยทางกายและใจได้รับการดูแลอย่างดี</t>
  </si>
  <si>
    <t>12. แพทย์เปิดโอกาสให้ผู้ป่วย/ญาติได้ซักถาม</t>
  </si>
  <si>
    <t>13. ผู้ป่วยและญาติได้รับข้อมูลการรักษาที่เป็นประโยชน์ สามารถดูแลตัวเองได้</t>
  </si>
  <si>
    <t>14. ท่านได้รับข้อมูลการใช้ยาและผลข้างเคียงอย่างชัดเจน</t>
  </si>
  <si>
    <t>15. ท่านได้รับคำแนะนำอย่างชัดเจนถึงอาการที่ควรกลับมาพบแพทย์</t>
  </si>
  <si>
    <t>16. ท่านพึงพอใจต่อการบริการของโรงพยาบาลโดยรวมในระดับใด</t>
  </si>
  <si>
    <t>PICU</t>
  </si>
  <si>
    <t>20B</t>
  </si>
  <si>
    <t>20C</t>
  </si>
  <si>
    <t>CCU</t>
  </si>
  <si>
    <t>เคมีบำบัด
และโรคเลือด</t>
  </si>
  <si>
    <t>ผ่าตัด 
นอกเวลา</t>
  </si>
  <si>
    <t>การเงิน 
และบัญชี</t>
  </si>
  <si>
    <t>Stroke</t>
  </si>
  <si>
    <t>หอบ</t>
  </si>
  <si>
    <t>Meta Plus</t>
  </si>
  <si>
    <t>สรุปการประเมินผล OP-IP VOICE เดือนสิงหาคม 2568</t>
  </si>
  <si>
    <t>สรุปการประเมินผล OP-IP VOICE  เดือนสิงหาคม 2568</t>
  </si>
  <si>
    <t>-	รอนานมาก</t>
  </si>
  <si>
    <t>-	ควรมีมารยาทมากกว่านี้</t>
  </si>
  <si>
    <t xml:space="preserve">-	พูดจาไม่มีหางเสียง ควรใช้นํ้าเสียงกริยาที่ดีกว่านี้ให้เกียรติกันด้วยนะคะ </t>
  </si>
  <si>
    <t>-	ไม่มีอะไรดีเลยช้าสุด ๆ นั่งรอตั้งแต่ 6 โมงเย็น 5 ทุ่มพึ่งได้เข้าห้องตรวจ</t>
  </si>
  <si>
    <t>-	ทำอะไรกันช้ามาก คนไข้รอจะเป็นจะตายก็ให้รอไม่รู้คิดอะไรอยู่ ไม่อยากทำก็ออกกันไปเถอะ</t>
  </si>
  <si>
    <t>-	ควรเปิดปิดประตูช่วงกะดึกให้เบาลงกว่านี้คะ พอทำให้เด็กผวาเวลาเด็กนอนตอนกลางคืน</t>
  </si>
  <si>
    <t>-	ช้ามาก มากที่สุด มาตั้งแต่16:00-22:00 น. ก็รอตรวจคนไข้ล้นหน้าห้องทั้งนอนรอนั่งรอกว่าจะเคลื่อนได้แต่ละคิว ช้ามาก ท้อมากอย่าพูดว่าถ้าไม่อยากรอไปตรวจที่อื่น ประกันอยู่ที่นี่ค่ะ จ่ายทุกเดือน รอนานที่สุด ขอบคุณค่ะ</t>
  </si>
  <si>
    <t>-	วันนี้มาด้วยอาการเจ็บคอไม่มีเสียง ไม่รู้ว่าระบบโรงพยาบาลเป็นยังไง เข้ามาก็กรอกประวัติปกติ เราพึ่งกดย้ายโรงพยาบาลมา ไปที่ตู้ก็ไม่ได้ ต้องมาเคาน์เตอร์ เคาน์เตอร์บอกที่หลังก็กดตู้นะคะ ก็ตู้กด เขาบอกไห้มาเคาน์เตอร์ สรุปเป็นฝ่ายรับหน้าที่รู้อะไรบ้างคะ เสร็จบอกขึ้นมาด้านบน ต้องมาต่อคิว ถึงปุ๊ป บอกเข้าไปได้เลย ทำไมไม่บอกฉันตั้งแต่ด้านล่าง สรุปเยอะค่ะ โรงพยาบาลนี้ไม่จบไม่สิ้น พยาบาลคัดมาแต่อะไรไม่รู้ ทำนิ่วฉันเน่า เพราะมาดามนิ้ว พันแน่นเกินไป มา 5 วันแกะแผลออกเน่า จบ สมเด็จนี่แหละ ถ้าไม่ป่วยก็ไม่อยากมา</t>
  </si>
  <si>
    <t>-	เจ้าหน้าที่ไม่มีเวรพักกลางวัน ควรสลับกัน คนป่วยต้องมานั่งรอการทำแผลเป็นชั่วโมง</t>
  </si>
  <si>
    <t>-	 เจ้าหน้าที่ค่อนข้างน้อย การดำเนินงานด้านเอกสารล่าช้าซึ่งเป็นสิ่งที่เข้าใจได้ แต่อยากแนะนำให้ขั้นตอนนี้รวดเร็วขึ้นเพื่อลดกระบวนการหลายหลายอย่าง</t>
  </si>
  <si>
    <t>-	 แพทย์หายตลอดทุกครั้งที่มาจะต้องนั่งรอแล้วหมอก็หายไปผ่าตัดบ้าง ประชุมบ้าง ปล่อยให้คนไข้ คนแก่มารอตั้งแต่ 7 โมง เที่ยงแล้วก็ยังไม่ได้เจอหมอ</t>
  </si>
  <si>
    <t>-	เดิมเคยมาคลินิคนอกเวลาได้รับบริการดีกว่านี้</t>
  </si>
  <si>
    <t>-	เป็นคลินิกนอกเวลา แต่ยังมีความหนาแน่นของคนไข้เป็นจำนวนมาก</t>
  </si>
  <si>
    <t>-	ควรปรับปรุงด้านการให้บัตรคิว ปรับเปลี่ยนเป็นตู้อัตโนมัติ เจ้าหน้าที่ควรใช้ไมประกาศชื่อและแจ้งให้ชัดเจนว่าไปจุดไหนหรือทำอะไรบ้าง</t>
  </si>
  <si>
    <t>-	ผู้ป่วยต้องรอคิวด้านล่างแทนที่จะปล่อยเข้ามารับคิวด้านบนตามใบนัดไม่ต้องให้รอคิวซ้ำซ้อน</t>
  </si>
  <si>
    <t>-	บริเวณที่ให้นั่งรอตรวจมีน้อยเกินไป (คลินิกพิเศษเฉพาะทางนอกเวลา)</t>
  </si>
  <si>
    <t>-	รอคิวนาน</t>
  </si>
  <si>
    <t>-	ถามแล้วเดินหนี รอคิวนานมาก พอเข้าไปถามพูดจาไม่ดีเข้าใจว่าทำงานเหนื่อย</t>
  </si>
  <si>
    <t>-	ยื่นเอกสารที่ตึก OPD คลินิกเวชปฏิบัติ (ชั้น 4) จุด A แจ้งพยาบาลว่า มีไปพบนักจิตบำบัดอีกตึกนึง ขอมายื่นเอกสารไว้ก่อนตามหมายนัด พยาบาลคนแรกบอกได้ค่ะ และสอบถาม ก่อนออกมาคนไข้ถามว่า ต้องแจ้งเบอร์ไว้ไหมคะ พยาบาลอีกท่านพูดว่า ‘ไม่โทรตามอยู่แล้ว’ ด้วยน้ำเสียงแบบไม่น่ารักมากๆ ไม่รู้นะว่าคุณพยาบาลเหนื่อยอะไรมา หรือ พบเจออะไรมา จากคนไข้จิตแจ่มใส เข้าใจระบบ โรงพยาบาล เดินตามกระบวนการ ไม่ได้ขอแทรกคิว ไม่ได้ขอลัดคิว แต่การที่พยาบาลคนนี้ตอบด้วยเสียง สายตา ที่ไม่น่ารักนี่ รบกวนปรับปรุงให้หน่อยนะคะ คุณเป็นด่านแรกๆที่เจอคนไข้ แต่เจอคุณพยาบาลท่านนี้พูดจาด้วยน้ำเสียงไม่น่านักมันดูไม่โอเคสำหรับคนไข้เท่าไหร่</t>
  </si>
  <si>
    <t>-	เรียนผู้บริหารโรงพยาบาลสมเด็จ ผู้ป่วยมีไข้ขึ้นกว่า 39 องศามารอตรวจคนไข้เยอะแต่มีแพทย์แค่หนึ่งหรือสองท่านเท่านั้นคนไข้มานอนรอและรอตรวจห้าถึง 6 ชั่วโมง นี่มันเป็นคลินิกประกันสังคมนะครับแบบนี้เรียกว่าบริการห่วยไหมครับห้องตรวจมีเยอะแยะแต่มีหมอแค่หนึ่งถึงสองท่านเท่านั้นทำห้องตรวจไว้ทำไมเยอะแยะ</t>
  </si>
  <si>
    <t>-	ระบบไม่ค่อยเสถียรควรปรับปรุง</t>
  </si>
  <si>
    <t>-	ควรมีระบบการลงทะเบียน แบบวอล์คอินออนไลน์และทำช่องทางพิเศษสำหรับผู้ป่วย ลงทะเบียนและรอเวลาในการรักษาเพื่อลดระยะเวลารอคอยในโรงพยาบาล</t>
  </si>
  <si>
    <t>-	บริเวณหน้าตึกไม่มีเจ้าหน้าที่ช่วยยก ผู้ป่วย  ผู้ป่วยเดินไม่สะดวกลงจากรถลำบาก</t>
  </si>
  <si>
    <t>-	จุดขายน้ำดื่มควรมีหลาย ๆ ที่เพื่อบริการคนไข้อย่างทั่วถึง</t>
  </si>
  <si>
    <t>-	โรงพยาบาลแห่งนี้น่าจะมีจุดน้ำดื่มให้บริการคนไข้มากกว่านี้</t>
  </si>
  <si>
    <t>-	จุดลงทะเบียนน้อย</t>
  </si>
  <si>
    <t xml:space="preserve">-	ควรมีเลขลำดับคิวของห้องตรวจแต่ละห้องว่าถึงไหนบ้างหรือหน้าจอทีวีหรือแอพพลิเคชันต่างๆเพื่อบอกระบบคิว </t>
  </si>
  <si>
    <t>-	รอนานมาก (3)</t>
  </si>
  <si>
    <t>-	เนื่องจากมีคนไข้ในปริมาณมากการรอเข้ารับการรักษาจึงนานมากอยากให้เพิ่มช่องทางในการรักษากับเพิ่มแพทย์ให้มีปริมาณที่เยอะกว่านี้</t>
  </si>
  <si>
    <t>-	อาจจะใช้เวลาในการรอพบแพทย์ค่อนข้างนานพอสมควรต้องเผื่อเวลาไว้บ้าง</t>
  </si>
  <si>
    <t>-	อยากให้มีการชี้แจงรายละเอียดคำแนะนำก่อนและหลังการเข้ารับการรักษาที่ชัดเจนแก่ผู้ป่วยทุกครั้ง</t>
  </si>
  <si>
    <t>-	ขั้นตอนการเข้าตึกตอนเช้ายังสับสนและวุ่นวาย</t>
  </si>
  <si>
    <t>-	คนไข้เยอะ เจ้าหน้าที่น้อย เพิ่มเจ้าหน้าที่</t>
  </si>
  <si>
    <t xml:space="preserve">-	ไม่ควรเก็บค่าที่จอดรถ </t>
  </si>
  <si>
    <t>-	อาหารควรมีขายทุกชั้นที่ผู้รับบริการนั่งคอย</t>
  </si>
  <si>
    <t>-	ระยะเวลาในการรอคอยนานมาก</t>
  </si>
  <si>
    <t>-	การพูดจาอยากให้ปรับปรุง</t>
  </si>
  <si>
    <t>-	หลายครั้งใช้น้ำเสียงหรือพูดจาไม่ดี เจอพยาบาลหลายจุดเกิน รอนาน</t>
  </si>
  <si>
    <t>-	การรอคิวรับยานานมากๆ คิววิ่งไปมาไม่เรียงลำดับกัน</t>
  </si>
  <si>
    <t>-	อยากให้เเสดงความชัดเจนเวลาซักถาม</t>
  </si>
  <si>
    <t>-	ควรมีข้อแนะนำเกี่ยวกับอาการผิดปกติที่ต้องรีบมาพบแพทย์</t>
  </si>
  <si>
    <t>-	อยากให้เพิ่มจำนวนบุคลการในการซักประวัติ ทั้งรอบเช้าและรอบบ่าย พร้อมกันทีเดียวเลยครับ</t>
  </si>
  <si>
    <t>-	มาครั้งนี้การเข้าตึกเปลี่ยนไป โดยใช้ช่องทางเข้าคือฝั่งเดียว แค่แยกผู้มีใบนัดเข้าประตูทางเข้า ผู้ไม่มีใบนัดเข้าประตูออก ทำให้เห็นว่าผู้ป่วยและญาติมายืนออกันฝั่งเดียวและแออัด ซึ่งเมื่อก่อนดีกว่าผู้ป่วยบางรายที่เป็นผู้สูงอายุพอที่จะเดินได้ แต่ก็ถูกเบียดเกือบล้มก็มีหลายราย</t>
  </si>
  <si>
    <t>-	ปรับปรุงสถานที่จอดรถ</t>
  </si>
  <si>
    <t>-	ที่จอดรถราคาแพงเกินไป หาหมอนานน่าจะลดราคาลงบ้าง</t>
  </si>
  <si>
    <t>-	รอตรวจนานมาก (2)</t>
  </si>
  <si>
    <t xml:space="preserve">-	ทำแผลแรงไปหน่อย </t>
  </si>
  <si>
    <t>-	รอรับยานาน (2)</t>
  </si>
  <si>
    <t>-	เมื่อวันที่ 29 ก.ค. ได้เข้าไปตรวจแผนกนรีเวช ไปลงทะเบียนตั้งแต่ 8:00 น และกลับมาอีกทีตอน 12:30 น ก็เห็นหมอผู้ชายท่านหนึ่งกินขนมและวิ่งไปวิ่งมาหน้าห้องตรวจ ก็มองดูแต่ก็ไม่ได้คิดอะไรเยอะ พอ 13:30 น เริ่มเรียกคิวก็บังเอิญได้เข้าพบหมอท่านนี้ ก็ซักประวัติปกติ และก็พูดมาคำนึงว่าถ้าอัลตร้าซาวด์ไม่มีอะไรก็จะไม่นัดแล้วนะ เราก็บอกไปว่าแต่ก่อนหน้านี้ได้มี CT scan เจอก้อนเนื้อขนาด 1.3 cm อยู่ 1 ก้อน และเมื่อสิ้นปีที่แล้วมีผ่าตัดก้อนเนื้อที่มดลูกขนาด 7 cm ไป 1 ครั้ง และได้แจ้งหมอว่ารอบนี้ประจำเดือนมาน้อยกว่าปกติมา 2 เดือนแล้ว พอทำการขึ้นเตียงก็ใส่เครื่องมือเพื่อตรวจมะเร็งปากมดลูกก่อน และทำการอัลตร้าซาวด์ ซึ่งที่ผ่านมาทำที่นี่หลายครั้งใช้เวลานานพอสมควรเพราะหมอทำ U/Sละเอียดมาก แต่อันนี้คืออัลตร้าซาวด์แป๊บเดียวและบอกว่าไม่เจออะไร รอบหน้าไม่นัดแล้วนะเราจึงถามว่าแล้วตรวจมะเร็งปากมดลูกล่ะเขาบอกว่าก็ walk in มาแล้วกัน และเลือกไม่ follow up อีก พอไปเช็คข้อมูลแพทย์เขาจบปี 66 และเหมือนยังไม่ได้เป็นแพทย์เฉพาะทางด้วย ตรวจแบบลวกๆ ใส่เครื่องมือแบบไม่สนใจคนไข้เลยว่าจะเจ็บอะไรไหม</t>
  </si>
  <si>
    <t>-	นานๆทีจะมาหาหมอที่ชั้น 6 ค่ะ (เบื้องต้นยังไม่ได้พบคุณหมอ) เเต่พบเจ้าหน้าที่ 
1. จุดบริการจุดที่ 4 ทางเราไม่ทราบจริงๆว่า จะเรียกเเค่เฉพาะคนล้างแผลผ่าตัดฯ เราไปยื่นเอกสารเพราะจะเจอพบหมอเรื่องอาการป่วย ถ้าไม่ลุกไปถามก็ไม่ยอมพูดว่าให้ไปติดต่อตรงไหน คืออยากให้ทำงานด้วยการบริการที่จริงใจ ให้คำแนะนำกับผู้ป่วย ไม่ใช่ให้รออย่างไม่มีเป้าหมาย
2.จุดบริการหน้าห้องตรวจ หน้าห้องเบอร์ 8 เจ้าหน้าที่พยาบาล (ไม่อยากระบุชื่อ เพราะไม่อยากให้กระทบกับการทำงานในอนาคต เเต่มาเเจ้งเพื่อให้ทราบว่า เขาทำงานเเบบนี้) ไม่มีความพร้อมในการบริการเช่นเดียวกัน
-	ระบบการเงินและรับยาห่วยแตกที่สุด ไม่มึป้ายบอกขั้นตอน/Instruction ให้ชัดเจน ว่าต้องไปต่อคิวการเงินหรือยื่นใบสั่งยาก่อน อย่างในกรณีนี้ ไปยื่นการเงินก่อน แต่โดนไล่ให้ไปยื่นห้องยา (ซึ่งรอคิวการเงินนานมากแต่ดันโดนไล่ไปยื่นเอกสารอีกคิว และต้องมารอคิวการเงินใหม่) เสียเวลาไปประมาณ 30 นาที
ยังไม่พอ ตอนจ่ายเงิน การเงินกลับไม่คิดเงินให้ครบทุกยอด (มียอดค่าตรวจภายใน กับยอดยาคุม ซึ่งเป็นใบสั่งยา คิดคนละบิลกัน) แต่มีการสแตมป์ว่าผ่านบัญชีแล้ว ทั้งสองบิล (แปลว่าจ่ายแล้วทั้งค่าตรวจหัตถการ และค่ายา) พอจ่ายเงินเสร็จเราก็ไปต่อคิวรับยาอีก 10 นาทีปรากฏว่ารับไม่ได้ เพราะคิวรับยายังไม่ขึ้น นั่งรอไปอีก 30 นาที ก็ไม่มีใครแจ้งอะไร จนไปสังเกตช่องคิวติดต่อการเงิน (ในจอทีวี มันแบ่งเป็นติดต่อรับยากับติดต่อการเงิน) สรุปว่ามันให้ติดต่อการเงิน พอไปต่อคิวอีก 10 นาที ถึงรู้ว่าเขาลืมคิดเงินค่ายา คิวรับยามันเลยไม่ขึ้น ต้องจ่ายค่ายาอีกบิลถึงไปรอรับยาอีก 5 นาที
คือถามจริงๆ ในเมื่อติดต่อการเงินและจ่ายเงินไปแล้ว ใครเขาจะไปโฟกัสช่องจ่ายเงิน ก็จ่ายไปแล้วอะ แล้วไม่มีใครแจ้งอะไรนั่งรอรวมเป็นชั่วโมง คำขอโทษก็ไม่มี แล้วขั้นตอนการรับบริการ แทนที่จะมีแปะติดไว้ให้เห็นชัด ๆ ก็ไม่มี คือระบบทำงานของโรงพยาบาลใหญ่มันควรเป็นแบบนี้หรอ นี่ถ้าเราไม่สังเกตช่องติดต่อการเงิน เราจะต้องรออีกกี่ชั่วโมง เพราะแบบนี้ไง แผนกการเงินและห้องยาถึงระบายคนไม่เคยทันเลย ควรปรับปรุงโดยด่วนเพื่อป้องกันปัญหาแบบนี้ในอนาคต</t>
  </si>
  <si>
    <t>-	แนะนำคิวจองห้องพิเศษให้คนไข้ หรือพยาบาลให้ทราบข้อมูลห้องพิเศษด้วย</t>
  </si>
  <si>
    <t>-	บัตรคิวตอนเช้ามีการลัดคิว</t>
  </si>
  <si>
    <t>-	การเรียกคิวตรวจ ควรใช้ไมค์ในการเรียกคิวมากกว่าใช้เสียงพยาบาลเนื่องจากไม่ได้ยิน</t>
  </si>
  <si>
    <t>-	ที่จอดรถไม่เพียงพอ (2)</t>
  </si>
  <si>
    <t>-	ปรับปรุงบริเวณลานจอดรถและที่จอดรถให้ดีขึ้นกว่านี้</t>
  </si>
  <si>
    <t>-	อยากให้สถานที่ส่งปัสสาวะอยู่ในชั้นเดียวกัน คนท้องเดินไม่ไหว เหนื่อย ขึ้นลงลำบาก และรอลิฟท์นาน (คลินิกฝากครรภ์ ANC)</t>
  </si>
  <si>
    <t>-	การลงทะเบียนค่อนข้างช้ามาก</t>
  </si>
  <si>
    <t>-	ควรให้บริการบุคคลต่างด้าวและคนไทยแยกเป็นคนละตึกหรือให้อยู่คนละที่ไม่ควรปะปนกัน</t>
  </si>
  <si>
    <t>-	อยากให้ทางโรงพยาบาลปรับปรุงในเรื่องขั้นตอนการใช้บริการให้ชัดเจน และสะดวกกับผู้ป่วยที่ไปโรงพยาบาล เช่น การติดต่อจุดนั้นไปจุดนี้ เจ้าหน้าที่มักเกี่ยงกันว่าจุดที่ผ่านมาเขาไม่ได้แจ้งแบบนั้นแบบนี้หรอ บางจุดที่ทำงานผิดพลาดทำให้ผู้ป่วยต้องเดินขึ้นลงแต่ละชั้น เพื่อไปติดต่อจุดก่อนหน้า เดินเรื่องไปมา  ยิ่งเห็นคนแก่ หรือคนขาไม่ดี รู้สึกว่าไม่ค่อยสะดวกกับเขาเท่าไหร่ ฝากให้นำไปปรับปรุงในเรื่องนี้ด้วยค่ะ</t>
  </si>
  <si>
    <t>-	อยากให้มีการปรับปรุงเรื่องการลงทะเบียนและซักประวัติ</t>
  </si>
  <si>
    <t>-	บริเวณจุดลงทะเบียนมีแค่สองช่องในช่วงเวลาเร่งรีบ ควรเปิดเพิ่ม</t>
  </si>
  <si>
    <t>-	บริเวณจุดลงทะเบียนมีแค่สองช่องในช่วงเวลาเร่งรีบ ควรเปิดเพิ่ม (คลินิกจิตเวช)</t>
  </si>
  <si>
    <t>-	คนไข้ต้องรอลงทะเบียนยาวและรอคิวนานมากอยากให้มีการปรับปรุงระบบให้ดีขึ้นกรณีลืมบัตรประชาชนควรมีข้ออนุโลมให้ใช้แอพไทยไอดีแทนได้ เพื่อเพิ่มความสะดวกให้มากขึ้น</t>
  </si>
  <si>
    <t>-	รอข้อมูลการติดต่อเรื่องยานานเกินความจำเป็น รอมากกว่า 3 ชั่วโมง เพราะยาที่จะจ่ายไม่มีที่ตึก 100 ปี ต้องรอถามตึก 150 ปี แต่คิดต่อเจ้าหน้าที่ไม่ได้ เหมือนทำงานอยู่คนละโลกทั้งที่ตึกอยู่ข้างกัน ปรับปรุงด่วน แค่ที่มาหาหมอก็ไม่สบายพอละ รอยาไร้จุดหมายอีก ศึกษาดูงานโรงพยาบาลรัฐอื่นบ้างนะคะว่ามืออาชีพทำงานกันแบบไหน</t>
  </si>
  <si>
    <t>-	ปรับปรุงเรื่องการแจ้งระบบคิวอยากให้มีการทำระบบคิวที่ชัดเจนมากกว่านี้</t>
  </si>
  <si>
    <t>-	ไม่ให้ความกระจ่างในการซักถาม ถาม 3 ตอบ 1 แสดงสีหน้าไม่พึงพอใจ ในการมีคำตอบให้ วันนี้ไปใช้บริการในการปั๊มฟันเมื่อ 2 เดือนที่แล้วซึ่งเป็นเดือนเมษายนบอกว่าการทำฟันปิดบริการแล้วเมื่อตอนสิ้นเดือน สอบถามเจ้าหน้าที่บอกว่าเปิดใหม่เดือนสิงหาคมเพราะเราว่างช่วงกลางเดือนคือวันนี้วันที่ 19 สิงหาคม 68 คำตอบที่ได้รับจากเจ้าหน้าที่บอกว่าปิดแล้วเมื่อวัน 15 สิงหาคม จะเปิดใหม่อีกทีเดือนธันวาคม
o	ก็มีคำถามว่าทำไมในเมื่อมาติดต่อแล้วบอกว่าเปิดเดือนสิงหาคมแต่การให้บริการก็ไม่ได้ระบุว่าเดือนสิงหาวันนี้เปิดถึงวันที่เท่าไหร่ วันนี้ปิดบริการถึงวันที่เท่าไหร่
o	ในฐานะของคนไข้ในเมื่อได้ข้อมูลมาว่าเปิดเดือนสิงหาคมมันก็ต้องอยู่ในช่วงเดือนสิงหาคมโบรชัวร์หรือป้ายข้างหน้าประชาสัมพันธ์ก็ไม่มีบอก
o	ถามฝ่ายประชาสัมพันธ์หน้าเคาน์เตอร์ ก็ได้คำตอบว่าหนูก็ไม่รู้เหมือนกัน คือแจ้งมาว่าปิดก็คือปิด
o	คนไข้มา 2 รอบแล้วนะคะแต่ก็ผิดหวังไปตั้ง 2 รอบเราก็อยากใช้สิทธิ์ที่เราจะสมควรที่จะได้ แล้วหน้าเคาน์เตอร์แทบจะไม่มีใครพูดจาดีเลยน้ำเสียงหางเสียงการบริการติด 0 ทุกคน
วันนี้อาจจะเป็นเสียงเดียวนะคะที่เรียกร้องมาทางลิงค์นี้แต่ก็จะแชร์ลิงค์ไปให้เพื่อนๆที่โดนกันทุกคนมาคอมเม้นนะคะ</t>
  </si>
  <si>
    <t>-	ห้องพิเศษค่อนข้างล่าช้า มีการจองไปแต่ไม่ทราบผลการจอง</t>
  </si>
  <si>
    <t>-	ควรเพิ่ม จุดลงทะเบียนในช่วงเช้า</t>
  </si>
  <si>
    <t>-	รายละเอียดในการรักษาไม่ค่อยชัดเจน</t>
  </si>
  <si>
    <t>-	มีการพูดคุยเกี่ยวกับปัญหาเกี่ยวกับงานเสียงดัง (18C)</t>
  </si>
  <si>
    <t>-	ควรมีระบบการคัดแยกผู้ป่วยโรคติดต่อทางเดินหายใจ</t>
  </si>
  <si>
    <t>-	ช่วยลดระดับเสียงการพูดคุยลงนิดนึงค่ะ (19A)</t>
  </si>
  <si>
    <t>-	ปรับปรุงเรื่องอาหาร ควรทำให้น่ากินหน่อย อาหารไม่มีรสชาติจืดเกินเหตุ ไก่ต้มที่ให้มาก็ควรหารให้เป็นชิ้นไม่ใช่มาทั้งอัน ราดหน้าก็เหมือนไม่ใช่ราดหน้าเหมือนทำให้เสร็จเสร็จไป</t>
  </si>
  <si>
    <t>-	อาหารจำพวกเส้นกินไม่ค่อยถนัด</t>
  </si>
  <si>
    <t>-	อาหารของโรงพยาบาลควรทำให้มีรสชาติกว่านี้ ผู้ป่วยก็มีหัวใจอยากกินข้าวได้อยากมีแรงเพื่อต่อสู้กับโรคต่าง ๆ อาหารในแต่ละวัน หมูไก่เหม็นกินให้ไม่ได้</t>
  </si>
  <si>
    <t>-	แอร์เย็นเกินไป (22D)</t>
  </si>
  <si>
    <t>-	ปรับปรุงเรื่องความรวดเร็วในการบริการ</t>
  </si>
  <si>
    <t>-	อยากให้เปิด-ปิดประตูห้องพักให้เบาลงกว่านี้เพราะในช่วงเวลากลางคืนเด็กทารกนอนแล้วเกิดการสะดุ้งผวาในการเปิดปิดประตูที่แรง (23A)</t>
  </si>
  <si>
    <t>-	อยากให้ห้องรวมกับห้องพิเศษ ติดต่อสื่อสารกันเกี่ยวกับรายละเอียดให้มากกว่านี้หน่อย</t>
  </si>
  <si>
    <t>-	ที่จอดรถ น้อยมาก</t>
  </si>
  <si>
    <t>-	ระยะเวลาในการรอคอยและขั้นตอนค่อนข้างนาน</t>
  </si>
  <si>
    <t>-	อุปกรณ์ในห้อง เช่น ทีวีใช้ไม่ได้ อยากให้ปรับปรุง และด้านของไอที อินเตอร์เน็ต Wi-Fi ไม่สามารถใช้ได้เลย (24A)</t>
  </si>
  <si>
    <t>-	ระบบทีวีไม่สามารถใช้ได้ในวันที่เข้าพักการรักษา (24A)</t>
  </si>
  <si>
    <t>-	อยากให้มีเตียงเด็ก หนังสือนิทานแบบห้องรวม (24A)</t>
  </si>
  <si>
    <t>-	ปรับปรุงเรื่องอาหาร ประเภทของการจับคู่อาหารในวงส่วนตัวยังมองว่าไม่ค่อยเหมาะเหมาะสม</t>
  </si>
  <si>
    <t>-	ควรมีระบบสแกนแทนการเข้าคิวรับบริการ</t>
  </si>
  <si>
    <t>-	ไม่สามารถใช้ Wi-Fi ในการดูทีวีได้ (25A)</t>
  </si>
  <si>
    <t>-	ควรปรับปรุงเสียค่าจอดรถน มาตั้งแต่เช้ามืด กว่าจะได้กลับ มันก็สายมาก ต้องเสียค่าที่จอดรถ</t>
  </si>
  <si>
    <t>-	การบริการที่ห้องฉุกเฉินควรเร็วกว่านี้</t>
  </si>
  <si>
    <t xml:space="preserve">-	มีโอกาสในการได้พบแพทย์น้อย </t>
  </si>
  <si>
    <t xml:space="preserve">-	อยากให้มีการทำความสะอาดห้องรวม 18A </t>
  </si>
  <si>
    <t>-	ปรับปรุงเรื่องคุณภาพอาหารฃ</t>
  </si>
  <si>
    <t>-	บุคลกรไม่เพียงพอต่อการทำคลอด ผู้ป่วยอดอาหารมารอผ่าตัด รักษา รอนานมาก ยังไม่ได้ทำอะไรเลย</t>
  </si>
  <si>
    <t>-	 Wi-Fi ใช้งานยาก และใช้ไม่ได้ (26B)</t>
  </si>
  <si>
    <t>-	ควรเพิ่มสบู่เหลวล้างมือ แบบขวดปั๊ม หรือภาชนะใส่สบู่ก้อนในห้องน้ำ (26B)</t>
  </si>
  <si>
    <t>อันดับ 1 การให้บริการโดยรวม (OPD : 48  IPD : 18 )</t>
  </si>
  <si>
    <t>อันดับ 2 อุปกรณ์ เครื่องมือ และสถานที่ไม่สมบูรณ์ (OPD : 16   IPD : 11 )</t>
  </si>
  <si>
    <t>อันดับ 3 การทำงานและพฤติกรรมของบุคลากร (OPD : 7  IPD : 12)</t>
  </si>
  <si>
    <t>-	บริเวณทางขึ้นลงลานจอดรถชั้น 3 มีพื้นที่แคบ ควรปรับการตั้งกรวยใหม่</t>
  </si>
  <si>
    <t>-	บริเวณจุดจอดรถประตูเปิดเวลา 7.30 น. รถที่ขับมาจอดก่อนเวลาต้องเดินไปหาทางเข้าตึกบริเวณด้านล่างหรือต้องรอประตูเปิดซึ่งไม่สะดวกกับคนท้อง อยากให้ปรับปรุงด้านการเปิดปิดใหม่</t>
  </si>
  <si>
    <t>-	ไฟไม่จำเป็นต้องเปิดทุกดวง นอกจากแอร์ที่จะสู้แดดไม่ไหวแล้ว ยังต้องเจออุณหภูมิของไฟที่ไม่จำเป็นเพิ่มขึ้น 1-2 °C ควร B83รณรงค์ในเสียงตามสายไม่ช่วยในการประหยัด</t>
  </si>
  <si>
    <t>-	บริเวณที่จอดรถอาคารใหม่ควรให้บริการจอดฟรีไม่จำกัดชั่วโมงสำหรับผู้ที่เข้ารับการรักษาในห้องพิเศษ เพราะในจุดจอดด้านนอกตึกเก่าค่อนข้างไกล และตากแดดไม่สะดวกในการจอด</t>
  </si>
  <si>
    <t>ค่าเฉลี่ยการแนะนำญาติหรือคนรู้จักให้มาใช้บริการที่โรงพยาบาล  OPD = 97.06 % IPD = 99.45%</t>
  </si>
  <si>
    <t xml:space="preserve">ค่าเฉลี่ยความพึงพอใจการใช้บริการของโรงพยาบาล OPD =  87.21% IPD = 91.41 %  </t>
  </si>
  <si>
    <t>-	อยากให้ทางโรงพยาบาลหาวิธีที่ไม่ต้องมานั่งรอการตรวจนาน ๆ</t>
  </si>
  <si>
    <t>145</t>
  </si>
  <si>
    <t>-	ควรเขียนป้ายในห้องอาหารชั้น 3 ให้คนที่ทานเสร็จแล้วกรุณาลุกจากที่เพื่อให้ท่านอื่นได้ใช้ที่ต่อ เพราะเห็นหลายท่านยังนั่งเล่นโทรศัพท์ต่อเป็นเวลานาน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</si>
</sst>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7" formatCode="###0.00"/>
  </numFmts>
  <fonts count="22">
    <font>
      <sz val="11"/>
      <color theme="1"/>
      <name val="Tahoma"/>
      <family val="2"/>
      <charset val="222"/>
      <scheme val="minor"/>
    </font>
    <font>
      <b/>
      <sz val="16"/>
      <color theme="1"/>
      <name val="TH SarabunPSK"/>
      <family val="2"/>
      <charset val="222"/>
    </font>
    <font>
      <b/>
      <sz val="16"/>
      <color rgb="FF000000"/>
      <name val="TH SarabunPSK"/>
      <family val="2"/>
      <charset val="222"/>
    </font>
    <font>
      <sz val="16"/>
      <color theme="1"/>
      <name val="TH SarabunPSK"/>
      <family val="2"/>
      <charset val="222"/>
    </font>
    <font>
      <b/>
      <sz val="20"/>
      <color theme="1"/>
      <name val="TH SarabunPSK"/>
      <family val="2"/>
      <charset val="222"/>
    </font>
    <font>
      <sz val="8"/>
      <name val="Tahoma"/>
      <family val="2"/>
      <charset val="222"/>
      <scheme val="minor"/>
    </font>
    <font>
      <sz val="11"/>
      <color theme="1"/>
      <name val="Tahoma"/>
      <family val="2"/>
      <scheme val="minor"/>
    </font>
    <font>
      <sz val="16"/>
      <name val="TH SarabunPSK"/>
      <family val="2"/>
    </font>
    <font>
      <b/>
      <sz val="16"/>
      <name val="TH SarabunPSK"/>
      <family val="2"/>
    </font>
    <font>
      <sz val="10"/>
      <name val="Arial"/>
      <family val="2"/>
    </font>
    <font>
      <sz val="10"/>
      <color indexed="8"/>
      <name val="Arial"/>
      <family val="2"/>
    </font>
    <font>
      <sz val="10"/>
      <color theme="1"/>
      <name val="Arial"/>
      <family val="2"/>
    </font>
    <font>
      <sz val="11"/>
      <color rgb="FF000000"/>
      <name val="Calibri"/>
      <family val="2"/>
      <charset val="222"/>
    </font>
    <font>
      <sz val="11"/>
      <color rgb="FF000000"/>
      <name val="Calibri"/>
      <family val="2"/>
      <charset val="1"/>
    </font>
    <font>
      <sz val="10"/>
      <color indexed="8"/>
      <name val="Arial"/>
      <family val="2"/>
      <charset val="222"/>
    </font>
    <font>
      <sz val="10"/>
      <color theme="1"/>
      <name val="Arial"/>
      <family val="2"/>
      <charset val="222"/>
    </font>
    <font>
      <b/>
      <sz val="12"/>
      <color rgb="FF000000"/>
      <name val="TH SarabunPSK"/>
      <family val="2"/>
      <charset val="222"/>
    </font>
    <font>
      <sz val="10"/>
      <name val="Arial"/>
      <family val="2"/>
      <charset val="222"/>
    </font>
    <font>
      <sz val="9"/>
      <color indexed="8"/>
      <name val="Arial"/>
      <family val="2"/>
      <charset val="222"/>
    </font>
    <font>
      <b/>
      <sz val="20"/>
      <name val="TH SarabunPSK"/>
      <family val="2"/>
    </font>
    <font>
      <b/>
      <sz val="18"/>
      <name val="TH SarabunPSK"/>
      <family val="2"/>
    </font>
    <font>
      <b/>
      <u/>
      <sz val="16"/>
      <name val="TH SarabunPSK"/>
      <family val="2"/>
    </font>
  </fonts>
  <fills count="8">
    <fill>
      <patternFill patternType="none"/>
    </fill>
    <fill>
      <patternFill patternType="gray125"/>
    </fill>
    <fill>
      <patternFill patternType="solid">
        <fgColor rgb="FFFFC000"/>
        <bgColor indexed="64"/>
      </patternFill>
    </fill>
    <fill>
      <patternFill patternType="solid">
        <fgColor rgb="FF8EAADB"/>
        <bgColor indexed="64"/>
      </patternFill>
    </fill>
    <fill>
      <patternFill patternType="solid">
        <fgColor rgb="FFB8CCE4"/>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style="thin">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s>
  <cellStyleXfs count="18">
    <xf numFmtId="0" fontId="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9" fillId="0" borderId="0"/>
    <xf numFmtId="0" fontId="9" fillId="0" borderId="0"/>
    <xf numFmtId="0" fontId="9" fillId="0" borderId="0"/>
    <xf numFmtId="0" fontId="9" fillId="0" borderId="0"/>
    <xf numFmtId="0" fontId="9" fillId="0" borderId="0"/>
    <xf numFmtId="0" fontId="12" fillId="0" borderId="0"/>
    <xf numFmtId="0" fontId="13" fillId="0" borderId="0"/>
    <xf numFmtId="0" fontId="12" fillId="0" borderId="0"/>
  </cellStyleXfs>
  <cellXfs count="89">
    <xf numFmtId="0" fontId="0" fillId="0" borderId="0" xfId="0"/>
    <xf numFmtId="0" fontId="2" fillId="2" borderId="1" xfId="0" applyFont="1" applyFill="1" applyBorder="1" applyAlignment="1">
      <alignment horizontal="center" vertical="center" wrapText="1"/>
    </xf>
    <xf numFmtId="0" fontId="3" fillId="0" borderId="0" xfId="0" applyFont="1" applyAlignment="1">
      <alignmen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2" fontId="7" fillId="0" borderId="1" xfId="0" applyNumberFormat="1" applyFont="1" applyBorder="1" applyAlignment="1">
      <alignment horizontal="center" vertical="center" wrapText="1"/>
    </xf>
    <xf numFmtId="187" fontId="10" fillId="0" borderId="1" xfId="11" applyNumberFormat="1" applyFont="1" applyBorder="1" applyAlignment="1">
      <alignment horizontal="center" vertical="center"/>
    </xf>
    <xf numFmtId="2" fontId="11" fillId="6" borderId="1" xfId="0" applyNumberFormat="1" applyFont="1" applyFill="1" applyBorder="1" applyAlignment="1">
      <alignment horizontal="center" vertical="center" wrapText="1"/>
    </xf>
    <xf numFmtId="2" fontId="11" fillId="0" borderId="1" xfId="0" applyNumberFormat="1" applyFont="1" applyBorder="1" applyAlignment="1">
      <alignment horizontal="center" vertical="center" wrapText="1"/>
    </xf>
    <xf numFmtId="0" fontId="1" fillId="0" borderId="0" xfId="0" applyFont="1" applyAlignment="1">
      <alignment vertical="center"/>
    </xf>
    <xf numFmtId="2" fontId="7" fillId="7" borderId="1" xfId="0" applyNumberFormat="1" applyFont="1" applyFill="1" applyBorder="1" applyAlignment="1">
      <alignment horizontal="center" vertical="center" wrapText="1"/>
    </xf>
    <xf numFmtId="187" fontId="10" fillId="7" borderId="1" xfId="14" applyNumberFormat="1" applyFont="1" applyFill="1" applyBorder="1" applyAlignment="1">
      <alignment horizontal="center" vertical="center"/>
    </xf>
    <xf numFmtId="49" fontId="7" fillId="0" borderId="0" xfId="0" applyNumberFormat="1" applyFont="1" applyAlignment="1">
      <alignment horizontal="left" vertical="center" indent="3"/>
    </xf>
    <xf numFmtId="49" fontId="7" fillId="0" borderId="0" xfId="0" quotePrefix="1" applyNumberFormat="1" applyFont="1" applyAlignment="1">
      <alignment horizontal="left" vertical="center" indent="3"/>
    </xf>
    <xf numFmtId="49" fontId="8" fillId="0" borderId="0" xfId="0" applyNumberFormat="1" applyFont="1" applyAlignment="1">
      <alignment horizontal="left"/>
    </xf>
    <xf numFmtId="49" fontId="7" fillId="0" borderId="0" xfId="0" applyNumberFormat="1" applyFont="1" applyAlignment="1">
      <alignment vertical="center"/>
    </xf>
    <xf numFmtId="49" fontId="8" fillId="0" borderId="0" xfId="0" applyNumberFormat="1" applyFont="1" applyAlignment="1">
      <alignment vertical="center"/>
    </xf>
    <xf numFmtId="49" fontId="7" fillId="7" borderId="1" xfId="0" applyNumberFormat="1" applyFont="1" applyFill="1" applyBorder="1" applyAlignment="1">
      <alignment horizontal="center" vertical="center" wrapText="1"/>
    </xf>
    <xf numFmtId="49" fontId="7" fillId="0" borderId="1" xfId="0" applyNumberFormat="1" applyFont="1" applyBorder="1" applyAlignment="1">
      <alignment horizontal="center" vertical="center" wrapText="1"/>
    </xf>
    <xf numFmtId="2" fontId="7" fillId="0" borderId="0" xfId="0" applyNumberFormat="1" applyFont="1" applyAlignment="1">
      <alignment horizontal="center" vertical="center" wrapText="1"/>
    </xf>
    <xf numFmtId="2" fontId="10" fillId="6" borderId="1" xfId="14" applyNumberFormat="1" applyFont="1" applyFill="1" applyBorder="1" applyAlignment="1">
      <alignment horizontal="center" vertical="center" wrapText="1"/>
    </xf>
    <xf numFmtId="0" fontId="1" fillId="7" borderId="2" xfId="0" applyFont="1" applyFill="1" applyBorder="1" applyAlignment="1">
      <alignment horizontal="center" vertical="center" wrapText="1"/>
    </xf>
    <xf numFmtId="0" fontId="3" fillId="7" borderId="0" xfId="0" applyFont="1" applyFill="1" applyAlignment="1">
      <alignment vertical="center"/>
    </xf>
    <xf numFmtId="49" fontId="7" fillId="0" borderId="0" xfId="0" applyNumberFormat="1" applyFont="1" applyAlignment="1">
      <alignment horizontal="left" vertical="center"/>
    </xf>
    <xf numFmtId="49" fontId="7" fillId="0" borderId="0" xfId="0" applyNumberFormat="1" applyFont="1"/>
    <xf numFmtId="2" fontId="11" fillId="0" borderId="4" xfId="0" applyNumberFormat="1" applyFont="1" applyBorder="1" applyAlignment="1">
      <alignment horizontal="center" vertical="center" wrapText="1"/>
    </xf>
    <xf numFmtId="2" fontId="14" fillId="6" borderId="1" xfId="14" applyNumberFormat="1" applyFont="1" applyFill="1" applyBorder="1" applyAlignment="1">
      <alignment horizontal="center" vertical="center" wrapText="1"/>
    </xf>
    <xf numFmtId="2" fontId="15" fillId="6" borderId="1" xfId="0" applyNumberFormat="1" applyFont="1" applyFill="1" applyBorder="1" applyAlignment="1">
      <alignment horizontal="center" vertical="center" wrapText="1"/>
    </xf>
    <xf numFmtId="0" fontId="15" fillId="6" borderId="1"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0" xfId="0" applyFont="1" applyAlignment="1">
      <alignment horizontal="center" vertical="center"/>
    </xf>
    <xf numFmtId="187" fontId="7" fillId="7" borderId="4" xfId="10" applyNumberFormat="1" applyFont="1" applyFill="1" applyBorder="1" applyAlignment="1">
      <alignment horizontal="center" vertical="center"/>
    </xf>
    <xf numFmtId="49" fontId="7" fillId="7" borderId="0" xfId="0" applyNumberFormat="1" applyFont="1" applyFill="1" applyAlignment="1">
      <alignment vertical="center"/>
    </xf>
    <xf numFmtId="0" fontId="16" fillId="2" borderId="1" xfId="0" applyFont="1" applyFill="1" applyBorder="1" applyAlignment="1">
      <alignment horizontal="center" vertical="center" wrapText="1"/>
    </xf>
    <xf numFmtId="0" fontId="11" fillId="0" borderId="4"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4" xfId="0" applyFont="1" applyBorder="1" applyAlignment="1">
      <alignment horizontal="center" vertical="center" wrapText="1"/>
    </xf>
    <xf numFmtId="187" fontId="17" fillId="7" borderId="4" xfId="10" applyNumberFormat="1" applyFont="1" applyFill="1" applyBorder="1" applyAlignment="1">
      <alignment horizontal="center" vertical="center"/>
    </xf>
    <xf numFmtId="0" fontId="15" fillId="7" borderId="5" xfId="0" applyFont="1" applyFill="1" applyBorder="1" applyAlignment="1">
      <alignment horizontal="center" vertical="center" wrapText="1"/>
    </xf>
    <xf numFmtId="0" fontId="17" fillId="0" borderId="7" xfId="16" applyFont="1" applyBorder="1" applyAlignment="1">
      <alignment horizontal="center" vertical="center"/>
    </xf>
    <xf numFmtId="0" fontId="17" fillId="0" borderId="6" xfId="16" applyFont="1" applyBorder="1" applyAlignment="1">
      <alignment horizontal="center" vertical="center"/>
    </xf>
    <xf numFmtId="187" fontId="14" fillId="0" borderId="1" xfId="13" applyNumberFormat="1" applyFont="1" applyBorder="1" applyAlignment="1">
      <alignment horizontal="center" vertical="center"/>
    </xf>
    <xf numFmtId="187" fontId="14" fillId="7" borderId="1" xfId="12" applyNumberFormat="1" applyFont="1" applyFill="1" applyBorder="1" applyAlignment="1">
      <alignment horizontal="center" vertical="center"/>
    </xf>
    <xf numFmtId="187" fontId="18" fillId="0" borderId="1" xfId="12" applyNumberFormat="1" applyFont="1" applyBorder="1" applyAlignment="1">
      <alignment horizontal="center" vertical="center"/>
    </xf>
    <xf numFmtId="187" fontId="14" fillId="0" borderId="1" xfId="12" applyNumberFormat="1" applyFont="1" applyBorder="1" applyAlignment="1">
      <alignment horizontal="center" vertical="center"/>
    </xf>
    <xf numFmtId="2" fontId="14" fillId="6" borderId="4" xfId="13" applyNumberFormat="1" applyFont="1" applyFill="1" applyBorder="1" applyAlignment="1">
      <alignment horizontal="center" vertical="center" wrapText="1"/>
    </xf>
    <xf numFmtId="187" fontId="17" fillId="0" borderId="4" xfId="10" applyNumberFormat="1" applyFont="1" applyBorder="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1" fillId="0" borderId="9" xfId="0" applyFont="1" applyBorder="1" applyAlignment="1">
      <alignment vertical="center" wrapText="1"/>
    </xf>
    <xf numFmtId="0" fontId="1" fillId="0" borderId="10" xfId="0" applyFont="1" applyBorder="1" applyAlignment="1">
      <alignment vertical="center" wrapText="1"/>
    </xf>
    <xf numFmtId="0" fontId="1" fillId="0" borderId="2" xfId="0" applyFont="1" applyBorder="1" applyAlignment="1">
      <alignment horizontal="left" vertical="center"/>
    </xf>
    <xf numFmtId="0" fontId="1" fillId="0" borderId="0" xfId="0" applyFont="1" applyAlignment="1">
      <alignment horizontal="left" vertical="center"/>
    </xf>
    <xf numFmtId="0" fontId="2" fillId="3"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1" fillId="7" borderId="0" xfId="0" applyFont="1" applyFill="1" applyAlignment="1">
      <alignment vertical="center"/>
    </xf>
    <xf numFmtId="0" fontId="2" fillId="0" borderId="0" xfId="0" applyFont="1" applyAlignment="1">
      <alignment horizontal="center" vertical="center" wrapText="1"/>
    </xf>
    <xf numFmtId="0" fontId="1" fillId="0" borderId="0" xfId="0" applyFont="1" applyAlignment="1">
      <alignment horizontal="center" vertical="center" wrapText="1"/>
    </xf>
    <xf numFmtId="0" fontId="11" fillId="0" borderId="1" xfId="0" applyFont="1" applyBorder="1" applyAlignment="1">
      <alignment horizontal="center" vertical="center" wrapText="1"/>
    </xf>
    <xf numFmtId="0" fontId="11" fillId="7" borderId="8" xfId="0" applyFont="1" applyFill="1" applyBorder="1" applyAlignment="1">
      <alignment horizontal="center" vertical="center" wrapText="1"/>
    </xf>
    <xf numFmtId="187" fontId="9" fillId="7" borderId="4" xfId="10" applyNumberFormat="1" applyFill="1" applyBorder="1" applyAlignment="1">
      <alignment horizontal="center" vertical="center"/>
    </xf>
    <xf numFmtId="0" fontId="11" fillId="6" borderId="1" xfId="0" applyFont="1" applyFill="1" applyBorder="1" applyAlignment="1">
      <alignment horizontal="center" vertical="center" wrapText="1"/>
    </xf>
    <xf numFmtId="49" fontId="8" fillId="0" borderId="1" xfId="0" applyNumberFormat="1" applyFont="1" applyBorder="1" applyAlignment="1">
      <alignment horizontal="center" vertical="center" wrapText="1"/>
    </xf>
    <xf numFmtId="49" fontId="8" fillId="4" borderId="1" xfId="0" applyNumberFormat="1" applyFont="1" applyFill="1" applyBorder="1" applyAlignment="1">
      <alignment horizontal="center" vertical="center" wrapText="1"/>
    </xf>
    <xf numFmtId="49" fontId="7" fillId="0" borderId="1" xfId="0" applyNumberFormat="1" applyFont="1" applyBorder="1" applyAlignment="1">
      <alignment horizontal="left" vertical="center" wrapText="1"/>
    </xf>
    <xf numFmtId="187" fontId="7" fillId="0" borderId="1" xfId="11" applyNumberFormat="1" applyFont="1" applyBorder="1" applyAlignment="1">
      <alignment horizontal="center" vertical="center"/>
    </xf>
    <xf numFmtId="49" fontId="7" fillId="0" borderId="0" xfId="0" applyNumberFormat="1" applyFont="1" applyAlignment="1">
      <alignment horizontal="left" vertical="center" wrapText="1"/>
    </xf>
    <xf numFmtId="2" fontId="7" fillId="0" borderId="0" xfId="11" applyNumberFormat="1" applyFont="1" applyAlignment="1">
      <alignment horizontal="center" vertical="center" wrapText="1"/>
    </xf>
    <xf numFmtId="49" fontId="21" fillId="0" borderId="0" xfId="0" applyNumberFormat="1" applyFont="1" applyAlignment="1">
      <alignment horizontal="left" vertical="center"/>
    </xf>
    <xf numFmtId="49" fontId="8" fillId="0" borderId="0" xfId="0" applyNumberFormat="1" applyFont="1" applyAlignment="1">
      <alignment vertical="center" wrapText="1"/>
    </xf>
    <xf numFmtId="49" fontId="7" fillId="0" borderId="0" xfId="0" applyNumberFormat="1" applyFont="1" applyAlignment="1">
      <alignment horizontal="left" vertical="center" indent="4"/>
    </xf>
    <xf numFmtId="49" fontId="8" fillId="0" borderId="0" xfId="0" applyNumberFormat="1" applyFont="1" applyAlignment="1">
      <alignment horizontal="left" vertical="center" wrapText="1"/>
    </xf>
    <xf numFmtId="49" fontId="7" fillId="0" borderId="0" xfId="0" quotePrefix="1" applyNumberFormat="1" applyFont="1" applyAlignment="1">
      <alignment horizontal="left" vertical="center" wrapText="1" indent="1"/>
    </xf>
    <xf numFmtId="49" fontId="8" fillId="0" borderId="0" xfId="0" applyNumberFormat="1" applyFont="1" applyAlignment="1">
      <alignment wrapText="1"/>
    </xf>
    <xf numFmtId="49" fontId="7" fillId="0" borderId="0" xfId="0" quotePrefix="1" applyNumberFormat="1" applyFont="1" applyAlignment="1">
      <alignment horizontal="left" indent="1"/>
    </xf>
    <xf numFmtId="49" fontId="7" fillId="0" borderId="0" xfId="0" quotePrefix="1" applyNumberFormat="1" applyFont="1" applyAlignment="1">
      <alignment horizontal="left" vertical="center"/>
    </xf>
    <xf numFmtId="2" fontId="15" fillId="0" borderId="4" xfId="0" applyNumberFormat="1" applyFont="1" applyBorder="1" applyAlignment="1">
      <alignment horizontal="center" vertical="center" wrapText="1"/>
    </xf>
    <xf numFmtId="0" fontId="4" fillId="0" borderId="0" xfId="0" applyFont="1" applyAlignment="1">
      <alignment horizontal="center" vertical="center"/>
    </xf>
    <xf numFmtId="49" fontId="7" fillId="0" borderId="0" xfId="0" applyNumberFormat="1" applyFont="1" applyAlignment="1">
      <alignment horizontal="left" vertical="center" wrapText="1"/>
    </xf>
    <xf numFmtId="49" fontId="7" fillId="0" borderId="0" xfId="0" applyNumberFormat="1" applyFont="1" applyAlignment="1">
      <alignment horizontal="left" wrapText="1"/>
    </xf>
    <xf numFmtId="49" fontId="8" fillId="0" borderId="0" xfId="0" applyNumberFormat="1" applyFont="1" applyAlignment="1">
      <alignment horizontal="left" vertical="center"/>
    </xf>
    <xf numFmtId="49" fontId="19" fillId="0" borderId="0" xfId="0" applyNumberFormat="1" applyFont="1" applyAlignment="1">
      <alignment horizontal="center" vertical="center"/>
    </xf>
    <xf numFmtId="49" fontId="20" fillId="0" borderId="0" xfId="0" applyNumberFormat="1" applyFont="1" applyAlignment="1">
      <alignment horizontal="center" vertical="center"/>
    </xf>
    <xf numFmtId="49" fontId="21" fillId="0" borderId="0" xfId="0" applyNumberFormat="1" applyFont="1" applyAlignment="1">
      <alignment horizontal="left" vertical="center"/>
    </xf>
    <xf numFmtId="49" fontId="7" fillId="0" borderId="0" xfId="0" applyNumberFormat="1" applyFont="1" applyAlignment="1">
      <alignment horizontal="left" vertical="center"/>
    </xf>
    <xf numFmtId="49" fontId="7" fillId="7" borderId="0" xfId="0" applyNumberFormat="1" applyFont="1" applyFill="1" applyAlignment="1">
      <alignment horizontal="left" vertical="center"/>
    </xf>
  </cellXfs>
  <cellStyles count="18">
    <cellStyle name="Normal" xfId="0" builtinId="0"/>
    <cellStyle name="Normal_IPD November" xfId="12" xr:uid="{00000000-0005-0000-0000-000001000000}"/>
    <cellStyle name="Normal_IPD_1" xfId="13" xr:uid="{00000000-0005-0000-0000-000002000000}"/>
    <cellStyle name="Normal_OPD August" xfId="11" xr:uid="{00000000-0005-0000-0000-000003000000}"/>
    <cellStyle name="Normal_OPD July" xfId="10" xr:uid="{00000000-0005-0000-0000-000004000000}"/>
    <cellStyle name="Normal_OPD_1" xfId="14" xr:uid="{00000000-0005-0000-0000-000005000000}"/>
    <cellStyle name="style1683707694983" xfId="1" xr:uid="{00000000-0005-0000-0000-000006000000}"/>
    <cellStyle name="style1683707695268" xfId="2" xr:uid="{00000000-0005-0000-0000-000007000000}"/>
    <cellStyle name="style1683707695497" xfId="3" xr:uid="{00000000-0005-0000-0000-000008000000}"/>
    <cellStyle name="style1683873781043" xfId="4" xr:uid="{00000000-0005-0000-0000-000009000000}"/>
    <cellStyle name="style1683873781293" xfId="5" xr:uid="{00000000-0005-0000-0000-00000A000000}"/>
    <cellStyle name="style1683873781509" xfId="6" xr:uid="{00000000-0005-0000-0000-00000B000000}"/>
    <cellStyle name="style1690951585398" xfId="8" xr:uid="{00000000-0005-0000-0000-00000C000000}"/>
    <cellStyle name="style1690951585625" xfId="9" xr:uid="{00000000-0005-0000-0000-00000D000000}"/>
    <cellStyle name="style1690951585802" xfId="7" xr:uid="{00000000-0005-0000-0000-00000E000000}"/>
    <cellStyle name="ปกติ 2" xfId="16" xr:uid="{00000000-0005-0000-0000-00000F000000}"/>
    <cellStyle name="ปกติ 3" xfId="17" xr:uid="{00000000-0005-0000-0000-000010000000}"/>
    <cellStyle name="ปกติ 4" xfId="15" xr:uid="{00000000-0005-0000-0000-000011000000}"/>
  </cellStyles>
  <dxfs count="0"/>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5"/>
  <sheetViews>
    <sheetView topLeftCell="A22" zoomScale="85" zoomScaleNormal="85" zoomScaleSheetLayoutView="80" workbookViewId="0">
      <selection activeCell="I44" sqref="I44:I45"/>
    </sheetView>
  </sheetViews>
  <sheetFormatPr defaultColWidth="9" defaultRowHeight="21"/>
  <cols>
    <col min="1" max="1" width="62.625" style="54" customWidth="1"/>
    <col min="2" max="2" width="10.75" style="54" customWidth="1"/>
    <col min="3" max="18" width="10.75" style="11" customWidth="1"/>
    <col min="19" max="16384" width="9" style="11"/>
  </cols>
  <sheetData>
    <row r="1" spans="1:18" s="50" customFormat="1" ht="49.7" customHeight="1">
      <c r="A1" s="80" t="s">
        <v>98</v>
      </c>
      <c r="B1" s="80"/>
      <c r="C1" s="80"/>
      <c r="D1" s="80"/>
      <c r="E1" s="80"/>
      <c r="F1" s="80"/>
      <c r="G1" s="80"/>
      <c r="H1" s="80"/>
      <c r="I1" s="80"/>
      <c r="J1" s="80"/>
      <c r="K1" s="80"/>
      <c r="L1" s="80"/>
      <c r="M1" s="80"/>
      <c r="N1" s="80"/>
      <c r="O1" s="80"/>
      <c r="P1" s="80"/>
    </row>
    <row r="2" spans="1:18" s="50" customFormat="1" ht="49.7" customHeight="1">
      <c r="A2" s="49"/>
      <c r="B2" s="49"/>
      <c r="C2" s="49"/>
      <c r="D2" s="49"/>
      <c r="E2" s="49"/>
      <c r="F2" s="49"/>
      <c r="G2" s="49"/>
      <c r="H2" s="49"/>
      <c r="I2" s="49"/>
      <c r="J2" s="49"/>
      <c r="K2" s="49"/>
      <c r="L2" s="49"/>
      <c r="M2" s="49"/>
      <c r="N2" s="49"/>
    </row>
    <row r="3" spans="1:18" s="32" customFormat="1" ht="54.75" customHeight="1">
      <c r="A3" s="3" t="s">
        <v>0</v>
      </c>
      <c r="B3" s="1" t="s">
        <v>35</v>
      </c>
      <c r="C3" s="35" t="s">
        <v>68</v>
      </c>
      <c r="D3" s="35" t="s">
        <v>70</v>
      </c>
      <c r="E3" s="1" t="s">
        <v>69</v>
      </c>
      <c r="F3" s="1" t="s">
        <v>2</v>
      </c>
      <c r="G3" s="1" t="s">
        <v>57</v>
      </c>
      <c r="H3" s="1" t="s">
        <v>63</v>
      </c>
      <c r="I3" s="1" t="s">
        <v>58</v>
      </c>
      <c r="J3" s="1" t="s">
        <v>97</v>
      </c>
      <c r="K3" s="1" t="s">
        <v>3</v>
      </c>
      <c r="L3" s="1" t="s">
        <v>4</v>
      </c>
      <c r="M3" s="1" t="s">
        <v>60</v>
      </c>
      <c r="N3" s="1" t="s">
        <v>49</v>
      </c>
      <c r="O3" s="1" t="s">
        <v>43</v>
      </c>
      <c r="P3" s="1" t="s">
        <v>5</v>
      </c>
      <c r="Q3" s="1" t="s">
        <v>64</v>
      </c>
      <c r="R3" s="1" t="s">
        <v>61</v>
      </c>
    </row>
    <row r="4" spans="1:18" s="32" customFormat="1" ht="24.75" customHeight="1" thickBot="1">
      <c r="A4" s="31" t="s">
        <v>8</v>
      </c>
      <c r="B4" s="61">
        <v>44</v>
      </c>
      <c r="C4" s="61">
        <v>8</v>
      </c>
      <c r="D4" s="36">
        <v>5</v>
      </c>
      <c r="E4" s="36">
        <v>16</v>
      </c>
      <c r="F4" s="62">
        <v>4</v>
      </c>
      <c r="G4" s="36">
        <v>35</v>
      </c>
      <c r="H4" s="36">
        <v>47</v>
      </c>
      <c r="I4" s="36">
        <v>205</v>
      </c>
      <c r="J4" s="36">
        <v>19</v>
      </c>
      <c r="K4" s="36">
        <v>84</v>
      </c>
      <c r="L4" s="36" t="s">
        <v>65</v>
      </c>
      <c r="M4" s="36">
        <v>122</v>
      </c>
      <c r="N4" s="36">
        <v>16</v>
      </c>
      <c r="O4" s="36">
        <v>97</v>
      </c>
      <c r="P4" s="36">
        <v>226</v>
      </c>
      <c r="Q4" s="36" t="s">
        <v>65</v>
      </c>
      <c r="R4" s="36" t="s">
        <v>65</v>
      </c>
    </row>
    <row r="5" spans="1:18" s="32" customFormat="1" ht="24" customHeight="1" thickBot="1">
      <c r="A5" s="51" t="s">
        <v>72</v>
      </c>
      <c r="B5" s="10">
        <v>3.9999999999999996</v>
      </c>
      <c r="C5" s="10">
        <v>4</v>
      </c>
      <c r="D5" s="27">
        <v>4.5999999999999996</v>
      </c>
      <c r="E5" s="27">
        <v>4.3125</v>
      </c>
      <c r="F5" s="13">
        <v>3.5</v>
      </c>
      <c r="G5" s="27">
        <v>4.5142857142857142</v>
      </c>
      <c r="H5" s="10">
        <v>4.1914893617021276</v>
      </c>
      <c r="I5" s="27">
        <v>4.3317073170731684</v>
      </c>
      <c r="J5" s="27">
        <v>4.5789473684210531</v>
      </c>
      <c r="K5" s="8">
        <v>4.3690476190476204</v>
      </c>
      <c r="L5" s="36" t="s">
        <v>65</v>
      </c>
      <c r="M5" s="8">
        <v>4.4508196721311455</v>
      </c>
      <c r="N5" s="8">
        <v>4.7499999999999991</v>
      </c>
      <c r="O5" s="8">
        <v>4.4123711340206171</v>
      </c>
      <c r="P5" s="8">
        <v>4.3539823008849572</v>
      </c>
      <c r="Q5" s="36" t="s">
        <v>65</v>
      </c>
      <c r="R5" s="36" t="s">
        <v>65</v>
      </c>
    </row>
    <row r="6" spans="1:18" s="32" customFormat="1" ht="24" customHeight="1" thickBot="1">
      <c r="A6" s="52" t="s">
        <v>73</v>
      </c>
      <c r="B6" s="10">
        <v>4.045454545454545</v>
      </c>
      <c r="C6" s="10">
        <v>4.25</v>
      </c>
      <c r="D6" s="27">
        <v>4.8</v>
      </c>
      <c r="E6" s="27">
        <v>4.2499999999999991</v>
      </c>
      <c r="F6" s="13">
        <v>3.75</v>
      </c>
      <c r="G6" s="27">
        <v>4.4857142857142858</v>
      </c>
      <c r="H6" s="10">
        <v>4.1489361702127647</v>
      </c>
      <c r="I6" s="27">
        <v>4.3024390243902424</v>
      </c>
      <c r="J6" s="27">
        <v>4.3684210526315788</v>
      </c>
      <c r="K6" s="8">
        <v>4.3809523809523796</v>
      </c>
      <c r="L6" s="36" t="s">
        <v>65</v>
      </c>
      <c r="M6" s="8">
        <v>4.4098360655737734</v>
      </c>
      <c r="N6" s="8">
        <v>4.8124999999999991</v>
      </c>
      <c r="O6" s="8">
        <v>4.4742268041237105</v>
      </c>
      <c r="P6" s="8">
        <v>4.4778761061946897</v>
      </c>
      <c r="Q6" s="36" t="s">
        <v>65</v>
      </c>
      <c r="R6" s="36" t="s">
        <v>65</v>
      </c>
    </row>
    <row r="7" spans="1:18" s="32" customFormat="1" ht="24" customHeight="1" thickBot="1">
      <c r="A7" s="52" t="s">
        <v>74</v>
      </c>
      <c r="B7" s="10">
        <v>4.0681818181818192</v>
      </c>
      <c r="C7" s="10">
        <v>3.75</v>
      </c>
      <c r="D7" s="27">
        <v>4.8</v>
      </c>
      <c r="E7" s="27">
        <v>4.25</v>
      </c>
      <c r="F7" s="13">
        <v>3.75</v>
      </c>
      <c r="G7" s="27">
        <v>4.4857142857142849</v>
      </c>
      <c r="H7" s="10">
        <v>4.1489361702127647</v>
      </c>
      <c r="I7" s="27">
        <v>4.3512195121951232</v>
      </c>
      <c r="J7" s="27">
        <v>4.5789473684210531</v>
      </c>
      <c r="K7" s="8">
        <v>4.3571428571428568</v>
      </c>
      <c r="L7" s="36" t="s">
        <v>65</v>
      </c>
      <c r="M7" s="8">
        <v>4.4590163934426226</v>
      </c>
      <c r="N7" s="8">
        <v>4.75</v>
      </c>
      <c r="O7" s="8">
        <v>4.4845360824742269</v>
      </c>
      <c r="P7" s="8">
        <v>4.4026548672566364</v>
      </c>
      <c r="Q7" s="36" t="s">
        <v>65</v>
      </c>
      <c r="R7" s="36" t="s">
        <v>65</v>
      </c>
    </row>
    <row r="8" spans="1:18" s="32" customFormat="1" ht="24" customHeight="1" thickBot="1">
      <c r="A8" s="52" t="s">
        <v>75</v>
      </c>
      <c r="B8" s="10">
        <v>4.045454545454545</v>
      </c>
      <c r="C8" s="10">
        <v>4.375</v>
      </c>
      <c r="D8" s="27">
        <v>4.2</v>
      </c>
      <c r="E8" s="27">
        <v>4.3125</v>
      </c>
      <c r="F8" s="13">
        <v>3.75</v>
      </c>
      <c r="G8" s="27">
        <v>4.428571428571427</v>
      </c>
      <c r="H8" s="10">
        <v>4.2127659574468082</v>
      </c>
      <c r="I8" s="27">
        <v>4.273170731707312</v>
      </c>
      <c r="J8" s="27">
        <v>4.4736842105263168</v>
      </c>
      <c r="K8" s="8">
        <v>4.3214285714285712</v>
      </c>
      <c r="L8" s="36" t="s">
        <v>65</v>
      </c>
      <c r="M8" s="8">
        <v>4.3278688524590168</v>
      </c>
      <c r="N8" s="8">
        <v>4.8124999999999991</v>
      </c>
      <c r="O8" s="8">
        <v>4.5257731958762903</v>
      </c>
      <c r="P8" s="8">
        <v>4.4203539823008864</v>
      </c>
      <c r="Q8" s="36" t="s">
        <v>65</v>
      </c>
      <c r="R8" s="36" t="s">
        <v>65</v>
      </c>
    </row>
    <row r="9" spans="1:18" s="32" customFormat="1" ht="24" customHeight="1" thickBot="1">
      <c r="A9" s="52" t="s">
        <v>76</v>
      </c>
      <c r="B9" s="10">
        <v>3.8863636363636358</v>
      </c>
      <c r="C9" s="10">
        <v>3.375</v>
      </c>
      <c r="D9" s="27">
        <v>4.8</v>
      </c>
      <c r="E9" s="27">
        <v>4.2499999999999991</v>
      </c>
      <c r="F9" s="13">
        <v>3</v>
      </c>
      <c r="G9" s="27">
        <v>4.2</v>
      </c>
      <c r="H9" s="10">
        <v>4.0851063829787222</v>
      </c>
      <c r="I9" s="27">
        <v>4.160975609756095</v>
      </c>
      <c r="J9" s="27">
        <v>4.5789473684210531</v>
      </c>
      <c r="K9" s="8">
        <v>4.1190476190476195</v>
      </c>
      <c r="L9" s="36" t="s">
        <v>65</v>
      </c>
      <c r="M9" s="8">
        <v>4.1065573770491808</v>
      </c>
      <c r="N9" s="8">
        <v>4.8124999999999991</v>
      </c>
      <c r="O9" s="8">
        <v>4.3814432989690708</v>
      </c>
      <c r="P9" s="8">
        <v>4.4115044247787649</v>
      </c>
      <c r="Q9" s="36" t="s">
        <v>65</v>
      </c>
      <c r="R9" s="36" t="s">
        <v>65</v>
      </c>
    </row>
    <row r="10" spans="1:18" s="32" customFormat="1" ht="24" customHeight="1" thickBot="1">
      <c r="A10" s="52" t="s">
        <v>77</v>
      </c>
      <c r="B10" s="10">
        <v>3.9772727272727271</v>
      </c>
      <c r="C10" s="10">
        <v>3.125</v>
      </c>
      <c r="D10" s="27">
        <v>4.2</v>
      </c>
      <c r="E10" s="27">
        <v>4.375</v>
      </c>
      <c r="F10" s="13">
        <v>3.5</v>
      </c>
      <c r="G10" s="27">
        <v>4.1428571428571423</v>
      </c>
      <c r="H10" s="10">
        <v>3.9574468085106371</v>
      </c>
      <c r="I10" s="27">
        <v>4.2439024390243949</v>
      </c>
      <c r="J10" s="27">
        <v>4.4736842105263168</v>
      </c>
      <c r="K10" s="8">
        <v>4.2261904761904789</v>
      </c>
      <c r="L10" s="36" t="s">
        <v>65</v>
      </c>
      <c r="M10" s="8">
        <v>4.1967213114754118</v>
      </c>
      <c r="N10" s="8">
        <v>4.875</v>
      </c>
      <c r="O10" s="8">
        <v>4.5257731958762912</v>
      </c>
      <c r="P10" s="8">
        <v>4.4867256637168129</v>
      </c>
      <c r="Q10" s="36" t="s">
        <v>65</v>
      </c>
      <c r="R10" s="36" t="s">
        <v>65</v>
      </c>
    </row>
    <row r="11" spans="1:18" s="32" customFormat="1" ht="24" customHeight="1" thickBot="1">
      <c r="A11" s="52" t="s">
        <v>78</v>
      </c>
      <c r="B11" s="10">
        <v>3.9772727272727275</v>
      </c>
      <c r="C11" s="10">
        <v>3.375</v>
      </c>
      <c r="D11" s="27">
        <v>4</v>
      </c>
      <c r="E11" s="27">
        <v>4.1875</v>
      </c>
      <c r="F11" s="13">
        <v>3.5</v>
      </c>
      <c r="G11" s="27">
        <v>4.1428571428571432</v>
      </c>
      <c r="H11" s="10">
        <v>3.8510638297872335</v>
      </c>
      <c r="I11" s="27">
        <v>4.3170731707317094</v>
      </c>
      <c r="J11" s="27">
        <v>4.4736842105263159</v>
      </c>
      <c r="K11" s="8">
        <v>4.2261904761904781</v>
      </c>
      <c r="L11" s="36" t="s">
        <v>65</v>
      </c>
      <c r="M11" s="8">
        <v>4.1885245901639365</v>
      </c>
      <c r="N11" s="8">
        <v>4.875</v>
      </c>
      <c r="O11" s="8">
        <v>4.4020618556701008</v>
      </c>
      <c r="P11" s="8">
        <v>4.4867256637168129</v>
      </c>
      <c r="Q11" s="36" t="s">
        <v>65</v>
      </c>
      <c r="R11" s="36" t="s">
        <v>65</v>
      </c>
    </row>
    <row r="12" spans="1:18" s="32" customFormat="1" ht="24" customHeight="1" thickBot="1">
      <c r="A12" s="52" t="s">
        <v>79</v>
      </c>
      <c r="B12" s="10">
        <v>3.9545454545454537</v>
      </c>
      <c r="C12" s="10">
        <v>3.5</v>
      </c>
      <c r="D12" s="27">
        <v>4.2</v>
      </c>
      <c r="E12" s="27">
        <v>4.2499999999999991</v>
      </c>
      <c r="F12" s="13">
        <v>3.25</v>
      </c>
      <c r="G12" s="27">
        <v>4.2571428571428571</v>
      </c>
      <c r="H12" s="10">
        <v>4.0212765957446805</v>
      </c>
      <c r="I12" s="27">
        <v>4.1658536585365864</v>
      </c>
      <c r="J12" s="27">
        <v>4.4736842105263159</v>
      </c>
      <c r="K12" s="8">
        <v>4.2023809523809526</v>
      </c>
      <c r="L12" s="36" t="s">
        <v>65</v>
      </c>
      <c r="M12" s="8">
        <v>4.2131147540983607</v>
      </c>
      <c r="N12" s="8">
        <v>4.75</v>
      </c>
      <c r="O12" s="8">
        <v>4.5154639175257714</v>
      </c>
      <c r="P12" s="8">
        <v>4.4469026548672543</v>
      </c>
      <c r="Q12" s="36" t="s">
        <v>65</v>
      </c>
      <c r="R12" s="36" t="s">
        <v>65</v>
      </c>
    </row>
    <row r="13" spans="1:18" s="32" customFormat="1" ht="24" customHeight="1" thickBot="1">
      <c r="A13" s="52" t="s">
        <v>80</v>
      </c>
      <c r="B13" s="10">
        <v>3.9318181818181812</v>
      </c>
      <c r="C13" s="10">
        <v>3.625</v>
      </c>
      <c r="D13" s="27">
        <v>3.8</v>
      </c>
      <c r="E13" s="27">
        <v>4.4999999999999991</v>
      </c>
      <c r="F13" s="13">
        <v>4</v>
      </c>
      <c r="G13" s="27">
        <v>4.2571428571428571</v>
      </c>
      <c r="H13" s="10">
        <v>4.0212765957446805</v>
      </c>
      <c r="I13" s="27">
        <v>4.3219512195121954</v>
      </c>
      <c r="J13" s="27">
        <v>4.5263157894736841</v>
      </c>
      <c r="K13" s="8">
        <v>4.345238095238094</v>
      </c>
      <c r="L13" s="36" t="s">
        <v>65</v>
      </c>
      <c r="M13" s="8">
        <v>4.4098360655737707</v>
      </c>
      <c r="N13" s="8">
        <v>4.875</v>
      </c>
      <c r="O13" s="8">
        <v>4.5773195876288648</v>
      </c>
      <c r="P13" s="8">
        <v>4.4955752212389353</v>
      </c>
      <c r="Q13" s="36" t="s">
        <v>65</v>
      </c>
      <c r="R13" s="36" t="s">
        <v>65</v>
      </c>
    </row>
    <row r="14" spans="1:18" s="32" customFormat="1" ht="24" customHeight="1" thickBot="1">
      <c r="A14" s="52" t="s">
        <v>81</v>
      </c>
      <c r="B14" s="10">
        <v>3.9318181818181821</v>
      </c>
      <c r="C14" s="10">
        <v>3.5</v>
      </c>
      <c r="D14" s="27">
        <v>4.2</v>
      </c>
      <c r="E14" s="27">
        <v>4.4999999999999991</v>
      </c>
      <c r="F14" s="13">
        <v>3.75</v>
      </c>
      <c r="G14" s="27">
        <v>4.1428571428571423</v>
      </c>
      <c r="H14" s="10">
        <v>4.0425531914893611</v>
      </c>
      <c r="I14" s="27">
        <v>4.3365853658536562</v>
      </c>
      <c r="J14" s="27">
        <v>4.4736842105263159</v>
      </c>
      <c r="K14" s="8">
        <v>4.3095238095238084</v>
      </c>
      <c r="L14" s="36" t="s">
        <v>65</v>
      </c>
      <c r="M14" s="8">
        <v>4.3196721311475414</v>
      </c>
      <c r="N14" s="8">
        <v>4.875</v>
      </c>
      <c r="O14" s="8">
        <v>4.5051546391752559</v>
      </c>
      <c r="P14" s="8">
        <v>4.5044247787610612</v>
      </c>
      <c r="Q14" s="36" t="s">
        <v>65</v>
      </c>
      <c r="R14" s="36" t="s">
        <v>65</v>
      </c>
    </row>
    <row r="15" spans="1:18" s="32" customFormat="1" ht="24" customHeight="1" thickBot="1">
      <c r="A15" s="52" t="s">
        <v>82</v>
      </c>
      <c r="B15" s="10">
        <v>3.9772727272727271</v>
      </c>
      <c r="C15" s="10">
        <v>4.25</v>
      </c>
      <c r="D15" s="27">
        <v>4.2</v>
      </c>
      <c r="E15" s="27">
        <v>4.4999999999999991</v>
      </c>
      <c r="F15" s="13">
        <v>3.75</v>
      </c>
      <c r="G15" s="27">
        <v>4.4571428571428564</v>
      </c>
      <c r="H15" s="10">
        <v>4.0212765957446805</v>
      </c>
      <c r="I15" s="27">
        <v>4.3463414634146309</v>
      </c>
      <c r="J15" s="27">
        <v>4.4736842105263159</v>
      </c>
      <c r="K15" s="8">
        <v>4.2857142857142874</v>
      </c>
      <c r="L15" s="36" t="s">
        <v>65</v>
      </c>
      <c r="M15" s="8">
        <v>4.3196721311475423</v>
      </c>
      <c r="N15" s="8">
        <v>4.8124999999999991</v>
      </c>
      <c r="O15" s="8">
        <v>4.4845360824742269</v>
      </c>
      <c r="P15" s="8">
        <v>4.4601769911504432</v>
      </c>
      <c r="Q15" s="36" t="s">
        <v>65</v>
      </c>
      <c r="R15" s="36" t="s">
        <v>65</v>
      </c>
    </row>
    <row r="16" spans="1:18" s="32" customFormat="1" ht="24" customHeight="1" thickBot="1">
      <c r="A16" s="52" t="s">
        <v>83</v>
      </c>
      <c r="B16" s="10">
        <v>3.9999999999999996</v>
      </c>
      <c r="C16" s="10">
        <v>4.125</v>
      </c>
      <c r="D16" s="27">
        <v>4.2</v>
      </c>
      <c r="E16" s="27">
        <v>4.3750000000000009</v>
      </c>
      <c r="F16" s="13">
        <v>3.75</v>
      </c>
      <c r="G16" s="27">
        <v>4.4857142857142849</v>
      </c>
      <c r="H16" s="10">
        <v>4.2340425531914896</v>
      </c>
      <c r="I16" s="27">
        <v>4.2829268292682929</v>
      </c>
      <c r="J16" s="27">
        <v>4.4210526315789478</v>
      </c>
      <c r="K16" s="8">
        <v>4.4404761904761898</v>
      </c>
      <c r="L16" s="36" t="s">
        <v>65</v>
      </c>
      <c r="M16" s="8">
        <v>4.3524590163934436</v>
      </c>
      <c r="N16" s="8">
        <v>4.8125</v>
      </c>
      <c r="O16" s="8">
        <v>4.5567010309278304</v>
      </c>
      <c r="P16" s="8">
        <v>4.4646017699115044</v>
      </c>
      <c r="Q16" s="36" t="s">
        <v>65</v>
      </c>
      <c r="R16" s="36" t="s">
        <v>65</v>
      </c>
    </row>
    <row r="17" spans="1:18" s="32" customFormat="1" ht="24" customHeight="1" thickBot="1">
      <c r="A17" s="52" t="s">
        <v>84</v>
      </c>
      <c r="B17" s="10">
        <v>3.9545454545454541</v>
      </c>
      <c r="C17" s="10">
        <v>3.5</v>
      </c>
      <c r="D17" s="27">
        <v>4.4000000000000004</v>
      </c>
      <c r="E17" s="27">
        <v>4.4375</v>
      </c>
      <c r="F17" s="13">
        <v>3.75</v>
      </c>
      <c r="G17" s="27">
        <v>4.4285714285714279</v>
      </c>
      <c r="H17" s="10">
        <v>4.127659574468086</v>
      </c>
      <c r="I17" s="27">
        <v>4.2439024390243958</v>
      </c>
      <c r="J17" s="27">
        <v>4.5263157894736841</v>
      </c>
      <c r="K17" s="8">
        <v>4.404761904761906</v>
      </c>
      <c r="L17" s="36" t="s">
        <v>65</v>
      </c>
      <c r="M17" s="8">
        <v>4.3278688524590176</v>
      </c>
      <c r="N17" s="8">
        <v>4.6250000000000009</v>
      </c>
      <c r="O17" s="8">
        <v>4.536082474226804</v>
      </c>
      <c r="P17" s="8">
        <v>4.4690265486725655</v>
      </c>
      <c r="Q17" s="36" t="s">
        <v>65</v>
      </c>
      <c r="R17" s="36" t="s">
        <v>65</v>
      </c>
    </row>
    <row r="18" spans="1:18" s="32" customFormat="1" ht="24" customHeight="1" thickBot="1">
      <c r="A18" s="52" t="s">
        <v>85</v>
      </c>
      <c r="B18" s="10">
        <v>4.0227272727272725</v>
      </c>
      <c r="C18" s="10">
        <v>4.125</v>
      </c>
      <c r="D18" s="27">
        <v>4</v>
      </c>
      <c r="E18" s="27">
        <v>4.4374999999999991</v>
      </c>
      <c r="F18" s="13">
        <v>3.5</v>
      </c>
      <c r="G18" s="27">
        <v>4.3999999999999995</v>
      </c>
      <c r="H18" s="10">
        <v>4.1914893617021267</v>
      </c>
      <c r="I18" s="27">
        <v>4.2878048780487843</v>
      </c>
      <c r="J18" s="27">
        <v>4.5789473684210522</v>
      </c>
      <c r="K18" s="8">
        <v>4.4047619047619051</v>
      </c>
      <c r="L18" s="36" t="s">
        <v>65</v>
      </c>
      <c r="M18" s="8">
        <v>4.3524590163934418</v>
      </c>
      <c r="N18" s="8">
        <v>4.8125</v>
      </c>
      <c r="O18" s="8">
        <v>4.5257731958762903</v>
      </c>
      <c r="P18" s="8">
        <v>4.4911504424778732</v>
      </c>
      <c r="Q18" s="36" t="s">
        <v>65</v>
      </c>
      <c r="R18" s="36" t="s">
        <v>65</v>
      </c>
    </row>
    <row r="19" spans="1:18" s="32" customFormat="1" ht="24" customHeight="1" thickBot="1">
      <c r="A19" s="52" t="s">
        <v>86</v>
      </c>
      <c r="B19" s="10">
        <v>4.045454545454545</v>
      </c>
      <c r="C19" s="10">
        <v>4</v>
      </c>
      <c r="D19" s="27">
        <v>4.4000000000000004</v>
      </c>
      <c r="E19" s="27">
        <v>4.5</v>
      </c>
      <c r="F19" s="13">
        <v>3.5</v>
      </c>
      <c r="G19" s="27">
        <v>4.5142857142857142</v>
      </c>
      <c r="H19" s="10">
        <v>4.212765957446809</v>
      </c>
      <c r="I19" s="27">
        <v>4.307317073170732</v>
      </c>
      <c r="J19" s="27">
        <v>4.5789473684210531</v>
      </c>
      <c r="K19" s="8">
        <v>4.4523809523809526</v>
      </c>
      <c r="L19" s="36" t="s">
        <v>65</v>
      </c>
      <c r="M19" s="8">
        <v>4.3606557377049189</v>
      </c>
      <c r="N19" s="8">
        <v>4.8125</v>
      </c>
      <c r="O19" s="8">
        <v>4.5154639175257723</v>
      </c>
      <c r="P19" s="8">
        <v>4.5221238938053094</v>
      </c>
      <c r="Q19" s="36" t="s">
        <v>65</v>
      </c>
      <c r="R19" s="36" t="s">
        <v>65</v>
      </c>
    </row>
    <row r="20" spans="1:18" s="32" customFormat="1" ht="24" customHeight="1" thickBot="1">
      <c r="A20" s="52" t="s">
        <v>87</v>
      </c>
      <c r="B20" s="10">
        <v>3.9090909090909087</v>
      </c>
      <c r="C20" s="10">
        <v>3.625</v>
      </c>
      <c r="D20" s="27">
        <v>4.2</v>
      </c>
      <c r="E20" s="27">
        <v>4.375</v>
      </c>
      <c r="F20" s="13">
        <v>3.5</v>
      </c>
      <c r="G20" s="27">
        <v>4.428571428571427</v>
      </c>
      <c r="H20" s="10">
        <v>4.127659574468086</v>
      </c>
      <c r="I20" s="27">
        <v>4.414634146341462</v>
      </c>
      <c r="J20" s="27">
        <v>4.5789473684210531</v>
      </c>
      <c r="K20" s="8">
        <v>4.4761904761904754</v>
      </c>
      <c r="L20" s="36" t="s">
        <v>65</v>
      </c>
      <c r="M20" s="8">
        <v>4.3196721311475406</v>
      </c>
      <c r="N20" s="8">
        <v>4.5625</v>
      </c>
      <c r="O20" s="8">
        <v>4.5463917525773176</v>
      </c>
      <c r="P20" s="8">
        <v>4.5530973451327412</v>
      </c>
      <c r="Q20" s="36" t="s">
        <v>65</v>
      </c>
      <c r="R20" s="36" t="s">
        <v>65</v>
      </c>
    </row>
    <row r="21" spans="1:18" s="32" customFormat="1" ht="24" customHeight="1">
      <c r="A21" s="6" t="s">
        <v>9</v>
      </c>
      <c r="B21" s="10">
        <v>3.9829545454545467</v>
      </c>
      <c r="C21" s="10">
        <v>3.78125</v>
      </c>
      <c r="D21" s="27">
        <v>4.3125</v>
      </c>
      <c r="E21" s="27">
        <v>4.3632812500000018</v>
      </c>
      <c r="F21" s="13">
        <v>3.59375</v>
      </c>
      <c r="G21" s="27">
        <v>4.3607142857142858</v>
      </c>
      <c r="H21" s="10">
        <v>4.0997340425531901</v>
      </c>
      <c r="I21" s="27">
        <v>4.2929878048780497</v>
      </c>
      <c r="J21" s="27">
        <v>4.509868421052631</v>
      </c>
      <c r="K21" s="8">
        <v>4.3325892857142865</v>
      </c>
      <c r="L21" s="36" t="s">
        <v>65</v>
      </c>
      <c r="M21" s="8">
        <v>4.3196721311475432</v>
      </c>
      <c r="N21" s="8">
        <v>4.7890624999999991</v>
      </c>
      <c r="O21" s="8">
        <v>4.4980670103092795</v>
      </c>
      <c r="P21" s="8">
        <v>4.4654314159292019</v>
      </c>
      <c r="Q21" s="36" t="s">
        <v>65</v>
      </c>
      <c r="R21" s="36" t="s">
        <v>65</v>
      </c>
    </row>
    <row r="22" spans="1:18" s="32" customFormat="1" ht="24.75" customHeight="1">
      <c r="A22" s="5" t="s">
        <v>10</v>
      </c>
      <c r="B22" s="63">
        <f>B21*20</f>
        <v>79.659090909090935</v>
      </c>
      <c r="C22" s="63">
        <f t="shared" ref="C22:D22" si="0">C21*20</f>
        <v>75.625</v>
      </c>
      <c r="D22" s="63">
        <f t="shared" si="0"/>
        <v>86.25</v>
      </c>
      <c r="E22" s="63">
        <f t="shared" ref="E22:K22" si="1">E21*20</f>
        <v>87.265625000000028</v>
      </c>
      <c r="F22" s="63">
        <f t="shared" si="1"/>
        <v>71.875</v>
      </c>
      <c r="G22" s="63">
        <f t="shared" si="1"/>
        <v>87.214285714285722</v>
      </c>
      <c r="H22" s="63">
        <f t="shared" si="1"/>
        <v>81.994680851063805</v>
      </c>
      <c r="I22" s="63">
        <f t="shared" si="1"/>
        <v>85.859756097560989</v>
      </c>
      <c r="J22" s="63">
        <f t="shared" si="1"/>
        <v>90.197368421052616</v>
      </c>
      <c r="K22" s="63">
        <f t="shared" si="1"/>
        <v>86.651785714285722</v>
      </c>
      <c r="L22" s="36" t="s">
        <v>65</v>
      </c>
      <c r="M22" s="63">
        <f t="shared" ref="M22:P22" si="2">M21*20</f>
        <v>86.393442622950857</v>
      </c>
      <c r="N22" s="63">
        <f t="shared" si="2"/>
        <v>95.781249999999986</v>
      </c>
      <c r="O22" s="63">
        <f t="shared" si="2"/>
        <v>89.961340206185582</v>
      </c>
      <c r="P22" s="63">
        <f t="shared" si="2"/>
        <v>89.308628318584041</v>
      </c>
      <c r="Q22" s="36" t="s">
        <v>65</v>
      </c>
      <c r="R22" s="36" t="s">
        <v>65</v>
      </c>
    </row>
    <row r="23" spans="1:18">
      <c r="A23" s="53" t="s">
        <v>44</v>
      </c>
      <c r="B23" s="9">
        <v>95.454545454545453</v>
      </c>
      <c r="C23" s="22">
        <v>75</v>
      </c>
      <c r="D23" s="9">
        <v>80</v>
      </c>
      <c r="E23" s="9">
        <v>100</v>
      </c>
      <c r="F23" s="22">
        <v>100</v>
      </c>
      <c r="G23" s="9">
        <v>97.142857142857139</v>
      </c>
      <c r="H23" s="22">
        <v>89.361702127659569</v>
      </c>
      <c r="I23" s="64">
        <v>99.512195121951223</v>
      </c>
      <c r="J23" s="64">
        <v>100</v>
      </c>
      <c r="K23" s="22">
        <v>98.80952380952381</v>
      </c>
      <c r="L23" s="64" t="s">
        <v>66</v>
      </c>
      <c r="M23" s="22">
        <v>92.622950819672127</v>
      </c>
      <c r="N23" s="22">
        <v>100</v>
      </c>
      <c r="O23" s="22">
        <v>98.969072164948457</v>
      </c>
      <c r="P23" s="22">
        <v>98.672566371681413</v>
      </c>
      <c r="Q23" s="64" t="s">
        <v>66</v>
      </c>
      <c r="R23" s="64" t="s">
        <v>66</v>
      </c>
    </row>
    <row r="25" spans="1:18" ht="24" customHeight="1"/>
    <row r="26" spans="1:18" ht="59.25" customHeight="1">
      <c r="A26" s="3" t="s">
        <v>0</v>
      </c>
      <c r="B26" s="1" t="s">
        <v>67</v>
      </c>
      <c r="C26" s="1" t="s">
        <v>54</v>
      </c>
      <c r="D26" s="1" t="s">
        <v>92</v>
      </c>
      <c r="E26" s="1" t="s">
        <v>6</v>
      </c>
      <c r="F26" s="1" t="s">
        <v>7</v>
      </c>
      <c r="G26" s="1" t="s">
        <v>56</v>
      </c>
      <c r="H26" s="1" t="s">
        <v>62</v>
      </c>
      <c r="I26" s="1" t="s">
        <v>59</v>
      </c>
      <c r="J26" s="1" t="s">
        <v>93</v>
      </c>
      <c r="K26" s="1" t="s">
        <v>11</v>
      </c>
      <c r="L26" s="1" t="s">
        <v>45</v>
      </c>
      <c r="M26" s="1" t="s">
        <v>50</v>
      </c>
      <c r="N26" s="1" t="s">
        <v>55</v>
      </c>
      <c r="O26" s="1" t="s">
        <v>1</v>
      </c>
      <c r="P26" s="1" t="s">
        <v>71</v>
      </c>
      <c r="Q26" s="1" t="s">
        <v>94</v>
      </c>
      <c r="R26" s="1" t="s">
        <v>96</v>
      </c>
    </row>
    <row r="27" spans="1:18" ht="24" customHeight="1" thickBot="1">
      <c r="A27" s="5" t="s">
        <v>8</v>
      </c>
      <c r="B27" s="36" t="s">
        <v>65</v>
      </c>
      <c r="C27" s="36" t="s">
        <v>65</v>
      </c>
      <c r="D27" s="36">
        <v>2</v>
      </c>
      <c r="E27" s="36">
        <v>28</v>
      </c>
      <c r="F27" s="61">
        <v>4</v>
      </c>
      <c r="G27" s="61">
        <v>51</v>
      </c>
      <c r="H27" s="36">
        <v>9</v>
      </c>
      <c r="I27" s="61">
        <v>17</v>
      </c>
      <c r="J27" s="36" t="s">
        <v>65</v>
      </c>
      <c r="K27" s="36" t="s">
        <v>65</v>
      </c>
      <c r="L27" s="61">
        <v>28</v>
      </c>
      <c r="M27" s="61">
        <v>6</v>
      </c>
      <c r="N27" s="61">
        <v>10</v>
      </c>
      <c r="O27" s="61">
        <v>4</v>
      </c>
      <c r="P27" s="36" t="s">
        <v>65</v>
      </c>
      <c r="Q27" s="36" t="s">
        <v>65</v>
      </c>
      <c r="R27" s="36" t="s">
        <v>65</v>
      </c>
    </row>
    <row r="28" spans="1:18" ht="24" customHeight="1" thickBot="1">
      <c r="A28" s="51" t="s">
        <v>72</v>
      </c>
      <c r="B28" s="36" t="s">
        <v>65</v>
      </c>
      <c r="C28" s="36" t="s">
        <v>65</v>
      </c>
      <c r="D28" s="27">
        <v>5</v>
      </c>
      <c r="E28" s="27">
        <v>4.5357142857142865</v>
      </c>
      <c r="F28" s="8">
        <v>4.25</v>
      </c>
      <c r="G28" s="10">
        <v>4.3921568627450966</v>
      </c>
      <c r="H28" s="27">
        <v>4.5555555555555554</v>
      </c>
      <c r="I28" s="8">
        <v>4.6470588235294121</v>
      </c>
      <c r="J28" s="36" t="s">
        <v>65</v>
      </c>
      <c r="K28" s="36" t="s">
        <v>65</v>
      </c>
      <c r="L28" s="8">
        <v>4.6071428571428559</v>
      </c>
      <c r="M28" s="10">
        <v>4.5</v>
      </c>
      <c r="N28" s="8">
        <v>4</v>
      </c>
      <c r="O28" s="10">
        <v>4.25</v>
      </c>
      <c r="P28" s="36" t="s">
        <v>65</v>
      </c>
      <c r="Q28" s="36" t="s">
        <v>65</v>
      </c>
      <c r="R28" s="36" t="s">
        <v>65</v>
      </c>
    </row>
    <row r="29" spans="1:18" ht="24" customHeight="1" thickBot="1">
      <c r="A29" s="52" t="s">
        <v>73</v>
      </c>
      <c r="B29" s="36" t="s">
        <v>65</v>
      </c>
      <c r="C29" s="36" t="s">
        <v>65</v>
      </c>
      <c r="D29" s="27">
        <v>5</v>
      </c>
      <c r="E29" s="27">
        <v>4.4285714285714279</v>
      </c>
      <c r="F29" s="8">
        <v>4.25</v>
      </c>
      <c r="G29" s="10">
        <v>4.4313725490196072</v>
      </c>
      <c r="H29" s="27">
        <v>4.4444444444444446</v>
      </c>
      <c r="I29" s="8">
        <v>4.5882352941176459</v>
      </c>
      <c r="J29" s="36" t="s">
        <v>65</v>
      </c>
      <c r="K29" s="36" t="s">
        <v>65</v>
      </c>
      <c r="L29" s="8">
        <v>4.5357142857142856</v>
      </c>
      <c r="M29" s="10">
        <v>4.6666666666666661</v>
      </c>
      <c r="N29" s="8">
        <v>3.9</v>
      </c>
      <c r="O29" s="10">
        <v>4.25</v>
      </c>
      <c r="P29" s="36" t="s">
        <v>65</v>
      </c>
      <c r="Q29" s="36" t="s">
        <v>65</v>
      </c>
      <c r="R29" s="36" t="s">
        <v>65</v>
      </c>
    </row>
    <row r="30" spans="1:18" ht="24" customHeight="1" thickBot="1">
      <c r="A30" s="52" t="s">
        <v>74</v>
      </c>
      <c r="B30" s="36" t="s">
        <v>65</v>
      </c>
      <c r="C30" s="36" t="s">
        <v>65</v>
      </c>
      <c r="D30" s="27">
        <v>5</v>
      </c>
      <c r="E30" s="27">
        <v>4.3571428571428577</v>
      </c>
      <c r="F30" s="8">
        <v>4.25</v>
      </c>
      <c r="G30" s="10">
        <v>4.4117647058823515</v>
      </c>
      <c r="H30" s="27">
        <v>4.666666666666667</v>
      </c>
      <c r="I30" s="8">
        <v>4.6470588235294121</v>
      </c>
      <c r="J30" s="36" t="s">
        <v>65</v>
      </c>
      <c r="K30" s="36" t="s">
        <v>65</v>
      </c>
      <c r="L30" s="8">
        <v>4.5000000000000018</v>
      </c>
      <c r="M30" s="10">
        <v>4.5</v>
      </c>
      <c r="N30" s="8">
        <v>4</v>
      </c>
      <c r="O30" s="10">
        <v>3.5</v>
      </c>
      <c r="P30" s="36" t="s">
        <v>65</v>
      </c>
      <c r="Q30" s="36" t="s">
        <v>65</v>
      </c>
      <c r="R30" s="36" t="s">
        <v>65</v>
      </c>
    </row>
    <row r="31" spans="1:18" ht="24" customHeight="1" thickBot="1">
      <c r="A31" s="52" t="s">
        <v>75</v>
      </c>
      <c r="B31" s="36" t="s">
        <v>65</v>
      </c>
      <c r="C31" s="36" t="s">
        <v>65</v>
      </c>
      <c r="D31" s="27">
        <v>5</v>
      </c>
      <c r="E31" s="27">
        <v>4.4642857142857126</v>
      </c>
      <c r="F31" s="8">
        <v>4</v>
      </c>
      <c r="G31" s="10">
        <v>4.4705882352941169</v>
      </c>
      <c r="H31" s="27">
        <v>4.5555555555555554</v>
      </c>
      <c r="I31" s="8">
        <v>4.6470588235294112</v>
      </c>
      <c r="J31" s="36" t="s">
        <v>65</v>
      </c>
      <c r="K31" s="36" t="s">
        <v>65</v>
      </c>
      <c r="L31" s="8">
        <v>4.4642857142857144</v>
      </c>
      <c r="M31" s="10">
        <v>4.3333333333333339</v>
      </c>
      <c r="N31" s="8">
        <v>4</v>
      </c>
      <c r="O31" s="10">
        <v>4.25</v>
      </c>
      <c r="P31" s="36" t="s">
        <v>65</v>
      </c>
      <c r="Q31" s="36" t="s">
        <v>65</v>
      </c>
      <c r="R31" s="36" t="s">
        <v>65</v>
      </c>
    </row>
    <row r="32" spans="1:18" ht="24" customHeight="1" thickBot="1">
      <c r="A32" s="52" t="s">
        <v>76</v>
      </c>
      <c r="B32" s="36" t="s">
        <v>65</v>
      </c>
      <c r="C32" s="36" t="s">
        <v>65</v>
      </c>
      <c r="D32" s="27">
        <v>5</v>
      </c>
      <c r="E32" s="27">
        <v>4.25</v>
      </c>
      <c r="F32" s="8">
        <v>3.75</v>
      </c>
      <c r="G32" s="10">
        <v>4.2549019607843128</v>
      </c>
      <c r="H32" s="27">
        <v>4.5555555555555554</v>
      </c>
      <c r="I32" s="8">
        <v>4.6470588235294112</v>
      </c>
      <c r="J32" s="36" t="s">
        <v>65</v>
      </c>
      <c r="K32" s="36" t="s">
        <v>65</v>
      </c>
      <c r="L32" s="8">
        <v>4.5714285714285712</v>
      </c>
      <c r="M32" s="10">
        <v>4.3333333333333339</v>
      </c>
      <c r="N32" s="8">
        <v>3.8</v>
      </c>
      <c r="O32" s="10">
        <v>3</v>
      </c>
      <c r="P32" s="36" t="s">
        <v>65</v>
      </c>
      <c r="Q32" s="36" t="s">
        <v>65</v>
      </c>
      <c r="R32" s="36" t="s">
        <v>65</v>
      </c>
    </row>
    <row r="33" spans="1:18" ht="24" customHeight="1" thickBot="1">
      <c r="A33" s="52" t="s">
        <v>77</v>
      </c>
      <c r="B33" s="36" t="s">
        <v>65</v>
      </c>
      <c r="C33" s="36" t="s">
        <v>65</v>
      </c>
      <c r="D33" s="27">
        <v>5</v>
      </c>
      <c r="E33" s="27">
        <v>4.2499999999999991</v>
      </c>
      <c r="F33" s="8">
        <v>4.25</v>
      </c>
      <c r="G33" s="10">
        <v>4.5098039215686274</v>
      </c>
      <c r="H33" s="27">
        <v>4.666666666666667</v>
      </c>
      <c r="I33" s="8">
        <v>4.5294117647058814</v>
      </c>
      <c r="J33" s="36" t="s">
        <v>65</v>
      </c>
      <c r="K33" s="36" t="s">
        <v>65</v>
      </c>
      <c r="L33" s="8">
        <v>4.5357142857142856</v>
      </c>
      <c r="M33" s="10">
        <v>4.3333333333333339</v>
      </c>
      <c r="N33" s="8">
        <v>4</v>
      </c>
      <c r="O33" s="10">
        <v>3</v>
      </c>
      <c r="P33" s="36" t="s">
        <v>65</v>
      </c>
      <c r="Q33" s="36" t="s">
        <v>65</v>
      </c>
      <c r="R33" s="36" t="s">
        <v>65</v>
      </c>
    </row>
    <row r="34" spans="1:18" ht="24" customHeight="1" thickBot="1">
      <c r="A34" s="52" t="s">
        <v>78</v>
      </c>
      <c r="B34" s="36" t="s">
        <v>65</v>
      </c>
      <c r="C34" s="36" t="s">
        <v>65</v>
      </c>
      <c r="D34" s="27">
        <v>5</v>
      </c>
      <c r="E34" s="27">
        <v>4.4285714285714279</v>
      </c>
      <c r="F34" s="8">
        <v>4.25</v>
      </c>
      <c r="G34" s="10">
        <v>4.5098039215686274</v>
      </c>
      <c r="H34" s="27">
        <v>4.5555555555555554</v>
      </c>
      <c r="I34" s="8">
        <v>4.7058823529411766</v>
      </c>
      <c r="J34" s="36" t="s">
        <v>65</v>
      </c>
      <c r="K34" s="36" t="s">
        <v>65</v>
      </c>
      <c r="L34" s="8">
        <v>4.75</v>
      </c>
      <c r="M34" s="10">
        <v>4.6666666666666661</v>
      </c>
      <c r="N34" s="8">
        <v>3.5</v>
      </c>
      <c r="O34" s="10">
        <v>3</v>
      </c>
      <c r="P34" s="36" t="s">
        <v>65</v>
      </c>
      <c r="Q34" s="36" t="s">
        <v>65</v>
      </c>
      <c r="R34" s="36" t="s">
        <v>65</v>
      </c>
    </row>
    <row r="35" spans="1:18" ht="24" customHeight="1" thickBot="1">
      <c r="A35" s="52" t="s">
        <v>79</v>
      </c>
      <c r="B35" s="36" t="s">
        <v>65</v>
      </c>
      <c r="C35" s="36" t="s">
        <v>65</v>
      </c>
      <c r="D35" s="27">
        <v>5</v>
      </c>
      <c r="E35" s="27">
        <v>4.3214285714285712</v>
      </c>
      <c r="F35" s="8">
        <v>4.25</v>
      </c>
      <c r="G35" s="10">
        <v>4.3921568627450975</v>
      </c>
      <c r="H35" s="27">
        <v>4.5555555555555554</v>
      </c>
      <c r="I35" s="8">
        <v>4.5882352941176467</v>
      </c>
      <c r="J35" s="36" t="s">
        <v>65</v>
      </c>
      <c r="K35" s="36" t="s">
        <v>65</v>
      </c>
      <c r="L35" s="8">
        <v>4.5714285714285712</v>
      </c>
      <c r="M35" s="10">
        <v>4.3333333333333339</v>
      </c>
      <c r="N35" s="8">
        <v>3.6999999999999993</v>
      </c>
      <c r="O35" s="10">
        <v>3</v>
      </c>
      <c r="P35" s="36" t="s">
        <v>65</v>
      </c>
      <c r="Q35" s="36" t="s">
        <v>65</v>
      </c>
      <c r="R35" s="36" t="s">
        <v>65</v>
      </c>
    </row>
    <row r="36" spans="1:18" ht="24" customHeight="1" thickBot="1">
      <c r="A36" s="52" t="s">
        <v>80</v>
      </c>
      <c r="B36" s="36" t="s">
        <v>65</v>
      </c>
      <c r="C36" s="36" t="s">
        <v>65</v>
      </c>
      <c r="D36" s="27">
        <v>5</v>
      </c>
      <c r="E36" s="27">
        <v>4.4642857142857126</v>
      </c>
      <c r="F36" s="8">
        <v>4</v>
      </c>
      <c r="G36" s="10">
        <v>4.5098039215686283</v>
      </c>
      <c r="H36" s="27">
        <v>4.4444444444444446</v>
      </c>
      <c r="I36" s="8">
        <v>4.6470588235294112</v>
      </c>
      <c r="J36" s="36" t="s">
        <v>65</v>
      </c>
      <c r="K36" s="36" t="s">
        <v>65</v>
      </c>
      <c r="L36" s="8">
        <v>4.6785714285714288</v>
      </c>
      <c r="M36" s="10">
        <v>4.6666666666666661</v>
      </c>
      <c r="N36" s="8">
        <v>4.0999999999999996</v>
      </c>
      <c r="O36" s="10">
        <v>3</v>
      </c>
      <c r="P36" s="36" t="s">
        <v>65</v>
      </c>
      <c r="Q36" s="36" t="s">
        <v>65</v>
      </c>
      <c r="R36" s="36" t="s">
        <v>65</v>
      </c>
    </row>
    <row r="37" spans="1:18" ht="24" customHeight="1" thickBot="1">
      <c r="A37" s="52" t="s">
        <v>81</v>
      </c>
      <c r="B37" s="36" t="s">
        <v>65</v>
      </c>
      <c r="C37" s="36" t="s">
        <v>65</v>
      </c>
      <c r="D37" s="27">
        <v>5</v>
      </c>
      <c r="E37" s="27">
        <v>4.4642857142857135</v>
      </c>
      <c r="F37" s="8">
        <v>4.25</v>
      </c>
      <c r="G37" s="10">
        <v>4.4117647058823497</v>
      </c>
      <c r="H37" s="27">
        <v>4.4444444444444446</v>
      </c>
      <c r="I37" s="8">
        <v>4.6470588235294121</v>
      </c>
      <c r="J37" s="36" t="s">
        <v>65</v>
      </c>
      <c r="K37" s="36" t="s">
        <v>65</v>
      </c>
      <c r="L37" s="8">
        <v>4.6428571428571423</v>
      </c>
      <c r="M37" s="10">
        <v>4.5</v>
      </c>
      <c r="N37" s="8">
        <v>3.9</v>
      </c>
      <c r="O37" s="10">
        <v>3</v>
      </c>
      <c r="P37" s="36" t="s">
        <v>65</v>
      </c>
      <c r="Q37" s="36" t="s">
        <v>65</v>
      </c>
      <c r="R37" s="36" t="s">
        <v>65</v>
      </c>
    </row>
    <row r="38" spans="1:18" ht="24" customHeight="1" thickBot="1">
      <c r="A38" s="52" t="s">
        <v>82</v>
      </c>
      <c r="B38" s="36" t="s">
        <v>65</v>
      </c>
      <c r="C38" s="36" t="s">
        <v>65</v>
      </c>
      <c r="D38" s="27">
        <v>5</v>
      </c>
      <c r="E38" s="27">
        <v>4.4285714285714279</v>
      </c>
      <c r="F38" s="8">
        <v>4.25</v>
      </c>
      <c r="G38" s="10">
        <v>4.5098039215686283</v>
      </c>
      <c r="H38" s="27">
        <v>4.333333333333333</v>
      </c>
      <c r="I38" s="8">
        <v>4.8235294117647056</v>
      </c>
      <c r="J38" s="36" t="s">
        <v>65</v>
      </c>
      <c r="K38" s="36" t="s">
        <v>65</v>
      </c>
      <c r="L38" s="8">
        <v>4.5357142857142856</v>
      </c>
      <c r="M38" s="10">
        <v>4.3333333333333339</v>
      </c>
      <c r="N38" s="8">
        <v>3.8</v>
      </c>
      <c r="O38" s="10">
        <v>3</v>
      </c>
      <c r="P38" s="36" t="s">
        <v>65</v>
      </c>
      <c r="Q38" s="36" t="s">
        <v>65</v>
      </c>
      <c r="R38" s="36" t="s">
        <v>65</v>
      </c>
    </row>
    <row r="39" spans="1:18" ht="24" customHeight="1" thickBot="1">
      <c r="A39" s="52" t="s">
        <v>83</v>
      </c>
      <c r="B39" s="36" t="s">
        <v>65</v>
      </c>
      <c r="C39" s="36" t="s">
        <v>65</v>
      </c>
      <c r="D39" s="27">
        <v>5</v>
      </c>
      <c r="E39" s="27">
        <v>4.4285714285714279</v>
      </c>
      <c r="F39" s="8">
        <v>4.25</v>
      </c>
      <c r="G39" s="10">
        <v>4.450980392156862</v>
      </c>
      <c r="H39" s="27">
        <v>4.4444444444444446</v>
      </c>
      <c r="I39" s="8">
        <v>4.5882352941176459</v>
      </c>
      <c r="J39" s="36" t="s">
        <v>65</v>
      </c>
      <c r="K39" s="36" t="s">
        <v>65</v>
      </c>
      <c r="L39" s="8">
        <v>4.5000000000000009</v>
      </c>
      <c r="M39" s="10">
        <v>4.3333333333333339</v>
      </c>
      <c r="N39" s="8">
        <v>4</v>
      </c>
      <c r="O39" s="10">
        <v>4</v>
      </c>
      <c r="P39" s="36" t="s">
        <v>65</v>
      </c>
      <c r="Q39" s="36" t="s">
        <v>65</v>
      </c>
      <c r="R39" s="36" t="s">
        <v>65</v>
      </c>
    </row>
    <row r="40" spans="1:18" ht="24" customHeight="1" thickBot="1">
      <c r="A40" s="52" t="s">
        <v>84</v>
      </c>
      <c r="B40" s="36" t="s">
        <v>65</v>
      </c>
      <c r="C40" s="36" t="s">
        <v>65</v>
      </c>
      <c r="D40" s="27">
        <v>5</v>
      </c>
      <c r="E40" s="27">
        <v>4.4642857142857126</v>
      </c>
      <c r="F40" s="8">
        <v>3.75</v>
      </c>
      <c r="G40" s="10">
        <v>4.4117647058823524</v>
      </c>
      <c r="H40" s="27">
        <v>4.5555555555555554</v>
      </c>
      <c r="I40" s="8">
        <v>4.5882352941176459</v>
      </c>
      <c r="J40" s="36" t="s">
        <v>65</v>
      </c>
      <c r="K40" s="36" t="s">
        <v>65</v>
      </c>
      <c r="L40" s="8">
        <v>4.5714285714285712</v>
      </c>
      <c r="M40" s="10">
        <v>4.5</v>
      </c>
      <c r="N40" s="8">
        <v>3.9</v>
      </c>
      <c r="O40" s="10">
        <v>3</v>
      </c>
      <c r="P40" s="36" t="s">
        <v>65</v>
      </c>
      <c r="Q40" s="36" t="s">
        <v>65</v>
      </c>
      <c r="R40" s="36" t="s">
        <v>65</v>
      </c>
    </row>
    <row r="41" spans="1:18" ht="24" customHeight="1" thickBot="1">
      <c r="A41" s="52" t="s">
        <v>85</v>
      </c>
      <c r="B41" s="36" t="s">
        <v>65</v>
      </c>
      <c r="C41" s="36" t="s">
        <v>65</v>
      </c>
      <c r="D41" s="27">
        <v>5</v>
      </c>
      <c r="E41" s="27">
        <v>4.2857142857142856</v>
      </c>
      <c r="F41" s="8">
        <v>4</v>
      </c>
      <c r="G41" s="10">
        <v>4.4313725490196072</v>
      </c>
      <c r="H41" s="27">
        <v>4.5555555555555554</v>
      </c>
      <c r="I41" s="8">
        <v>4.5882352941176459</v>
      </c>
      <c r="J41" s="36" t="s">
        <v>65</v>
      </c>
      <c r="K41" s="36" t="s">
        <v>65</v>
      </c>
      <c r="L41" s="8">
        <v>4.6785714285714288</v>
      </c>
      <c r="M41" s="10">
        <v>4.3333333333333339</v>
      </c>
      <c r="N41" s="8">
        <v>4.0999999999999996</v>
      </c>
      <c r="O41" s="10">
        <v>3</v>
      </c>
      <c r="P41" s="36" t="s">
        <v>65</v>
      </c>
      <c r="Q41" s="36" t="s">
        <v>65</v>
      </c>
      <c r="R41" s="36" t="s">
        <v>65</v>
      </c>
    </row>
    <row r="42" spans="1:18" ht="24" customHeight="1" thickBot="1">
      <c r="A42" s="52" t="s">
        <v>86</v>
      </c>
      <c r="B42" s="36" t="s">
        <v>65</v>
      </c>
      <c r="C42" s="36" t="s">
        <v>65</v>
      </c>
      <c r="D42" s="27">
        <v>5</v>
      </c>
      <c r="E42" s="27">
        <v>4.3928571428571432</v>
      </c>
      <c r="F42" s="8">
        <v>4</v>
      </c>
      <c r="G42" s="10">
        <v>4.5294117647058822</v>
      </c>
      <c r="H42" s="27">
        <v>4.4444444444444446</v>
      </c>
      <c r="I42" s="8">
        <v>4.7058823529411766</v>
      </c>
      <c r="J42" s="36" t="s">
        <v>65</v>
      </c>
      <c r="K42" s="36" t="s">
        <v>65</v>
      </c>
      <c r="L42" s="8">
        <v>4.7142857142857144</v>
      </c>
      <c r="M42" s="10">
        <v>4.3333333333333339</v>
      </c>
      <c r="N42" s="8">
        <v>4.2</v>
      </c>
      <c r="O42" s="10">
        <v>3</v>
      </c>
      <c r="P42" s="36" t="s">
        <v>65</v>
      </c>
      <c r="Q42" s="36" t="s">
        <v>65</v>
      </c>
      <c r="R42" s="36" t="s">
        <v>65</v>
      </c>
    </row>
    <row r="43" spans="1:18" ht="24" customHeight="1" thickBot="1">
      <c r="A43" s="52" t="s">
        <v>87</v>
      </c>
      <c r="B43" s="36" t="s">
        <v>65</v>
      </c>
      <c r="C43" s="36" t="s">
        <v>65</v>
      </c>
      <c r="D43" s="27">
        <v>5</v>
      </c>
      <c r="E43" s="27">
        <v>4.4642857142857135</v>
      </c>
      <c r="F43" s="8">
        <v>4.25</v>
      </c>
      <c r="G43" s="10">
        <v>4.5294117647058822</v>
      </c>
      <c r="H43" s="27">
        <v>4.4444444444444446</v>
      </c>
      <c r="I43" s="8">
        <v>4.7647058823529411</v>
      </c>
      <c r="J43" s="36" t="s">
        <v>65</v>
      </c>
      <c r="K43" s="36" t="s">
        <v>65</v>
      </c>
      <c r="L43" s="8">
        <v>4.7142857142857144</v>
      </c>
      <c r="M43" s="10">
        <v>4.6666666666666661</v>
      </c>
      <c r="N43" s="8">
        <v>4</v>
      </c>
      <c r="O43" s="10">
        <v>3</v>
      </c>
      <c r="P43" s="36" t="s">
        <v>65</v>
      </c>
      <c r="Q43" s="36" t="s">
        <v>65</v>
      </c>
      <c r="R43" s="36" t="s">
        <v>65</v>
      </c>
    </row>
    <row r="44" spans="1:18" ht="24" customHeight="1">
      <c r="A44" s="5" t="s">
        <v>9</v>
      </c>
      <c r="B44" s="36" t="s">
        <v>65</v>
      </c>
      <c r="C44" s="36" t="s">
        <v>65</v>
      </c>
      <c r="D44" s="27">
        <v>5</v>
      </c>
      <c r="E44" s="27">
        <v>4.4017857142857144</v>
      </c>
      <c r="F44" s="8">
        <v>4.125</v>
      </c>
      <c r="G44" s="10">
        <v>4.4473039215686265</v>
      </c>
      <c r="H44" s="27">
        <v>4.5138888888888893</v>
      </c>
      <c r="I44" s="8">
        <v>4.6470588235294121</v>
      </c>
      <c r="J44" s="36" t="s">
        <v>65</v>
      </c>
      <c r="K44" s="36" t="s">
        <v>65</v>
      </c>
      <c r="L44" s="8">
        <v>4.5982142857142856</v>
      </c>
      <c r="M44" s="10">
        <v>4.458333333333333</v>
      </c>
      <c r="N44" s="8">
        <v>3.9312499999999999</v>
      </c>
      <c r="O44" s="10">
        <v>3.328125</v>
      </c>
      <c r="P44" s="36" t="s">
        <v>65</v>
      </c>
      <c r="Q44" s="36" t="s">
        <v>65</v>
      </c>
      <c r="R44" s="36" t="s">
        <v>65</v>
      </c>
    </row>
    <row r="45" spans="1:18">
      <c r="A45" s="5" t="s">
        <v>10</v>
      </c>
      <c r="B45" s="36" t="s">
        <v>65</v>
      </c>
      <c r="C45" s="36" t="s">
        <v>65</v>
      </c>
      <c r="D45" s="63">
        <f t="shared" ref="D45:I45" si="3">D44*20</f>
        <v>100</v>
      </c>
      <c r="E45" s="63">
        <f t="shared" si="3"/>
        <v>88.035714285714292</v>
      </c>
      <c r="F45" s="63">
        <f t="shared" si="3"/>
        <v>82.5</v>
      </c>
      <c r="G45" s="63">
        <f t="shared" si="3"/>
        <v>88.946078431372527</v>
      </c>
      <c r="H45" s="63">
        <f t="shared" si="3"/>
        <v>90.277777777777786</v>
      </c>
      <c r="I45" s="63">
        <f t="shared" si="3"/>
        <v>92.941176470588246</v>
      </c>
      <c r="J45" s="36" t="s">
        <v>65</v>
      </c>
      <c r="K45" s="36" t="s">
        <v>65</v>
      </c>
      <c r="L45" s="63">
        <f t="shared" ref="L45" si="4">L44*20</f>
        <v>91.964285714285708</v>
      </c>
      <c r="M45" s="63">
        <f>M44*20</f>
        <v>89.166666666666657</v>
      </c>
      <c r="N45" s="63">
        <f>N44*20</f>
        <v>78.625</v>
      </c>
      <c r="O45" s="63">
        <f>O44*20</f>
        <v>66.5625</v>
      </c>
      <c r="P45" s="36" t="s">
        <v>65</v>
      </c>
      <c r="Q45" s="36" t="s">
        <v>65</v>
      </c>
      <c r="R45" s="36" t="s">
        <v>65</v>
      </c>
    </row>
    <row r="46" spans="1:18">
      <c r="A46" s="53" t="s">
        <v>44</v>
      </c>
      <c r="B46" s="64" t="s">
        <v>66</v>
      </c>
      <c r="C46" s="64" t="s">
        <v>66</v>
      </c>
      <c r="D46" s="22">
        <v>100</v>
      </c>
      <c r="E46" s="9">
        <v>85.714285714285708</v>
      </c>
      <c r="F46" s="22">
        <v>100</v>
      </c>
      <c r="G46" s="22">
        <v>100</v>
      </c>
      <c r="H46" s="22">
        <v>100</v>
      </c>
      <c r="I46" s="22">
        <v>100</v>
      </c>
      <c r="J46" s="64" t="s">
        <v>66</v>
      </c>
      <c r="K46" s="64" t="s">
        <v>66</v>
      </c>
      <c r="L46" s="22">
        <v>100</v>
      </c>
      <c r="M46" s="9">
        <v>100</v>
      </c>
      <c r="N46" s="22">
        <v>90</v>
      </c>
      <c r="O46" s="9">
        <v>75</v>
      </c>
      <c r="P46" s="64" t="s">
        <v>66</v>
      </c>
      <c r="Q46" s="64" t="s">
        <v>66</v>
      </c>
      <c r="R46" s="64" t="s">
        <v>66</v>
      </c>
    </row>
    <row r="48" spans="1:18" ht="24" customHeight="1"/>
    <row r="49" spans="1:17" ht="24" customHeight="1">
      <c r="A49" s="3" t="s">
        <v>0</v>
      </c>
      <c r="B49" s="55" t="s">
        <v>46</v>
      </c>
      <c r="C49" s="55" t="s">
        <v>12</v>
      </c>
      <c r="D49" s="55" t="s">
        <v>48</v>
      </c>
      <c r="E49" s="55" t="s">
        <v>88</v>
      </c>
      <c r="F49" s="55" t="s">
        <v>14</v>
      </c>
      <c r="G49" s="55" t="s">
        <v>91</v>
      </c>
      <c r="H49" s="56" t="s">
        <v>52</v>
      </c>
      <c r="I49" s="55" t="s">
        <v>15</v>
      </c>
      <c r="J49" s="55" t="s">
        <v>16</v>
      </c>
      <c r="K49" s="55" t="s">
        <v>17</v>
      </c>
      <c r="L49" s="55" t="s">
        <v>18</v>
      </c>
      <c r="M49" s="55" t="s">
        <v>19</v>
      </c>
      <c r="N49" s="55" t="s">
        <v>47</v>
      </c>
      <c r="O49" s="55" t="s">
        <v>20</v>
      </c>
      <c r="P49" s="55" t="s">
        <v>21</v>
      </c>
    </row>
    <row r="50" spans="1:17" ht="24" customHeight="1" thickBot="1">
      <c r="A50" s="5" t="s">
        <v>8</v>
      </c>
      <c r="B50" s="37">
        <v>24</v>
      </c>
      <c r="C50" s="40">
        <v>46</v>
      </c>
      <c r="D50" s="37">
        <v>27</v>
      </c>
      <c r="E50" s="37">
        <v>10</v>
      </c>
      <c r="F50" s="37">
        <v>19</v>
      </c>
      <c r="G50" s="37">
        <v>14</v>
      </c>
      <c r="H50" s="38" t="s">
        <v>65</v>
      </c>
      <c r="I50" s="37">
        <v>54</v>
      </c>
      <c r="J50" s="37">
        <v>47</v>
      </c>
      <c r="K50" s="38">
        <v>155</v>
      </c>
      <c r="L50" s="41">
        <v>38</v>
      </c>
      <c r="M50" s="42">
        <v>41</v>
      </c>
      <c r="N50" s="37">
        <v>42</v>
      </c>
      <c r="O50" s="38" t="s">
        <v>65</v>
      </c>
      <c r="P50" s="37">
        <v>33</v>
      </c>
      <c r="Q50" s="2"/>
    </row>
    <row r="51" spans="1:17" ht="24" customHeight="1" thickBot="1">
      <c r="A51" s="51" t="s">
        <v>72</v>
      </c>
      <c r="B51" s="43">
        <v>4.833333333333333</v>
      </c>
      <c r="C51" s="44">
        <v>4.2173913043478271</v>
      </c>
      <c r="D51" s="43">
        <v>4.8148148148148158</v>
      </c>
      <c r="E51" s="43">
        <v>4.7999999999999989</v>
      </c>
      <c r="F51" s="43">
        <v>4.5789473684210513</v>
      </c>
      <c r="G51" s="43">
        <v>4.9285714285714288</v>
      </c>
      <c r="H51" s="38" t="s">
        <v>65</v>
      </c>
      <c r="I51" s="43">
        <v>4.4629629629629619</v>
      </c>
      <c r="J51" s="43">
        <v>4.5319148936170199</v>
      </c>
      <c r="K51" s="79">
        <v>4.4903225806451603</v>
      </c>
      <c r="L51" s="43">
        <v>4.6578947368421044</v>
      </c>
      <c r="M51" s="43">
        <v>4.3170731707317067</v>
      </c>
      <c r="N51" s="43">
        <v>4.238095238095239</v>
      </c>
      <c r="O51" s="38" t="s">
        <v>65</v>
      </c>
      <c r="P51" s="45">
        <v>4.3636363636363615</v>
      </c>
      <c r="Q51" s="2"/>
    </row>
    <row r="52" spans="1:17" ht="24" customHeight="1" thickBot="1">
      <c r="A52" s="52" t="s">
        <v>73</v>
      </c>
      <c r="B52" s="43">
        <v>4.7500000000000009</v>
      </c>
      <c r="C52" s="44">
        <v>4.2391304347826084</v>
      </c>
      <c r="D52" s="43">
        <v>4.7777777777777786</v>
      </c>
      <c r="E52" s="43">
        <v>4.7999999999999989</v>
      </c>
      <c r="F52" s="43">
        <v>4.5263157894736832</v>
      </c>
      <c r="G52" s="43">
        <v>4.7857142857142856</v>
      </c>
      <c r="H52" s="38" t="s">
        <v>65</v>
      </c>
      <c r="I52" s="43">
        <v>4.6296296296296289</v>
      </c>
      <c r="J52" s="43">
        <v>4.4468085106382969</v>
      </c>
      <c r="K52" s="79">
        <v>4.5096774193548388</v>
      </c>
      <c r="L52" s="43">
        <v>4.7368421052631575</v>
      </c>
      <c r="M52" s="43">
        <v>4.3658536585365857</v>
      </c>
      <c r="N52" s="43">
        <v>4.2857142857142865</v>
      </c>
      <c r="O52" s="38" t="s">
        <v>65</v>
      </c>
      <c r="P52" s="45">
        <v>4.3636363636363624</v>
      </c>
      <c r="Q52" s="2"/>
    </row>
    <row r="53" spans="1:17" ht="24" customHeight="1" thickBot="1">
      <c r="A53" s="52" t="s">
        <v>74</v>
      </c>
      <c r="B53" s="43">
        <v>4.8333333333333321</v>
      </c>
      <c r="C53" s="44">
        <v>4.2173913043478271</v>
      </c>
      <c r="D53" s="43">
        <v>4.8148148148148158</v>
      </c>
      <c r="E53" s="43">
        <v>4.7999999999999989</v>
      </c>
      <c r="F53" s="43">
        <v>4.5263157894736841</v>
      </c>
      <c r="G53" s="43">
        <v>4.7857142857142856</v>
      </c>
      <c r="H53" s="38" t="s">
        <v>65</v>
      </c>
      <c r="I53" s="43">
        <v>4.5370370370370381</v>
      </c>
      <c r="J53" s="43">
        <v>4.5106382978723385</v>
      </c>
      <c r="K53" s="79">
        <v>4.4967741935483874</v>
      </c>
      <c r="L53" s="43">
        <v>4.6315789473684212</v>
      </c>
      <c r="M53" s="43">
        <v>4.4146341463414629</v>
      </c>
      <c r="N53" s="43">
        <v>4.333333333333333</v>
      </c>
      <c r="O53" s="38" t="s">
        <v>65</v>
      </c>
      <c r="P53" s="45">
        <v>4.2727272727272725</v>
      </c>
      <c r="Q53" s="2"/>
    </row>
    <row r="54" spans="1:17" ht="24" customHeight="1" thickBot="1">
      <c r="A54" s="52" t="s">
        <v>75</v>
      </c>
      <c r="B54" s="43">
        <v>4.6666666666666652</v>
      </c>
      <c r="C54" s="44">
        <v>4.1739130434782608</v>
      </c>
      <c r="D54" s="43">
        <v>4.8148148148148158</v>
      </c>
      <c r="E54" s="43">
        <v>4.9000000000000004</v>
      </c>
      <c r="F54" s="43">
        <v>4.6315789473684204</v>
      </c>
      <c r="G54" s="43">
        <v>4.7142857142857135</v>
      </c>
      <c r="H54" s="38" t="s">
        <v>65</v>
      </c>
      <c r="I54" s="43">
        <v>4.5370370370370381</v>
      </c>
      <c r="J54" s="43">
        <v>4.5744680851063828</v>
      </c>
      <c r="K54" s="79">
        <v>4.5032258064516109</v>
      </c>
      <c r="L54" s="43">
        <v>4.7631578947368425</v>
      </c>
      <c r="M54" s="43">
        <v>4.3902439024390247</v>
      </c>
      <c r="N54" s="43">
        <v>4.3571428571428585</v>
      </c>
      <c r="O54" s="38" t="s">
        <v>65</v>
      </c>
      <c r="P54" s="45">
        <v>4.3636363636363624</v>
      </c>
      <c r="Q54" s="2"/>
    </row>
    <row r="55" spans="1:17" ht="24" customHeight="1" thickBot="1">
      <c r="A55" s="52" t="s">
        <v>76</v>
      </c>
      <c r="B55" s="43">
        <v>4.8749999999999982</v>
      </c>
      <c r="C55" s="44">
        <v>4.1739130434782608</v>
      </c>
      <c r="D55" s="43">
        <v>4.7037037037037033</v>
      </c>
      <c r="E55" s="43">
        <v>4.9000000000000004</v>
      </c>
      <c r="F55" s="43">
        <v>4.8421052631578947</v>
      </c>
      <c r="G55" s="43">
        <v>4.7857142857142856</v>
      </c>
      <c r="H55" s="38" t="s">
        <v>65</v>
      </c>
      <c r="I55" s="43">
        <v>4.3518518518518521</v>
      </c>
      <c r="J55" s="43">
        <v>4.4893617021276579</v>
      </c>
      <c r="K55" s="79">
        <v>4.5225806451612884</v>
      </c>
      <c r="L55" s="43">
        <v>4.6578947368421044</v>
      </c>
      <c r="M55" s="43">
        <v>4.3414634146341484</v>
      </c>
      <c r="N55" s="43">
        <v>4.333333333333333</v>
      </c>
      <c r="O55" s="38" t="s">
        <v>65</v>
      </c>
      <c r="P55" s="45">
        <v>4.1818181818181817</v>
      </c>
      <c r="Q55" s="2"/>
    </row>
    <row r="56" spans="1:17" ht="24" customHeight="1" thickBot="1">
      <c r="A56" s="52" t="s">
        <v>77</v>
      </c>
      <c r="B56" s="43">
        <v>4.8333333333333321</v>
      </c>
      <c r="C56" s="44">
        <v>4.1956521739130448</v>
      </c>
      <c r="D56" s="43">
        <v>4.6666666666666652</v>
      </c>
      <c r="E56" s="43">
        <v>4.9000000000000004</v>
      </c>
      <c r="F56" s="43">
        <v>4.6842105263157903</v>
      </c>
      <c r="G56" s="43">
        <v>4.7857142857142856</v>
      </c>
      <c r="H56" s="38" t="s">
        <v>65</v>
      </c>
      <c r="I56" s="43">
        <v>4.4259259259259247</v>
      </c>
      <c r="J56" s="43">
        <v>4.4255319148936172</v>
      </c>
      <c r="K56" s="79">
        <v>4.5612903225806463</v>
      </c>
      <c r="L56" s="43">
        <v>4.6842105263157894</v>
      </c>
      <c r="M56" s="43">
        <v>4.3414634146341484</v>
      </c>
      <c r="N56" s="43">
        <v>4.3095238095238102</v>
      </c>
      <c r="O56" s="38" t="s">
        <v>65</v>
      </c>
      <c r="P56" s="45">
        <v>4.3030303030303036</v>
      </c>
      <c r="Q56" s="2"/>
    </row>
    <row r="57" spans="1:17" ht="24" customHeight="1" thickBot="1">
      <c r="A57" s="52" t="s">
        <v>78</v>
      </c>
      <c r="B57" s="43">
        <v>4.8749999999999991</v>
      </c>
      <c r="C57" s="44">
        <v>4.1956521739130448</v>
      </c>
      <c r="D57" s="43">
        <v>4.7037037037037033</v>
      </c>
      <c r="E57" s="43">
        <v>4.7999999999999989</v>
      </c>
      <c r="F57" s="43">
        <v>4.8421052631578947</v>
      </c>
      <c r="G57" s="43">
        <v>4.9285714285714288</v>
      </c>
      <c r="H57" s="38" t="s">
        <v>65</v>
      </c>
      <c r="I57" s="43">
        <v>4.3518518518518521</v>
      </c>
      <c r="J57" s="43">
        <v>4.5106382978723394</v>
      </c>
      <c r="K57" s="79">
        <v>4.6387096774193548</v>
      </c>
      <c r="L57" s="43">
        <v>4.7105263157894708</v>
      </c>
      <c r="M57" s="43">
        <v>4.3414634146341484</v>
      </c>
      <c r="N57" s="43">
        <v>4.4047619047619042</v>
      </c>
      <c r="O57" s="38" t="s">
        <v>65</v>
      </c>
      <c r="P57" s="45">
        <v>4.3636363636363624</v>
      </c>
      <c r="Q57" s="2"/>
    </row>
    <row r="58" spans="1:17" ht="24" customHeight="1" thickBot="1">
      <c r="A58" s="52" t="s">
        <v>79</v>
      </c>
      <c r="B58" s="43">
        <v>4.625</v>
      </c>
      <c r="C58" s="44">
        <v>4.1739130434782608</v>
      </c>
      <c r="D58" s="43">
        <v>4.8148148148148158</v>
      </c>
      <c r="E58" s="43">
        <v>4.9000000000000004</v>
      </c>
      <c r="F58" s="43">
        <v>4.6315789473684204</v>
      </c>
      <c r="G58" s="43">
        <v>4.7142857142857135</v>
      </c>
      <c r="H58" s="38" t="s">
        <v>65</v>
      </c>
      <c r="I58" s="43">
        <v>4.481481481481481</v>
      </c>
      <c r="J58" s="43">
        <v>4.5744680851063837</v>
      </c>
      <c r="K58" s="79">
        <v>4.5032258064516109</v>
      </c>
      <c r="L58" s="43">
        <v>4.7368421052631575</v>
      </c>
      <c r="M58" s="43">
        <v>4.1219512195121943</v>
      </c>
      <c r="N58" s="43">
        <v>4.2380952380952372</v>
      </c>
      <c r="O58" s="38" t="s">
        <v>65</v>
      </c>
      <c r="P58" s="45">
        <v>4.3030303030303019</v>
      </c>
      <c r="Q58" s="2"/>
    </row>
    <row r="59" spans="1:17" ht="24" customHeight="1" thickBot="1">
      <c r="A59" s="52" t="s">
        <v>80</v>
      </c>
      <c r="B59" s="43">
        <v>4.6666666666666652</v>
      </c>
      <c r="C59" s="44">
        <v>4.1739130434782608</v>
      </c>
      <c r="D59" s="43">
        <v>4.7037037037037033</v>
      </c>
      <c r="E59" s="43">
        <v>4.9000000000000004</v>
      </c>
      <c r="F59" s="43">
        <v>4.7368421052631584</v>
      </c>
      <c r="G59" s="43">
        <v>4.7857142857142856</v>
      </c>
      <c r="H59" s="38" t="s">
        <v>65</v>
      </c>
      <c r="I59" s="43">
        <v>4.5000000000000009</v>
      </c>
      <c r="J59" s="43">
        <v>4.6170212765957439</v>
      </c>
      <c r="K59" s="79">
        <v>4.6064516129032276</v>
      </c>
      <c r="L59" s="43">
        <v>4.7894736842105257</v>
      </c>
      <c r="M59" s="43">
        <v>4.3658536585365857</v>
      </c>
      <c r="N59" s="43">
        <v>4.4047619047619051</v>
      </c>
      <c r="O59" s="38" t="s">
        <v>65</v>
      </c>
      <c r="P59" s="45">
        <v>4.3939393939393945</v>
      </c>
      <c r="Q59" s="2"/>
    </row>
    <row r="60" spans="1:17" ht="24" customHeight="1" thickBot="1">
      <c r="A60" s="52" t="s">
        <v>81</v>
      </c>
      <c r="B60" s="43">
        <v>4.7500000000000009</v>
      </c>
      <c r="C60" s="44">
        <v>4.1739130434782608</v>
      </c>
      <c r="D60" s="43">
        <v>4.7407407407407414</v>
      </c>
      <c r="E60" s="43">
        <v>4.9000000000000004</v>
      </c>
      <c r="F60" s="43">
        <v>4.6842105263157903</v>
      </c>
      <c r="G60" s="43">
        <v>4.7857142857142856</v>
      </c>
      <c r="H60" s="38" t="s">
        <v>65</v>
      </c>
      <c r="I60" s="43">
        <v>4.5185185185185173</v>
      </c>
      <c r="J60" s="43">
        <v>4.4893617021276588</v>
      </c>
      <c r="K60" s="79">
        <v>4.5419354838709678</v>
      </c>
      <c r="L60" s="43">
        <v>4.7368421052631584</v>
      </c>
      <c r="M60" s="43">
        <v>4.2439024390243887</v>
      </c>
      <c r="N60" s="43">
        <v>4.3333333333333339</v>
      </c>
      <c r="O60" s="38" t="s">
        <v>65</v>
      </c>
      <c r="P60" s="45">
        <v>4.3636363636363624</v>
      </c>
      <c r="Q60" s="2"/>
    </row>
    <row r="61" spans="1:17" ht="24" customHeight="1" thickBot="1">
      <c r="A61" s="52" t="s">
        <v>82</v>
      </c>
      <c r="B61" s="43">
        <v>4.791666666666667</v>
      </c>
      <c r="C61" s="44">
        <v>4.1739130434782608</v>
      </c>
      <c r="D61" s="43">
        <v>4.7037037037037033</v>
      </c>
      <c r="E61" s="43">
        <v>4.9000000000000004</v>
      </c>
      <c r="F61" s="43">
        <v>4.6842105263157903</v>
      </c>
      <c r="G61" s="43">
        <v>4.7857142857142856</v>
      </c>
      <c r="H61" s="38" t="s">
        <v>65</v>
      </c>
      <c r="I61" s="43">
        <v>4.4259259259259256</v>
      </c>
      <c r="J61" s="43">
        <v>4.5531914893617023</v>
      </c>
      <c r="K61" s="79">
        <v>4.5806451612903221</v>
      </c>
      <c r="L61" s="43">
        <v>4.7368421052631575</v>
      </c>
      <c r="M61" s="43">
        <v>4.3414634146341484</v>
      </c>
      <c r="N61" s="43">
        <v>4.333333333333333</v>
      </c>
      <c r="O61" s="38" t="s">
        <v>65</v>
      </c>
      <c r="P61" s="45">
        <v>4.3636363636363624</v>
      </c>
      <c r="Q61" s="2"/>
    </row>
    <row r="62" spans="1:17" ht="24" customHeight="1" thickBot="1">
      <c r="A62" s="52" t="s">
        <v>83</v>
      </c>
      <c r="B62" s="43">
        <v>4.791666666666667</v>
      </c>
      <c r="C62" s="44">
        <v>4.1521739130434776</v>
      </c>
      <c r="D62" s="43">
        <v>4.7037037037037033</v>
      </c>
      <c r="E62" s="43">
        <v>4.9000000000000004</v>
      </c>
      <c r="F62" s="43">
        <v>4.6842105263157903</v>
      </c>
      <c r="G62" s="43">
        <v>4.7142857142857135</v>
      </c>
      <c r="H62" s="38" t="s">
        <v>65</v>
      </c>
      <c r="I62" s="43">
        <v>4.537037037037039</v>
      </c>
      <c r="J62" s="43">
        <v>4.5531914893617023</v>
      </c>
      <c r="K62" s="79">
        <v>4.5419354838709678</v>
      </c>
      <c r="L62" s="43">
        <v>4.6842105263157894</v>
      </c>
      <c r="M62" s="43">
        <v>4.3170731707317067</v>
      </c>
      <c r="N62" s="43">
        <v>4.3809523809523796</v>
      </c>
      <c r="O62" s="38" t="s">
        <v>65</v>
      </c>
      <c r="P62" s="45">
        <v>4.2727272727272743</v>
      </c>
      <c r="Q62" s="2"/>
    </row>
    <row r="63" spans="1:17" ht="24" customHeight="1" thickBot="1">
      <c r="A63" s="52" t="s">
        <v>84</v>
      </c>
      <c r="B63" s="43">
        <v>4.583333333333333</v>
      </c>
      <c r="C63" s="44">
        <v>4.1521739130434776</v>
      </c>
      <c r="D63" s="43">
        <v>4.7037037037037033</v>
      </c>
      <c r="E63" s="43">
        <v>4.9000000000000004</v>
      </c>
      <c r="F63" s="43">
        <v>4.6315789473684204</v>
      </c>
      <c r="G63" s="43">
        <v>4.8571428571428568</v>
      </c>
      <c r="H63" s="38" t="s">
        <v>65</v>
      </c>
      <c r="I63" s="43">
        <v>4.5</v>
      </c>
      <c r="J63" s="43">
        <v>4.4680851063829783</v>
      </c>
      <c r="K63" s="79">
        <v>4.5419354838709669</v>
      </c>
      <c r="L63" s="43">
        <v>4.6842105263157894</v>
      </c>
      <c r="M63" s="43">
        <v>4.3658536585365866</v>
      </c>
      <c r="N63" s="43">
        <v>4.2857142857142865</v>
      </c>
      <c r="O63" s="38" t="s">
        <v>65</v>
      </c>
      <c r="P63" s="45">
        <v>4.3333333333333321</v>
      </c>
      <c r="Q63" s="2"/>
    </row>
    <row r="64" spans="1:17" ht="24" customHeight="1" thickBot="1">
      <c r="A64" s="52" t="s">
        <v>85</v>
      </c>
      <c r="B64" s="43">
        <v>4.5416666666666643</v>
      </c>
      <c r="C64" s="44">
        <v>4.1521739130434776</v>
      </c>
      <c r="D64" s="43">
        <v>4.7407407407407414</v>
      </c>
      <c r="E64" s="43">
        <v>4.9000000000000004</v>
      </c>
      <c r="F64" s="43">
        <v>4.4210526315789469</v>
      </c>
      <c r="G64" s="43">
        <v>4.7857142857142856</v>
      </c>
      <c r="H64" s="38" t="s">
        <v>65</v>
      </c>
      <c r="I64" s="43">
        <v>4.5</v>
      </c>
      <c r="J64" s="43">
        <v>4.6170212765957439</v>
      </c>
      <c r="K64" s="79">
        <v>4.5032258064516109</v>
      </c>
      <c r="L64" s="43">
        <v>4.7631578947368425</v>
      </c>
      <c r="M64" s="43">
        <v>4.4390243902439011</v>
      </c>
      <c r="N64" s="43">
        <v>4.2619047619047601</v>
      </c>
      <c r="O64" s="38" t="s">
        <v>65</v>
      </c>
      <c r="P64" s="45">
        <v>4.3939393939393945</v>
      </c>
      <c r="Q64" s="2"/>
    </row>
    <row r="65" spans="1:18" ht="24" customHeight="1" thickBot="1">
      <c r="A65" s="52" t="s">
        <v>86</v>
      </c>
      <c r="B65" s="43">
        <v>4.5416666666666643</v>
      </c>
      <c r="C65" s="44">
        <v>4.1956521739130448</v>
      </c>
      <c r="D65" s="43">
        <v>4.8148148148148158</v>
      </c>
      <c r="E65" s="43">
        <v>4.9000000000000004</v>
      </c>
      <c r="F65" s="43">
        <v>4.4736842105263159</v>
      </c>
      <c r="G65" s="43">
        <v>4.8571428571428568</v>
      </c>
      <c r="H65" s="38" t="s">
        <v>65</v>
      </c>
      <c r="I65" s="43">
        <v>4.6296296296296298</v>
      </c>
      <c r="J65" s="43">
        <v>4.5319148936170208</v>
      </c>
      <c r="K65" s="79">
        <v>4.5290322580645181</v>
      </c>
      <c r="L65" s="43">
        <v>4.7894736842105257</v>
      </c>
      <c r="M65" s="43">
        <v>4.4146341463414629</v>
      </c>
      <c r="N65" s="43">
        <v>4.4285714285714288</v>
      </c>
      <c r="O65" s="38" t="s">
        <v>65</v>
      </c>
      <c r="P65" s="45">
        <v>4.3636363636363624</v>
      </c>
      <c r="Q65" s="2"/>
    </row>
    <row r="66" spans="1:18" ht="24" customHeight="1" thickBot="1">
      <c r="A66" s="52" t="s">
        <v>87</v>
      </c>
      <c r="B66" s="43">
        <v>4.5416666666666643</v>
      </c>
      <c r="C66" s="44">
        <v>4.1956521739130448</v>
      </c>
      <c r="D66" s="43">
        <v>4.7777777777777786</v>
      </c>
      <c r="E66" s="43">
        <v>4.9000000000000004</v>
      </c>
      <c r="F66" s="43">
        <v>4.7894736842105257</v>
      </c>
      <c r="G66" s="43">
        <v>4.8571428571428568</v>
      </c>
      <c r="H66" s="38" t="s">
        <v>65</v>
      </c>
      <c r="I66" s="43">
        <v>4.4074074074074083</v>
      </c>
      <c r="J66" s="43">
        <v>4.6170212765957439</v>
      </c>
      <c r="K66" s="79">
        <v>4.5870967741935447</v>
      </c>
      <c r="L66" s="43">
        <v>4.8157894736842097</v>
      </c>
      <c r="M66" s="43">
        <v>4.3658536585365857</v>
      </c>
      <c r="N66" s="43">
        <v>4.3333333333333339</v>
      </c>
      <c r="O66" s="38" t="s">
        <v>65</v>
      </c>
      <c r="P66" s="45">
        <v>4.4242424242424239</v>
      </c>
      <c r="Q66" s="2"/>
    </row>
    <row r="67" spans="1:18" ht="24" customHeight="1">
      <c r="A67" s="5" t="s">
        <v>9</v>
      </c>
      <c r="B67" s="43">
        <v>4.71875</v>
      </c>
      <c r="C67" s="46">
        <v>4.1847826086956514</v>
      </c>
      <c r="D67" s="43">
        <v>4.7500000000000009</v>
      </c>
      <c r="E67" s="43">
        <v>4.875</v>
      </c>
      <c r="F67" s="43">
        <v>4.6480263157894735</v>
      </c>
      <c r="G67" s="43">
        <v>4.8035714285714288</v>
      </c>
      <c r="H67" s="38" t="s">
        <v>65</v>
      </c>
      <c r="I67" s="43">
        <v>4.4872685185185199</v>
      </c>
      <c r="J67" s="43">
        <v>4.5319148936170199</v>
      </c>
      <c r="K67" s="79">
        <v>4.541129032258068</v>
      </c>
      <c r="L67" s="43">
        <v>4.7236842105263159</v>
      </c>
      <c r="M67" s="43">
        <v>4.3429878048780504</v>
      </c>
      <c r="N67" s="43">
        <v>4.3288690476190483</v>
      </c>
      <c r="O67" s="38" t="s">
        <v>65</v>
      </c>
      <c r="P67" s="45">
        <v>4.3390151515151514</v>
      </c>
      <c r="Q67" s="2"/>
    </row>
    <row r="68" spans="1:18">
      <c r="A68" s="5" t="s">
        <v>10</v>
      </c>
      <c r="B68" s="39">
        <f t="shared" ref="B68:D68" si="5">B67*20</f>
        <v>94.375</v>
      </c>
      <c r="C68" s="39">
        <f t="shared" si="5"/>
        <v>83.695652173913032</v>
      </c>
      <c r="D68" s="39">
        <f t="shared" si="5"/>
        <v>95.000000000000014</v>
      </c>
      <c r="E68" s="39">
        <f>E67*20</f>
        <v>97.5</v>
      </c>
      <c r="F68" s="39">
        <f t="shared" ref="F68:N68" si="6">F67*20</f>
        <v>92.960526315789465</v>
      </c>
      <c r="G68" s="39">
        <f t="shared" si="6"/>
        <v>96.071428571428584</v>
      </c>
      <c r="H68" s="38" t="s">
        <v>65</v>
      </c>
      <c r="I68" s="39">
        <f t="shared" si="6"/>
        <v>89.745370370370395</v>
      </c>
      <c r="J68" s="39">
        <f t="shared" si="6"/>
        <v>90.638297872340402</v>
      </c>
      <c r="K68" s="39">
        <f t="shared" si="6"/>
        <v>90.822580645161366</v>
      </c>
      <c r="L68" s="39">
        <f t="shared" si="6"/>
        <v>94.473684210526315</v>
      </c>
      <c r="M68" s="39">
        <f t="shared" si="6"/>
        <v>86.859756097561004</v>
      </c>
      <c r="N68" s="39">
        <f t="shared" si="6"/>
        <v>86.577380952380963</v>
      </c>
      <c r="O68" s="38" t="s">
        <v>65</v>
      </c>
      <c r="P68" s="39">
        <f>P67*20</f>
        <v>86.780303030303031</v>
      </c>
      <c r="Q68" s="2"/>
    </row>
    <row r="69" spans="1:18">
      <c r="A69" s="53" t="s">
        <v>44</v>
      </c>
      <c r="B69" s="28">
        <v>100</v>
      </c>
      <c r="C69" s="28">
        <v>97.826086956521735</v>
      </c>
      <c r="D69" s="28">
        <v>100</v>
      </c>
      <c r="E69" s="28">
        <v>100</v>
      </c>
      <c r="F69" s="28">
        <v>100</v>
      </c>
      <c r="G69" s="28">
        <v>100</v>
      </c>
      <c r="H69" s="30" t="s">
        <v>66</v>
      </c>
      <c r="I69" s="28">
        <v>100</v>
      </c>
      <c r="J69" s="47">
        <v>100</v>
      </c>
      <c r="K69" s="30">
        <v>100</v>
      </c>
      <c r="L69" s="28">
        <v>100</v>
      </c>
      <c r="M69" s="28">
        <v>100</v>
      </c>
      <c r="N69" s="28">
        <v>100</v>
      </c>
      <c r="O69" s="30" t="s">
        <v>66</v>
      </c>
      <c r="P69" s="28">
        <v>100</v>
      </c>
      <c r="Q69" s="2"/>
    </row>
    <row r="71" spans="1:18" ht="24" customHeight="1"/>
    <row r="72" spans="1:18" ht="24" customHeight="1">
      <c r="A72" s="4" t="s">
        <v>0</v>
      </c>
      <c r="B72" s="55" t="s">
        <v>89</v>
      </c>
      <c r="C72" s="55" t="s">
        <v>90</v>
      </c>
      <c r="D72" s="55" t="s">
        <v>22</v>
      </c>
      <c r="E72" s="55" t="s">
        <v>23</v>
      </c>
      <c r="F72" s="55" t="s">
        <v>95</v>
      </c>
      <c r="G72" s="55" t="s">
        <v>24</v>
      </c>
      <c r="H72" s="57" t="s">
        <v>25</v>
      </c>
      <c r="I72" s="55" t="s">
        <v>26</v>
      </c>
      <c r="J72" s="55" t="s">
        <v>27</v>
      </c>
      <c r="K72" s="55" t="s">
        <v>28</v>
      </c>
      <c r="L72" s="55" t="s">
        <v>29</v>
      </c>
      <c r="M72" s="55" t="s">
        <v>30</v>
      </c>
      <c r="N72" s="55" t="s">
        <v>31</v>
      </c>
      <c r="O72" s="55" t="s">
        <v>32</v>
      </c>
      <c r="P72" s="55" t="s">
        <v>13</v>
      </c>
    </row>
    <row r="73" spans="1:18" ht="24" customHeight="1" thickBot="1">
      <c r="A73" s="5" t="s">
        <v>8</v>
      </c>
      <c r="B73" s="37">
        <v>9</v>
      </c>
      <c r="C73" s="37">
        <v>37</v>
      </c>
      <c r="D73" s="37">
        <v>44</v>
      </c>
      <c r="E73" s="37">
        <v>41</v>
      </c>
      <c r="F73" s="37">
        <v>11</v>
      </c>
      <c r="G73" s="37">
        <v>49</v>
      </c>
      <c r="H73" s="37">
        <v>44</v>
      </c>
      <c r="I73" s="37">
        <v>71</v>
      </c>
      <c r="J73" s="37">
        <v>136</v>
      </c>
      <c r="K73" s="37">
        <v>69</v>
      </c>
      <c r="L73" s="37">
        <v>84</v>
      </c>
      <c r="M73" s="37">
        <v>40</v>
      </c>
      <c r="N73" s="38" t="s">
        <v>65</v>
      </c>
      <c r="O73" s="38">
        <v>61</v>
      </c>
      <c r="P73" s="37">
        <v>17</v>
      </c>
      <c r="Q73" s="2"/>
      <c r="R73" s="2"/>
    </row>
    <row r="74" spans="1:18" ht="24" customHeight="1" thickBot="1">
      <c r="A74" s="51" t="s">
        <v>72</v>
      </c>
      <c r="B74" s="43">
        <v>4.7777777777777768</v>
      </c>
      <c r="C74" s="43">
        <v>4.6216216216216219</v>
      </c>
      <c r="D74" s="43">
        <v>4.7272727272727284</v>
      </c>
      <c r="E74" s="43">
        <v>4.5121951219512182</v>
      </c>
      <c r="F74" s="43">
        <v>4.5454545454545459</v>
      </c>
      <c r="G74" s="43">
        <v>4.6938775510204085</v>
      </c>
      <c r="H74" s="43">
        <v>4.5681818181818175</v>
      </c>
      <c r="I74" s="43">
        <v>4.4366197183098599</v>
      </c>
      <c r="J74" s="43">
        <v>4.5441176470588234</v>
      </c>
      <c r="K74" s="43">
        <v>4.7101449275362333</v>
      </c>
      <c r="L74" s="43">
        <v>4.8095238095238102</v>
      </c>
      <c r="M74" s="43">
        <v>4.8499999999999996</v>
      </c>
      <c r="N74" s="38" t="s">
        <v>65</v>
      </c>
      <c r="O74" s="43">
        <v>4.6229508196721296</v>
      </c>
      <c r="P74" s="43">
        <v>4.5294117647058822</v>
      </c>
      <c r="Q74" s="2"/>
      <c r="R74" s="2"/>
    </row>
    <row r="75" spans="1:18" ht="24" customHeight="1" thickBot="1">
      <c r="A75" s="52" t="s">
        <v>73</v>
      </c>
      <c r="B75" s="43">
        <v>4.8888888888888893</v>
      </c>
      <c r="C75" s="43">
        <v>4.5945945945945947</v>
      </c>
      <c r="D75" s="43">
        <v>4.7272727272727275</v>
      </c>
      <c r="E75" s="43">
        <v>4.5121951219512182</v>
      </c>
      <c r="F75" s="43">
        <v>4.6363636363636358</v>
      </c>
      <c r="G75" s="43">
        <v>4.6326530612244889</v>
      </c>
      <c r="H75" s="43">
        <v>4.4772727272727266</v>
      </c>
      <c r="I75" s="43">
        <v>4.352112676056338</v>
      </c>
      <c r="J75" s="43">
        <v>4.5588235294117645</v>
      </c>
      <c r="K75" s="43">
        <v>4.7681159420289854</v>
      </c>
      <c r="L75" s="43">
        <v>4.8333333333333339</v>
      </c>
      <c r="M75" s="43">
        <v>4.9000000000000004</v>
      </c>
      <c r="N75" s="38" t="s">
        <v>65</v>
      </c>
      <c r="O75" s="43">
        <v>4.5573770491803298</v>
      </c>
      <c r="P75" s="43">
        <v>4.4705882352941178</v>
      </c>
      <c r="Q75" s="2"/>
      <c r="R75" s="2"/>
    </row>
    <row r="76" spans="1:18" ht="24" customHeight="1" thickBot="1">
      <c r="A76" s="52" t="s">
        <v>74</v>
      </c>
      <c r="B76" s="43">
        <v>4.7777777777777768</v>
      </c>
      <c r="C76" s="43">
        <v>4.5405405405405403</v>
      </c>
      <c r="D76" s="43">
        <v>4.7272727272727275</v>
      </c>
      <c r="E76" s="43">
        <v>4.5609756097560972</v>
      </c>
      <c r="F76" s="43">
        <v>4.2727272727272725</v>
      </c>
      <c r="G76" s="43">
        <v>4.6326530612244889</v>
      </c>
      <c r="H76" s="43">
        <v>4.4772727272727257</v>
      </c>
      <c r="I76" s="43">
        <v>4.2816901408450692</v>
      </c>
      <c r="J76" s="43">
        <v>4.5808823529411731</v>
      </c>
      <c r="K76" s="43">
        <v>4.6231884057970998</v>
      </c>
      <c r="L76" s="43">
        <v>4.8452380952380967</v>
      </c>
      <c r="M76" s="43">
        <v>4.8000000000000007</v>
      </c>
      <c r="N76" s="38" t="s">
        <v>65</v>
      </c>
      <c r="O76" s="43">
        <v>4.5901639344262311</v>
      </c>
      <c r="P76" s="43">
        <v>4.352941176470587</v>
      </c>
      <c r="Q76" s="2"/>
      <c r="R76" s="2"/>
    </row>
    <row r="77" spans="1:18" ht="24" customHeight="1" thickBot="1">
      <c r="A77" s="52" t="s">
        <v>75</v>
      </c>
      <c r="B77" s="43">
        <v>4.8888888888888893</v>
      </c>
      <c r="C77" s="43">
        <v>4.5405405405405403</v>
      </c>
      <c r="D77" s="43">
        <v>4.7272727272727275</v>
      </c>
      <c r="E77" s="43">
        <v>4.6097560975609762</v>
      </c>
      <c r="F77" s="43">
        <v>4.5454545454545441</v>
      </c>
      <c r="G77" s="43">
        <v>4.5918367346938771</v>
      </c>
      <c r="H77" s="43">
        <v>4.5454545454545459</v>
      </c>
      <c r="I77" s="43">
        <v>4.2957746478873249</v>
      </c>
      <c r="J77" s="43">
        <v>4.5441176470588234</v>
      </c>
      <c r="K77" s="43">
        <v>4.72463768115942</v>
      </c>
      <c r="L77" s="43">
        <v>4.8095238095238102</v>
      </c>
      <c r="M77" s="43">
        <v>4.75</v>
      </c>
      <c r="N77" s="38" t="s">
        <v>65</v>
      </c>
      <c r="O77" s="43">
        <v>4.6065573770491799</v>
      </c>
      <c r="P77" s="43">
        <v>4.352941176470587</v>
      </c>
      <c r="Q77" s="2"/>
      <c r="R77" s="2"/>
    </row>
    <row r="78" spans="1:18" ht="24" customHeight="1" thickBot="1">
      <c r="A78" s="52" t="s">
        <v>76</v>
      </c>
      <c r="B78" s="43">
        <v>4.8888888888888893</v>
      </c>
      <c r="C78" s="43">
        <v>4.5405405405405403</v>
      </c>
      <c r="D78" s="43">
        <v>4.6818181818181834</v>
      </c>
      <c r="E78" s="43">
        <v>4.5365853658536581</v>
      </c>
      <c r="F78" s="43">
        <v>4.5454545454545459</v>
      </c>
      <c r="G78" s="43">
        <v>4.6734693877551026</v>
      </c>
      <c r="H78" s="43">
        <v>4.5227272727272716</v>
      </c>
      <c r="I78" s="43">
        <v>4.1971830985915508</v>
      </c>
      <c r="J78" s="43">
        <v>4.5588235294117645</v>
      </c>
      <c r="K78" s="43">
        <v>4.6956521739130439</v>
      </c>
      <c r="L78" s="43">
        <v>4.7619047619047619</v>
      </c>
      <c r="M78" s="43">
        <v>4.8250000000000002</v>
      </c>
      <c r="N78" s="38" t="s">
        <v>65</v>
      </c>
      <c r="O78" s="43">
        <v>4.5737704918032795</v>
      </c>
      <c r="P78" s="43">
        <v>4.4705882352941169</v>
      </c>
      <c r="Q78" s="2"/>
      <c r="R78" s="2"/>
    </row>
    <row r="79" spans="1:18" ht="24" customHeight="1" thickBot="1">
      <c r="A79" s="52" t="s">
        <v>77</v>
      </c>
      <c r="B79" s="43">
        <v>4.8888888888888893</v>
      </c>
      <c r="C79" s="43">
        <v>4.4864864864864851</v>
      </c>
      <c r="D79" s="43">
        <v>4.6363636363636367</v>
      </c>
      <c r="E79" s="43">
        <v>4.48780487804878</v>
      </c>
      <c r="F79" s="43">
        <v>4.6363636363636367</v>
      </c>
      <c r="G79" s="43">
        <v>4.6326530612244889</v>
      </c>
      <c r="H79" s="43">
        <v>4.5227272727272716</v>
      </c>
      <c r="I79" s="43">
        <v>4.2535211267605622</v>
      </c>
      <c r="J79" s="43">
        <v>4.5882352941176476</v>
      </c>
      <c r="K79" s="43">
        <v>4.72463768115942</v>
      </c>
      <c r="L79" s="43">
        <v>4.75</v>
      </c>
      <c r="M79" s="43">
        <v>4.7750000000000004</v>
      </c>
      <c r="N79" s="38" t="s">
        <v>65</v>
      </c>
      <c r="O79" s="43">
        <v>4.5081967213114762</v>
      </c>
      <c r="P79" s="43">
        <v>4.2941176470588234</v>
      </c>
      <c r="Q79" s="2"/>
      <c r="R79" s="2"/>
    </row>
    <row r="80" spans="1:18" ht="24" customHeight="1" thickBot="1">
      <c r="A80" s="52" t="s">
        <v>78</v>
      </c>
      <c r="B80" s="43">
        <v>4.8888888888888893</v>
      </c>
      <c r="C80" s="43">
        <v>4.5405405405405403</v>
      </c>
      <c r="D80" s="43">
        <v>4.75</v>
      </c>
      <c r="E80" s="43">
        <v>4.5365853658536581</v>
      </c>
      <c r="F80" s="43">
        <v>4.8181818181818183</v>
      </c>
      <c r="G80" s="43">
        <v>4.6938775510204094</v>
      </c>
      <c r="H80" s="43">
        <v>4.545454545454545</v>
      </c>
      <c r="I80" s="43">
        <v>4.380281690140845</v>
      </c>
      <c r="J80" s="43">
        <v>4.6470588235294104</v>
      </c>
      <c r="K80" s="43">
        <v>4.7391304347826075</v>
      </c>
      <c r="L80" s="43">
        <v>4.8095238095238102</v>
      </c>
      <c r="M80" s="43">
        <v>4.9000000000000004</v>
      </c>
      <c r="N80" s="38" t="s">
        <v>65</v>
      </c>
      <c r="O80" s="43">
        <v>4.7377049180327893</v>
      </c>
      <c r="P80" s="43">
        <v>4.3529411764705879</v>
      </c>
      <c r="Q80" s="2"/>
      <c r="R80" s="2"/>
    </row>
    <row r="81" spans="1:18" ht="24" customHeight="1" thickBot="1">
      <c r="A81" s="52" t="s">
        <v>79</v>
      </c>
      <c r="B81" s="43">
        <v>4.5555555555555554</v>
      </c>
      <c r="C81" s="43">
        <v>4.5405405405405403</v>
      </c>
      <c r="D81" s="43">
        <v>4.7045454545454541</v>
      </c>
      <c r="E81" s="43">
        <v>4.463414634146341</v>
      </c>
      <c r="F81" s="43">
        <v>4.5454545454545459</v>
      </c>
      <c r="G81" s="43">
        <v>4.6530612244897966</v>
      </c>
      <c r="H81" s="43">
        <v>4.4318181818181825</v>
      </c>
      <c r="I81" s="43">
        <v>4.2253521126760551</v>
      </c>
      <c r="J81" s="43">
        <v>4.5882352941176476</v>
      </c>
      <c r="K81" s="43">
        <v>4.7101449275362333</v>
      </c>
      <c r="L81" s="43">
        <v>4.75</v>
      </c>
      <c r="M81" s="43">
        <v>4.75</v>
      </c>
      <c r="N81" s="38" t="s">
        <v>65</v>
      </c>
      <c r="O81" s="43">
        <v>4.5409836065573765</v>
      </c>
      <c r="P81" s="43">
        <v>4.2941176470588234</v>
      </c>
      <c r="Q81" s="2"/>
      <c r="R81" s="2"/>
    </row>
    <row r="82" spans="1:18" ht="24" customHeight="1" thickBot="1">
      <c r="A82" s="52" t="s">
        <v>80</v>
      </c>
      <c r="B82" s="43">
        <v>4.666666666666667</v>
      </c>
      <c r="C82" s="43">
        <v>4.5405405405405403</v>
      </c>
      <c r="D82" s="43">
        <v>4.75</v>
      </c>
      <c r="E82" s="43">
        <v>4.5853658536585371</v>
      </c>
      <c r="F82" s="43">
        <v>4.7272727272727275</v>
      </c>
      <c r="G82" s="43">
        <v>4.7142857142857162</v>
      </c>
      <c r="H82" s="43">
        <v>4.5681818181818175</v>
      </c>
      <c r="I82" s="43">
        <v>4.3661971830985919</v>
      </c>
      <c r="J82" s="43">
        <v>4.6250000000000018</v>
      </c>
      <c r="K82" s="43">
        <v>4.72463768115942</v>
      </c>
      <c r="L82" s="43">
        <v>4.8095238095238102</v>
      </c>
      <c r="M82" s="43">
        <v>4.9000000000000004</v>
      </c>
      <c r="N82" s="38" t="s">
        <v>65</v>
      </c>
      <c r="O82" s="43">
        <v>4.6557377049180335</v>
      </c>
      <c r="P82" s="43">
        <v>4.4705882352941169</v>
      </c>
      <c r="Q82" s="2"/>
      <c r="R82" s="2"/>
    </row>
    <row r="83" spans="1:18" ht="24" customHeight="1" thickBot="1">
      <c r="A83" s="52" t="s">
        <v>81</v>
      </c>
      <c r="B83" s="43">
        <v>4.666666666666667</v>
      </c>
      <c r="C83" s="43">
        <v>4.4864864864864851</v>
      </c>
      <c r="D83" s="43">
        <v>4.6818181818181834</v>
      </c>
      <c r="E83" s="43">
        <v>4.48780487804878</v>
      </c>
      <c r="F83" s="43">
        <v>4.454545454545455</v>
      </c>
      <c r="G83" s="43">
        <v>4.5714285714285703</v>
      </c>
      <c r="H83" s="43">
        <v>4.6136363636363642</v>
      </c>
      <c r="I83" s="43">
        <v>4.3098591549295771</v>
      </c>
      <c r="J83" s="43">
        <v>4.6029411764705879</v>
      </c>
      <c r="K83" s="43">
        <v>4.6666666666666661</v>
      </c>
      <c r="L83" s="43">
        <v>4.7976190476190474</v>
      </c>
      <c r="M83" s="43">
        <v>4.95</v>
      </c>
      <c r="N83" s="38" t="s">
        <v>65</v>
      </c>
      <c r="O83" s="43">
        <v>4.7049180327868845</v>
      </c>
      <c r="P83" s="43">
        <v>4.4117647058823533</v>
      </c>
      <c r="Q83" s="2"/>
      <c r="R83" s="2"/>
    </row>
    <row r="84" spans="1:18" ht="24" customHeight="1" thickBot="1">
      <c r="A84" s="52" t="s">
        <v>82</v>
      </c>
      <c r="B84" s="43">
        <v>4.8888888888888893</v>
      </c>
      <c r="C84" s="43">
        <v>4.5135135135135132</v>
      </c>
      <c r="D84" s="43">
        <v>4.6818181818181834</v>
      </c>
      <c r="E84" s="43">
        <v>4.5609756097560972</v>
      </c>
      <c r="F84" s="43">
        <v>4.8181818181818183</v>
      </c>
      <c r="G84" s="43">
        <v>4.6326530612244889</v>
      </c>
      <c r="H84" s="43">
        <v>4.6136363636363642</v>
      </c>
      <c r="I84" s="43">
        <v>4.3380281690140841</v>
      </c>
      <c r="J84" s="43">
        <v>4.6102941176470598</v>
      </c>
      <c r="K84" s="43">
        <v>4.72463768115942</v>
      </c>
      <c r="L84" s="43">
        <v>4.7976190476190474</v>
      </c>
      <c r="M84" s="43">
        <v>4.9250000000000007</v>
      </c>
      <c r="N84" s="38" t="s">
        <v>65</v>
      </c>
      <c r="O84" s="43">
        <v>4.6393442622950811</v>
      </c>
      <c r="P84" s="43">
        <v>4.4117647058823533</v>
      </c>
      <c r="Q84" s="2"/>
      <c r="R84" s="2"/>
    </row>
    <row r="85" spans="1:18" ht="24" customHeight="1" thickBot="1">
      <c r="A85" s="52" t="s">
        <v>83</v>
      </c>
      <c r="B85" s="43">
        <v>4.8888888888888893</v>
      </c>
      <c r="C85" s="43">
        <v>4.4594594594594579</v>
      </c>
      <c r="D85" s="43">
        <v>4.75</v>
      </c>
      <c r="E85" s="43">
        <v>4.48780487804878</v>
      </c>
      <c r="F85" s="43">
        <v>4.6363636363636367</v>
      </c>
      <c r="G85" s="43">
        <v>4.5714285714285703</v>
      </c>
      <c r="H85" s="43">
        <v>4.5681818181818175</v>
      </c>
      <c r="I85" s="43">
        <v>4.2816901408450692</v>
      </c>
      <c r="J85" s="43">
        <v>4.5661764705882391</v>
      </c>
      <c r="K85" s="43">
        <v>4.7681159420289854</v>
      </c>
      <c r="L85" s="43">
        <v>4.8452380952380967</v>
      </c>
      <c r="M85" s="43">
        <v>4.8500000000000005</v>
      </c>
      <c r="N85" s="38" t="s">
        <v>65</v>
      </c>
      <c r="O85" s="43">
        <v>4.606557377049179</v>
      </c>
      <c r="P85" s="43">
        <v>4.4705882352941169</v>
      </c>
      <c r="Q85" s="2"/>
      <c r="R85" s="2"/>
    </row>
    <row r="86" spans="1:18" ht="24" customHeight="1" thickBot="1">
      <c r="A86" s="52" t="s">
        <v>84</v>
      </c>
      <c r="B86" s="43">
        <v>4.8888888888888893</v>
      </c>
      <c r="C86" s="43">
        <v>4.4864864864864851</v>
      </c>
      <c r="D86" s="43">
        <v>4.7045454545454541</v>
      </c>
      <c r="E86" s="43">
        <v>4.4634146341463401</v>
      </c>
      <c r="F86" s="43">
        <v>4.7272727272727275</v>
      </c>
      <c r="G86" s="43">
        <v>4.612244897959183</v>
      </c>
      <c r="H86" s="43">
        <v>4.4772727272727266</v>
      </c>
      <c r="I86" s="43">
        <v>4.3239436619718292</v>
      </c>
      <c r="J86" s="43">
        <v>4.5073529411764719</v>
      </c>
      <c r="K86" s="43">
        <v>4.753623188405796</v>
      </c>
      <c r="L86" s="43">
        <v>4.8095238095238102</v>
      </c>
      <c r="M86" s="43">
        <v>4.7750000000000004</v>
      </c>
      <c r="N86" s="38" t="s">
        <v>65</v>
      </c>
      <c r="O86" s="43">
        <v>4.6885245901639356</v>
      </c>
      <c r="P86" s="43">
        <v>4.2941176470588234</v>
      </c>
      <c r="Q86" s="2"/>
      <c r="R86" s="2"/>
    </row>
    <row r="87" spans="1:18" ht="24" customHeight="1" thickBot="1">
      <c r="A87" s="52" t="s">
        <v>85</v>
      </c>
      <c r="B87" s="43">
        <v>4.8888888888888893</v>
      </c>
      <c r="C87" s="43">
        <v>4.4864864864864851</v>
      </c>
      <c r="D87" s="43">
        <v>4.7500000000000009</v>
      </c>
      <c r="E87" s="43">
        <v>4.4878048780487791</v>
      </c>
      <c r="F87" s="43">
        <v>4.7272727272727275</v>
      </c>
      <c r="G87" s="43">
        <v>4.6326530612244889</v>
      </c>
      <c r="H87" s="43">
        <v>4.6136363636363642</v>
      </c>
      <c r="I87" s="43">
        <v>4.3098591549295771</v>
      </c>
      <c r="J87" s="43">
        <v>4.5955882352941178</v>
      </c>
      <c r="K87" s="43">
        <v>4.7391304347826075</v>
      </c>
      <c r="L87" s="43">
        <v>4.7738095238095219</v>
      </c>
      <c r="M87" s="43">
        <v>4.8</v>
      </c>
      <c r="N87" s="38" t="s">
        <v>65</v>
      </c>
      <c r="O87" s="43">
        <v>4.6393442622950802</v>
      </c>
      <c r="P87" s="43">
        <v>4.4705882352941169</v>
      </c>
      <c r="Q87" s="2"/>
      <c r="R87" s="2"/>
    </row>
    <row r="88" spans="1:18" ht="24" customHeight="1" thickBot="1">
      <c r="A88" s="52" t="s">
        <v>86</v>
      </c>
      <c r="B88" s="43">
        <v>4.8888888888888893</v>
      </c>
      <c r="C88" s="43">
        <v>4.4864864864864851</v>
      </c>
      <c r="D88" s="43">
        <v>4.7727272727272734</v>
      </c>
      <c r="E88" s="43">
        <v>4.48780487804878</v>
      </c>
      <c r="F88" s="43">
        <v>4.7272727272727275</v>
      </c>
      <c r="G88" s="43">
        <v>4.6326530612244889</v>
      </c>
      <c r="H88" s="43">
        <v>4.5909090909090899</v>
      </c>
      <c r="I88" s="43">
        <v>4.3239436619718301</v>
      </c>
      <c r="J88" s="43">
        <v>4.5588235294117645</v>
      </c>
      <c r="K88" s="43">
        <v>4.72463768115942</v>
      </c>
      <c r="L88" s="43">
        <v>4.7619047619047619</v>
      </c>
      <c r="M88" s="43">
        <v>4.8</v>
      </c>
      <c r="N88" s="38" t="s">
        <v>65</v>
      </c>
      <c r="O88" s="43">
        <v>4.721311475409836</v>
      </c>
      <c r="P88" s="43">
        <v>4.4117647058823524</v>
      </c>
      <c r="Q88" s="2"/>
      <c r="R88" s="2"/>
    </row>
    <row r="89" spans="1:18" ht="24" customHeight="1" thickBot="1">
      <c r="A89" s="52" t="s">
        <v>87</v>
      </c>
      <c r="B89" s="43">
        <v>4.7777777777777768</v>
      </c>
      <c r="C89" s="43">
        <v>4.5945945945945947</v>
      </c>
      <c r="D89" s="43">
        <v>4.8409090909090908</v>
      </c>
      <c r="E89" s="43">
        <v>4.5121951219512182</v>
      </c>
      <c r="F89" s="43">
        <v>4.8181818181818183</v>
      </c>
      <c r="G89" s="43">
        <v>4.7551020408163263</v>
      </c>
      <c r="H89" s="43">
        <v>4.5681818181818175</v>
      </c>
      <c r="I89" s="43">
        <v>4.4647887323943616</v>
      </c>
      <c r="J89" s="43">
        <v>4.654411764705884</v>
      </c>
      <c r="K89" s="43">
        <v>4.7681159420289845</v>
      </c>
      <c r="L89" s="43">
        <v>4.8095238095238102</v>
      </c>
      <c r="M89" s="43">
        <v>4.875</v>
      </c>
      <c r="N89" s="38" t="s">
        <v>65</v>
      </c>
      <c r="O89" s="43">
        <v>4.7049180327868845</v>
      </c>
      <c r="P89" s="43">
        <v>4.4117647058823533</v>
      </c>
      <c r="Q89" s="2"/>
      <c r="R89" s="2"/>
    </row>
    <row r="90" spans="1:18" ht="24" customHeight="1">
      <c r="A90" s="5" t="s">
        <v>9</v>
      </c>
      <c r="B90" s="43">
        <v>4.8194444444444446</v>
      </c>
      <c r="C90" s="43">
        <v>4.5287162162162158</v>
      </c>
      <c r="D90" s="43">
        <v>4.7258522727272743</v>
      </c>
      <c r="E90" s="43">
        <v>4.5182926829268286</v>
      </c>
      <c r="F90" s="43">
        <v>4.6363636363636358</v>
      </c>
      <c r="G90" s="43">
        <v>4.6454081632653059</v>
      </c>
      <c r="H90" s="43">
        <v>4.5440340909090917</v>
      </c>
      <c r="I90" s="43">
        <v>4.3213028169014081</v>
      </c>
      <c r="J90" s="43">
        <v>4.5831801470588243</v>
      </c>
      <c r="K90" s="43">
        <v>4.7228260869565233</v>
      </c>
      <c r="L90" s="43">
        <v>4.7983630952380949</v>
      </c>
      <c r="M90" s="43">
        <v>4.8390624999999989</v>
      </c>
      <c r="N90" s="38" t="s">
        <v>65</v>
      </c>
      <c r="O90" s="43">
        <v>4.6311475409836067</v>
      </c>
      <c r="P90" s="43">
        <v>4.4044117647058831</v>
      </c>
      <c r="Q90" s="2"/>
      <c r="R90" s="2"/>
    </row>
    <row r="91" spans="1:18" s="58" customFormat="1">
      <c r="A91" s="23" t="s">
        <v>10</v>
      </c>
      <c r="B91" s="48">
        <f t="shared" ref="B91:C91" si="7">B90*20</f>
        <v>96.388888888888886</v>
      </c>
      <c r="C91" s="48">
        <f t="shared" si="7"/>
        <v>90.574324324324323</v>
      </c>
      <c r="D91" s="48">
        <f>D90*20</f>
        <v>94.517045454545482</v>
      </c>
      <c r="E91" s="39">
        <f>E90*20</f>
        <v>90.365853658536565</v>
      </c>
      <c r="F91" s="39">
        <f>F90*20</f>
        <v>92.72727272727272</v>
      </c>
      <c r="G91" s="39">
        <f>G90*20</f>
        <v>92.908163265306115</v>
      </c>
      <c r="H91" s="39">
        <f t="shared" ref="H91:P91" si="8">H90*20</f>
        <v>90.880681818181841</v>
      </c>
      <c r="I91" s="39">
        <f t="shared" si="8"/>
        <v>86.426056338028161</v>
      </c>
      <c r="J91" s="39">
        <f t="shared" si="8"/>
        <v>91.663602941176492</v>
      </c>
      <c r="K91" s="39">
        <f t="shared" si="8"/>
        <v>94.456521739130466</v>
      </c>
      <c r="L91" s="39">
        <f t="shared" si="8"/>
        <v>95.967261904761898</v>
      </c>
      <c r="M91" s="39">
        <f>M90*20</f>
        <v>96.781249999999972</v>
      </c>
      <c r="N91" s="38" t="s">
        <v>65</v>
      </c>
      <c r="O91" s="39">
        <f t="shared" ref="O91" si="9">O90*20</f>
        <v>92.622950819672127</v>
      </c>
      <c r="P91" s="39">
        <f t="shared" si="8"/>
        <v>88.088235294117666</v>
      </c>
      <c r="Q91" s="24"/>
      <c r="R91" s="24"/>
    </row>
    <row r="92" spans="1:18">
      <c r="A92" s="53" t="s">
        <v>44</v>
      </c>
      <c r="B92" s="28">
        <v>100</v>
      </c>
      <c r="C92" s="28">
        <v>94.594594594594597</v>
      </c>
      <c r="D92" s="28">
        <v>100</v>
      </c>
      <c r="E92" s="28">
        <v>100</v>
      </c>
      <c r="F92" s="28">
        <v>100</v>
      </c>
      <c r="G92" s="28">
        <v>100</v>
      </c>
      <c r="H92" s="28">
        <v>100</v>
      </c>
      <c r="I92" s="28">
        <v>100</v>
      </c>
      <c r="J92" s="28">
        <v>97.794117647058826</v>
      </c>
      <c r="K92" s="28">
        <v>100</v>
      </c>
      <c r="L92" s="28">
        <v>100</v>
      </c>
      <c r="M92" s="28">
        <v>100</v>
      </c>
      <c r="N92" s="30" t="s">
        <v>66</v>
      </c>
      <c r="O92" s="29">
        <v>100</v>
      </c>
      <c r="P92" s="28">
        <v>94.117647058823536</v>
      </c>
      <c r="Q92" s="2"/>
      <c r="R92" s="2"/>
    </row>
    <row r="93" spans="1:18" ht="24" customHeight="1"/>
    <row r="94" spans="1:18" ht="24" customHeight="1"/>
    <row r="95" spans="1:18">
      <c r="B95" s="11"/>
      <c r="E95" s="59"/>
      <c r="F95" s="59"/>
    </row>
    <row r="96" spans="1:18">
      <c r="B96" s="11"/>
      <c r="E96" s="60"/>
      <c r="F96" s="60"/>
    </row>
    <row r="97" spans="2:6">
      <c r="B97" s="11"/>
      <c r="E97" s="60"/>
      <c r="F97" s="60"/>
    </row>
    <row r="98" spans="2:6">
      <c r="B98" s="11"/>
      <c r="E98" s="60"/>
      <c r="F98" s="60"/>
    </row>
    <row r="99" spans="2:6">
      <c r="B99" s="11"/>
      <c r="E99" s="60"/>
      <c r="F99" s="60"/>
    </row>
    <row r="100" spans="2:6">
      <c r="B100" s="11"/>
      <c r="E100" s="60"/>
      <c r="F100" s="60"/>
    </row>
    <row r="101" spans="2:6">
      <c r="B101" s="11"/>
      <c r="E101" s="60"/>
      <c r="F101" s="60"/>
    </row>
    <row r="102" spans="2:6">
      <c r="B102" s="11"/>
      <c r="E102" s="60"/>
      <c r="F102" s="60"/>
    </row>
    <row r="103" spans="2:6" ht="24" customHeight="1">
      <c r="B103" s="11"/>
      <c r="E103" s="60"/>
      <c r="F103" s="60"/>
    </row>
    <row r="104" spans="2:6" ht="24" customHeight="1">
      <c r="B104" s="11"/>
      <c r="E104" s="60"/>
      <c r="F104" s="60"/>
    </row>
    <row r="105" spans="2:6">
      <c r="B105" s="11"/>
      <c r="E105" s="60"/>
      <c r="F105" s="60"/>
    </row>
    <row r="106" spans="2:6">
      <c r="B106" s="11"/>
      <c r="E106" s="60"/>
      <c r="F106" s="60"/>
    </row>
    <row r="107" spans="2:6">
      <c r="B107" s="11"/>
      <c r="E107" s="60"/>
      <c r="F107" s="60"/>
    </row>
    <row r="108" spans="2:6">
      <c r="B108" s="11"/>
      <c r="E108" s="60"/>
      <c r="F108" s="60"/>
    </row>
    <row r="109" spans="2:6">
      <c r="B109" s="11"/>
      <c r="E109" s="60"/>
      <c r="F109" s="60"/>
    </row>
    <row r="110" spans="2:6">
      <c r="B110" s="11"/>
      <c r="E110" s="60"/>
      <c r="F110" s="60"/>
    </row>
    <row r="111" spans="2:6" ht="24" customHeight="1">
      <c r="B111" s="11"/>
      <c r="E111" s="60"/>
      <c r="F111" s="60"/>
    </row>
    <row r="112" spans="2:6" ht="24" customHeight="1">
      <c r="B112" s="11"/>
      <c r="E112" s="60"/>
      <c r="F112" s="60"/>
    </row>
    <row r="113" spans="2:6">
      <c r="B113" s="11"/>
      <c r="E113" s="60"/>
      <c r="F113" s="60"/>
    </row>
    <row r="114" spans="2:6">
      <c r="B114" s="11"/>
      <c r="E114" s="60"/>
      <c r="F114" s="60"/>
    </row>
    <row r="115" spans="2:6">
      <c r="B115" s="11"/>
    </row>
  </sheetData>
  <mergeCells count="1">
    <mergeCell ref="A1:P1"/>
  </mergeCells>
  <pageMargins left="0.31496062992125984" right="0" top="0.51181102362204722" bottom="0.11811023622047245" header="0.31496062992125984" footer="0.31496062992125984"/>
  <pageSetup scale="68" orientation="landscape" r:id="rId1"/>
  <rowBreaks count="4" manualBreakCount="4">
    <brk id="24" max="16383" man="1"/>
    <brk id="47" max="16383" man="1"/>
    <brk id="70" max="16383" man="1"/>
    <brk id="9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58"/>
  <sheetViews>
    <sheetView tabSelected="1" zoomScale="115" zoomScaleNormal="115" zoomScaleSheetLayoutView="120" workbookViewId="0">
      <selection activeCell="B90" sqref="B90"/>
    </sheetView>
  </sheetViews>
  <sheetFormatPr defaultColWidth="9" defaultRowHeight="21"/>
  <cols>
    <col min="1" max="1" width="4.75" style="26" customWidth="1"/>
    <col min="2" max="2" width="27.625" style="26" customWidth="1"/>
    <col min="3" max="7" width="12" style="26" customWidth="1"/>
    <col min="8" max="8" width="60.625" style="26" customWidth="1"/>
    <col min="9" max="9" width="14.75" style="26" customWidth="1"/>
    <col min="10" max="10" width="7.25" style="26" customWidth="1"/>
    <col min="11" max="16384" width="9" style="26"/>
  </cols>
  <sheetData>
    <row r="1" spans="1:9" s="17" customFormat="1" ht="43.5" customHeight="1">
      <c r="A1" s="84" t="s">
        <v>99</v>
      </c>
      <c r="B1" s="85"/>
      <c r="C1" s="85"/>
      <c r="D1" s="85"/>
      <c r="E1" s="85"/>
      <c r="F1" s="85"/>
      <c r="G1" s="85"/>
      <c r="H1" s="85"/>
      <c r="I1" s="85"/>
    </row>
    <row r="2" spans="1:9" s="17" customFormat="1">
      <c r="A2" s="83" t="s">
        <v>203</v>
      </c>
      <c r="B2" s="83"/>
      <c r="C2" s="83"/>
      <c r="D2" s="83"/>
      <c r="E2" s="83"/>
      <c r="F2" s="83"/>
      <c r="G2" s="83"/>
      <c r="H2" s="83"/>
    </row>
    <row r="3" spans="1:9" s="17" customFormat="1">
      <c r="A3" s="83" t="s">
        <v>202</v>
      </c>
      <c r="B3" s="83"/>
      <c r="C3" s="83"/>
      <c r="D3" s="83"/>
      <c r="E3" s="83"/>
      <c r="F3" s="83"/>
      <c r="G3" s="83"/>
      <c r="H3" s="83"/>
    </row>
    <row r="4" spans="1:9" s="17" customFormat="1">
      <c r="A4" s="18" t="s">
        <v>53</v>
      </c>
      <c r="B4" s="18"/>
      <c r="C4" s="18"/>
      <c r="D4" s="18"/>
      <c r="E4" s="18"/>
      <c r="F4" s="18"/>
      <c r="G4" s="18"/>
      <c r="H4" s="18"/>
    </row>
    <row r="5" spans="1:9" s="17" customFormat="1">
      <c r="B5" s="87" t="s">
        <v>195</v>
      </c>
      <c r="C5" s="87"/>
      <c r="D5" s="87"/>
      <c r="E5" s="87"/>
      <c r="F5" s="87"/>
      <c r="G5" s="87"/>
      <c r="H5" s="87"/>
    </row>
    <row r="6" spans="1:9" s="34" customFormat="1">
      <c r="A6" s="17"/>
      <c r="B6" s="87" t="s">
        <v>196</v>
      </c>
      <c r="C6" s="87"/>
      <c r="D6" s="87"/>
      <c r="E6" s="87"/>
      <c r="F6" s="87"/>
      <c r="G6" s="87"/>
      <c r="H6" s="87"/>
      <c r="I6" s="17"/>
    </row>
    <row r="7" spans="1:9" s="17" customFormat="1" ht="21.75" customHeight="1">
      <c r="A7" s="34"/>
      <c r="B7" s="88" t="s">
        <v>197</v>
      </c>
      <c r="C7" s="88"/>
      <c r="D7" s="88"/>
      <c r="E7" s="88"/>
      <c r="F7" s="88"/>
      <c r="G7" s="88"/>
      <c r="H7" s="88"/>
      <c r="I7" s="34"/>
    </row>
    <row r="8" spans="1:9" s="17" customFormat="1" ht="21.75" customHeight="1">
      <c r="B8" s="65" t="s">
        <v>0</v>
      </c>
      <c r="C8" s="66" t="s">
        <v>33</v>
      </c>
      <c r="D8" s="66" t="s">
        <v>34</v>
      </c>
      <c r="E8" s="66" t="s">
        <v>35</v>
      </c>
      <c r="F8" s="66" t="s">
        <v>36</v>
      </c>
      <c r="G8" s="66" t="s">
        <v>37</v>
      </c>
    </row>
    <row r="9" spans="1:9" s="17" customFormat="1" ht="21.75" customHeight="1">
      <c r="B9" s="67" t="s">
        <v>8</v>
      </c>
      <c r="C9" s="19">
        <v>1087</v>
      </c>
      <c r="D9" s="19">
        <v>1263</v>
      </c>
      <c r="E9" s="61">
        <v>44</v>
      </c>
      <c r="F9" s="20" t="s">
        <v>205</v>
      </c>
      <c r="G9" s="20">
        <v>17</v>
      </c>
    </row>
    <row r="10" spans="1:9" s="17" customFormat="1" ht="21.75" customHeight="1">
      <c r="B10" s="67" t="s">
        <v>9</v>
      </c>
      <c r="C10" s="12">
        <v>4.3603380864765366</v>
      </c>
      <c r="D10" s="12">
        <v>4.5706650831353839</v>
      </c>
      <c r="E10" s="7">
        <v>3.9829545454545467</v>
      </c>
      <c r="F10" s="68">
        <v>4.8899999999999997</v>
      </c>
      <c r="G10" s="68">
        <v>4.6470588235294121</v>
      </c>
    </row>
    <row r="11" spans="1:9" s="17" customFormat="1" ht="21.75" customHeight="1">
      <c r="B11" s="67" t="s">
        <v>10</v>
      </c>
      <c r="C11" s="12">
        <v>87.20676172953074</v>
      </c>
      <c r="D11" s="12">
        <v>91.413301662707681</v>
      </c>
      <c r="E11" s="12">
        <v>79.659090909090935</v>
      </c>
      <c r="F11" s="33">
        <v>97.83</v>
      </c>
      <c r="G11" s="33">
        <v>92.941176470588246</v>
      </c>
    </row>
    <row r="12" spans="1:9" s="17" customFormat="1" ht="24" customHeight="1">
      <c r="B12" s="69"/>
      <c r="C12" s="21"/>
      <c r="D12" s="21"/>
      <c r="E12" s="21"/>
      <c r="F12" s="70"/>
      <c r="G12" s="70"/>
    </row>
    <row r="13" spans="1:9" s="17" customFormat="1" ht="24" customHeight="1">
      <c r="A13" s="86" t="s">
        <v>38</v>
      </c>
      <c r="B13" s="86"/>
      <c r="H13" s="17" t="s">
        <v>51</v>
      </c>
    </row>
    <row r="14" spans="1:9" s="17" customFormat="1" ht="24" customHeight="1">
      <c r="B14" s="72" t="s">
        <v>39</v>
      </c>
    </row>
    <row r="15" spans="1:9" ht="24" customHeight="1">
      <c r="B15" s="17" t="s">
        <v>127</v>
      </c>
      <c r="C15" s="14"/>
      <c r="D15" s="14"/>
      <c r="E15" s="14"/>
      <c r="F15" s="14"/>
      <c r="G15" s="14"/>
      <c r="H15" s="14"/>
    </row>
    <row r="16" spans="1:9" ht="24" customHeight="1">
      <c r="B16" s="17" t="s">
        <v>145</v>
      </c>
      <c r="C16" s="14"/>
      <c r="D16" s="14"/>
      <c r="E16" s="14"/>
      <c r="F16" s="14"/>
      <c r="G16" s="14"/>
      <c r="H16" s="14"/>
    </row>
    <row r="17" spans="2:8" ht="24" customHeight="1">
      <c r="B17" s="17" t="s">
        <v>147</v>
      </c>
      <c r="C17" s="14"/>
      <c r="D17" s="14"/>
      <c r="E17" s="14"/>
      <c r="F17" s="14"/>
      <c r="G17" s="14"/>
      <c r="H17" s="14"/>
    </row>
    <row r="18" spans="2:8" ht="24" customHeight="1">
      <c r="B18" s="26" t="s">
        <v>116</v>
      </c>
      <c r="C18" s="14"/>
      <c r="D18" s="14"/>
      <c r="E18" s="14"/>
      <c r="F18" s="14"/>
      <c r="G18" s="14"/>
      <c r="H18" s="14"/>
    </row>
    <row r="19" spans="2:8" ht="24" customHeight="1">
      <c r="B19" s="26" t="s">
        <v>135</v>
      </c>
      <c r="C19" s="14"/>
      <c r="D19" s="14"/>
      <c r="E19" s="14"/>
      <c r="F19" s="14"/>
      <c r="G19" s="14"/>
      <c r="H19" s="14"/>
    </row>
    <row r="20" spans="2:8" ht="24" customHeight="1">
      <c r="B20" s="26" t="s">
        <v>129</v>
      </c>
      <c r="C20" s="14"/>
      <c r="D20" s="14"/>
      <c r="E20" s="14"/>
      <c r="F20" s="14"/>
      <c r="G20" s="14"/>
      <c r="H20" s="14"/>
    </row>
    <row r="21" spans="2:8" ht="24" customHeight="1">
      <c r="B21" s="26" t="s">
        <v>117</v>
      </c>
      <c r="C21" s="14"/>
      <c r="D21" s="14"/>
      <c r="E21" s="14"/>
      <c r="F21" s="14"/>
      <c r="G21" s="14"/>
      <c r="H21" s="14"/>
    </row>
    <row r="22" spans="2:8" ht="24" customHeight="1">
      <c r="B22" s="17" t="s">
        <v>103</v>
      </c>
      <c r="C22" s="14"/>
      <c r="D22" s="14"/>
      <c r="E22" s="14"/>
      <c r="F22" s="14"/>
      <c r="G22" s="14"/>
      <c r="H22" s="14"/>
    </row>
    <row r="23" spans="2:8" ht="24" customHeight="1">
      <c r="B23" s="17" t="s">
        <v>104</v>
      </c>
      <c r="C23" s="14"/>
      <c r="D23" s="14"/>
      <c r="E23" s="14"/>
      <c r="F23" s="14"/>
      <c r="G23" s="14"/>
      <c r="H23" s="14"/>
    </row>
    <row r="24" spans="2:8" ht="24" customHeight="1">
      <c r="B24" s="17" t="s">
        <v>125</v>
      </c>
      <c r="C24" s="14"/>
      <c r="D24" s="14"/>
      <c r="E24" s="14"/>
      <c r="F24" s="14"/>
      <c r="G24" s="14"/>
      <c r="H24" s="14"/>
    </row>
    <row r="25" spans="2:8" ht="24" customHeight="1">
      <c r="B25" s="17" t="s">
        <v>120</v>
      </c>
      <c r="C25" s="14"/>
      <c r="D25" s="14"/>
      <c r="E25" s="14"/>
      <c r="F25" s="14"/>
      <c r="G25" s="14"/>
      <c r="H25" s="14"/>
    </row>
    <row r="26" spans="2:8" ht="24" customHeight="1">
      <c r="B26" s="17" t="s">
        <v>151</v>
      </c>
      <c r="C26" s="14"/>
      <c r="D26" s="14"/>
      <c r="E26" s="14"/>
      <c r="F26" s="14"/>
      <c r="G26" s="14"/>
      <c r="H26" s="14"/>
    </row>
    <row r="27" spans="2:8" ht="24" customHeight="1">
      <c r="B27" s="17" t="s">
        <v>113</v>
      </c>
      <c r="C27" s="14"/>
      <c r="D27" s="14"/>
      <c r="E27" s="14"/>
      <c r="F27" s="14"/>
      <c r="G27" s="14"/>
      <c r="H27" s="14"/>
    </row>
    <row r="28" spans="2:8" ht="24" customHeight="1">
      <c r="B28" s="17" t="s">
        <v>152</v>
      </c>
      <c r="C28" s="14"/>
      <c r="D28" s="14"/>
      <c r="E28" s="14"/>
      <c r="F28" s="14"/>
      <c r="G28" s="14"/>
      <c r="H28" s="14"/>
    </row>
    <row r="29" spans="2:8" ht="24" customHeight="1">
      <c r="B29" s="17" t="s">
        <v>114</v>
      </c>
      <c r="C29" s="14"/>
      <c r="D29" s="14"/>
      <c r="E29" s="14"/>
      <c r="F29" s="14"/>
      <c r="G29" s="14"/>
      <c r="H29" s="14"/>
    </row>
    <row r="30" spans="2:8" ht="24" customHeight="1">
      <c r="B30" s="17" t="s">
        <v>121</v>
      </c>
      <c r="C30" s="14"/>
      <c r="D30" s="14"/>
      <c r="E30" s="14"/>
      <c r="F30" s="14"/>
      <c r="G30" s="14"/>
      <c r="H30" s="14"/>
    </row>
    <row r="31" spans="2:8" ht="24" customHeight="1">
      <c r="B31" s="17" t="s">
        <v>126</v>
      </c>
      <c r="C31" s="14"/>
      <c r="D31" s="14"/>
      <c r="E31" s="14"/>
      <c r="F31" s="14"/>
      <c r="G31" s="14"/>
      <c r="H31" s="14"/>
    </row>
    <row r="32" spans="2:8" ht="24" customHeight="1">
      <c r="B32" s="17" t="s">
        <v>138</v>
      </c>
      <c r="C32" s="14"/>
      <c r="D32" s="14"/>
      <c r="E32" s="14"/>
      <c r="F32" s="14"/>
      <c r="G32" s="14"/>
      <c r="H32" s="14"/>
    </row>
    <row r="33" spans="2:10" ht="24" customHeight="1">
      <c r="B33" s="17" t="s">
        <v>204</v>
      </c>
      <c r="C33" s="14"/>
      <c r="D33" s="14"/>
      <c r="E33" s="14"/>
      <c r="F33" s="14"/>
      <c r="G33" s="14"/>
      <c r="H33" s="14"/>
    </row>
    <row r="34" spans="2:10" ht="24" customHeight="1">
      <c r="B34" s="17" t="s">
        <v>101</v>
      </c>
      <c r="C34" s="14"/>
      <c r="D34" s="14"/>
      <c r="E34" s="14"/>
      <c r="F34" s="14"/>
      <c r="G34" s="14"/>
      <c r="H34" s="14"/>
    </row>
    <row r="35" spans="2:10" ht="24" customHeight="1">
      <c r="B35" s="17" t="s">
        <v>136</v>
      </c>
      <c r="C35" s="14"/>
      <c r="D35" s="14"/>
      <c r="E35" s="14"/>
      <c r="F35" s="14"/>
      <c r="G35" s="14"/>
      <c r="H35" s="14"/>
    </row>
    <row r="36" spans="2:10" ht="24" customHeight="1">
      <c r="B36" s="17" t="s">
        <v>156</v>
      </c>
      <c r="C36" s="14"/>
      <c r="D36" s="14"/>
      <c r="E36" s="14"/>
      <c r="F36" s="14"/>
      <c r="G36" s="14"/>
      <c r="H36" s="14"/>
    </row>
    <row r="37" spans="2:10" ht="24" customHeight="1">
      <c r="B37" s="17" t="s">
        <v>146</v>
      </c>
      <c r="C37" s="14"/>
      <c r="D37" s="14"/>
      <c r="E37" s="14"/>
      <c r="F37" s="14"/>
      <c r="G37" s="14"/>
      <c r="H37" s="14"/>
    </row>
    <row r="38" spans="2:10" ht="24" customHeight="1">
      <c r="B38" s="17" t="s">
        <v>131</v>
      </c>
      <c r="C38" s="14"/>
      <c r="D38" s="14"/>
      <c r="E38" s="14"/>
      <c r="F38" s="14"/>
      <c r="G38" s="14"/>
      <c r="H38" s="14"/>
    </row>
    <row r="39" spans="2:10" ht="24" customHeight="1">
      <c r="B39" s="17" t="s">
        <v>150</v>
      </c>
      <c r="C39" s="14"/>
      <c r="D39" s="14"/>
      <c r="E39" s="14"/>
      <c r="F39" s="14"/>
      <c r="G39" s="14"/>
      <c r="H39" s="14"/>
    </row>
    <row r="40" spans="2:10" ht="24" customHeight="1">
      <c r="B40" s="17" t="s">
        <v>111</v>
      </c>
      <c r="C40" s="14"/>
      <c r="D40" s="14"/>
      <c r="E40" s="14"/>
      <c r="F40" s="14"/>
      <c r="G40" s="14"/>
      <c r="H40" s="14"/>
    </row>
    <row r="41" spans="2:10" ht="24" customHeight="1">
      <c r="B41" s="17" t="s">
        <v>102</v>
      </c>
      <c r="C41" s="14"/>
      <c r="D41" s="14"/>
      <c r="E41" s="14"/>
      <c r="F41" s="14"/>
      <c r="G41" s="14"/>
      <c r="H41" s="14"/>
    </row>
    <row r="42" spans="2:10" ht="24" customHeight="1">
      <c r="B42" s="17" t="s">
        <v>112</v>
      </c>
      <c r="C42" s="14"/>
      <c r="D42" s="14"/>
      <c r="E42" s="14"/>
      <c r="F42" s="14"/>
      <c r="G42" s="14"/>
      <c r="H42" s="14"/>
    </row>
    <row r="43" spans="2:10" ht="24" customHeight="1">
      <c r="B43" s="17" t="s">
        <v>157</v>
      </c>
      <c r="C43" s="14"/>
      <c r="D43" s="14"/>
      <c r="E43" s="14"/>
      <c r="F43" s="14"/>
      <c r="G43" s="14"/>
      <c r="H43" s="14"/>
    </row>
    <row r="44" spans="2:10" ht="24" customHeight="1">
      <c r="B44" s="17" t="s">
        <v>159</v>
      </c>
      <c r="C44" s="14"/>
      <c r="D44" s="14"/>
      <c r="E44" s="14"/>
      <c r="F44" s="14"/>
      <c r="G44" s="14"/>
      <c r="H44" s="14"/>
    </row>
    <row r="45" spans="2:10" ht="24" customHeight="1">
      <c r="B45" s="17" t="s">
        <v>160</v>
      </c>
      <c r="C45" s="14"/>
      <c r="D45" s="14"/>
      <c r="E45" s="14"/>
      <c r="F45" s="14"/>
      <c r="G45" s="14"/>
      <c r="H45" s="14"/>
    </row>
    <row r="46" spans="2:10" ht="24" customHeight="1">
      <c r="B46" s="17" t="s">
        <v>164</v>
      </c>
      <c r="C46" s="14"/>
      <c r="D46" s="14"/>
      <c r="E46" s="14"/>
      <c r="F46" s="14"/>
      <c r="G46" s="14"/>
      <c r="H46" s="14"/>
    </row>
    <row r="47" spans="2:10" ht="24" customHeight="1">
      <c r="B47" s="17" t="s">
        <v>107</v>
      </c>
      <c r="C47" s="14"/>
      <c r="D47" s="14"/>
      <c r="E47" s="14"/>
      <c r="F47" s="14"/>
      <c r="G47" s="14"/>
      <c r="H47" s="14"/>
    </row>
    <row r="48" spans="2:10" ht="24" customHeight="1">
      <c r="B48" s="81" t="s">
        <v>106</v>
      </c>
      <c r="C48" s="81"/>
      <c r="D48" s="81"/>
      <c r="E48" s="81"/>
      <c r="F48" s="81"/>
      <c r="G48" s="81"/>
      <c r="H48" s="81"/>
      <c r="I48" s="81"/>
      <c r="J48" s="81"/>
    </row>
    <row r="49" spans="2:21" ht="24" customHeight="1">
      <c r="B49" s="17" t="s">
        <v>118</v>
      </c>
      <c r="C49" s="14"/>
      <c r="D49" s="14"/>
      <c r="E49" s="14"/>
      <c r="F49" s="14"/>
      <c r="G49" s="14"/>
      <c r="H49" s="14"/>
    </row>
    <row r="50" spans="2:21" ht="24" customHeight="1">
      <c r="B50" s="17" t="s">
        <v>119</v>
      </c>
      <c r="C50" s="14"/>
      <c r="D50" s="14"/>
      <c r="E50" s="14"/>
      <c r="F50" s="14"/>
      <c r="G50" s="14"/>
      <c r="H50" s="14"/>
    </row>
    <row r="51" spans="2:21" ht="24" customHeight="1">
      <c r="B51" s="17" t="s">
        <v>128</v>
      </c>
      <c r="C51" s="14"/>
      <c r="D51" s="14"/>
      <c r="E51" s="14"/>
      <c r="F51" s="14"/>
      <c r="G51" s="14"/>
      <c r="H51" s="14"/>
    </row>
    <row r="52" spans="2:21" ht="24" customHeight="1">
      <c r="B52" s="17" t="s">
        <v>130</v>
      </c>
      <c r="C52" s="14"/>
      <c r="D52" s="14"/>
      <c r="E52" s="14"/>
      <c r="F52" s="14"/>
      <c r="G52" s="14"/>
      <c r="H52" s="14"/>
    </row>
    <row r="53" spans="2:21" ht="24" customHeight="1">
      <c r="B53" s="17" t="s">
        <v>137</v>
      </c>
      <c r="C53" s="14"/>
      <c r="D53" s="14"/>
      <c r="E53" s="14"/>
      <c r="F53" s="14"/>
      <c r="G53" s="14"/>
      <c r="H53" s="14"/>
    </row>
    <row r="54" spans="2:21" ht="24" customHeight="1">
      <c r="B54" s="17" t="s">
        <v>139</v>
      </c>
      <c r="C54" s="14"/>
      <c r="D54" s="14"/>
      <c r="E54" s="14"/>
      <c r="F54" s="14"/>
      <c r="G54" s="14"/>
      <c r="H54" s="14"/>
    </row>
    <row r="55" spans="2:21" ht="24" customHeight="1">
      <c r="B55" s="17" t="s">
        <v>140</v>
      </c>
      <c r="C55" s="14"/>
      <c r="D55" s="14"/>
      <c r="E55" s="14"/>
      <c r="F55" s="14"/>
      <c r="G55" s="14"/>
      <c r="H55" s="14"/>
    </row>
    <row r="56" spans="2:21" ht="24" customHeight="1">
      <c r="B56" s="17" t="s">
        <v>142</v>
      </c>
      <c r="C56" s="14"/>
      <c r="D56" s="14"/>
      <c r="E56" s="14"/>
      <c r="F56" s="14"/>
      <c r="G56" s="14"/>
      <c r="H56" s="14"/>
    </row>
    <row r="57" spans="2:21" ht="70.5" customHeight="1">
      <c r="B57" s="82" t="s">
        <v>149</v>
      </c>
      <c r="C57" s="82"/>
      <c r="D57" s="82"/>
      <c r="E57" s="82"/>
      <c r="F57" s="82"/>
      <c r="G57" s="82"/>
      <c r="H57" s="82"/>
      <c r="I57" s="82"/>
      <c r="J57" s="82"/>
      <c r="K57" s="82"/>
      <c r="L57" s="82"/>
      <c r="M57" s="82"/>
    </row>
    <row r="58" spans="2:21" ht="70.5" customHeight="1">
      <c r="B58" s="82"/>
      <c r="C58" s="82"/>
      <c r="D58" s="82"/>
      <c r="E58" s="82"/>
      <c r="F58" s="82"/>
      <c r="G58" s="82"/>
      <c r="H58" s="82"/>
      <c r="I58" s="82"/>
      <c r="J58" s="82"/>
      <c r="K58" s="82"/>
      <c r="L58" s="82"/>
      <c r="M58" s="82"/>
    </row>
    <row r="59" spans="2:21" ht="70.5" customHeight="1">
      <c r="B59" s="82"/>
      <c r="C59" s="82"/>
      <c r="D59" s="82"/>
      <c r="E59" s="82"/>
      <c r="F59" s="82"/>
      <c r="G59" s="82"/>
      <c r="H59" s="82"/>
      <c r="I59" s="82"/>
      <c r="J59" s="82"/>
      <c r="K59" s="82"/>
      <c r="L59" s="82"/>
      <c r="M59" s="82"/>
    </row>
    <row r="60" spans="2:21" ht="24" customHeight="1">
      <c r="B60" s="17" t="s">
        <v>158</v>
      </c>
      <c r="C60" s="14"/>
      <c r="D60" s="14"/>
      <c r="E60" s="14"/>
      <c r="F60" s="14"/>
      <c r="G60" s="14"/>
      <c r="H60" s="14"/>
    </row>
    <row r="61" spans="2:21" ht="24" customHeight="1">
      <c r="B61" s="17" t="s">
        <v>162</v>
      </c>
      <c r="C61" s="14"/>
      <c r="D61" s="14"/>
      <c r="E61" s="14"/>
      <c r="F61" s="14"/>
      <c r="G61" s="14"/>
      <c r="H61" s="14"/>
    </row>
    <row r="62" spans="2:21" ht="24" customHeight="1">
      <c r="B62" s="17" t="s">
        <v>163</v>
      </c>
      <c r="C62" s="14"/>
      <c r="D62" s="14"/>
      <c r="E62" s="14"/>
      <c r="F62" s="14"/>
      <c r="G62" s="14"/>
      <c r="H62" s="14"/>
    </row>
    <row r="63" spans="2:21" ht="164.25" customHeight="1">
      <c r="B63" s="81" t="s">
        <v>165</v>
      </c>
      <c r="C63" s="81"/>
      <c r="D63" s="81"/>
      <c r="E63" s="81"/>
      <c r="F63" s="81"/>
      <c r="G63" s="81"/>
      <c r="H63" s="81"/>
      <c r="I63" s="81"/>
      <c r="J63" s="81"/>
      <c r="K63" s="81"/>
      <c r="L63" s="81"/>
      <c r="M63" s="81"/>
      <c r="N63" s="81"/>
      <c r="O63" s="81"/>
      <c r="P63" s="81"/>
      <c r="Q63" s="81"/>
      <c r="R63" s="81"/>
      <c r="S63" s="81"/>
      <c r="T63" s="81"/>
      <c r="U63" s="81"/>
    </row>
    <row r="64" spans="2:21" ht="24" customHeight="1">
      <c r="B64" s="17"/>
      <c r="C64" s="14"/>
      <c r="D64" s="14"/>
      <c r="E64" s="14"/>
      <c r="F64" s="14"/>
      <c r="G64" s="14"/>
      <c r="H64" s="14"/>
    </row>
    <row r="65" spans="1:9" ht="24" customHeight="1">
      <c r="B65" s="72" t="s">
        <v>40</v>
      </c>
      <c r="C65" s="14"/>
      <c r="D65" s="14"/>
      <c r="E65" s="14"/>
      <c r="F65" s="14"/>
      <c r="G65" s="14"/>
      <c r="H65" s="14"/>
    </row>
    <row r="66" spans="1:9" s="25" customFormat="1" ht="24" customHeight="1">
      <c r="A66" s="26"/>
      <c r="B66" s="26" t="s">
        <v>108</v>
      </c>
      <c r="C66" s="14"/>
      <c r="D66" s="14"/>
      <c r="E66" s="14"/>
      <c r="F66" s="14"/>
      <c r="G66" s="14"/>
      <c r="H66" s="14"/>
      <c r="I66" s="26"/>
    </row>
    <row r="67" spans="1:9" s="25" customFormat="1" ht="24" customHeight="1">
      <c r="A67" s="26"/>
      <c r="B67" s="26" t="s">
        <v>109</v>
      </c>
      <c r="C67" s="14"/>
      <c r="D67" s="14"/>
      <c r="E67" s="14"/>
      <c r="F67" s="14"/>
      <c r="G67" s="14"/>
      <c r="H67" s="14"/>
      <c r="I67" s="26"/>
    </row>
    <row r="68" spans="1:9" s="25" customFormat="1" ht="24" customHeight="1">
      <c r="A68" s="26"/>
      <c r="B68" s="26" t="s">
        <v>110</v>
      </c>
      <c r="C68" s="14"/>
      <c r="D68" s="14"/>
      <c r="E68" s="14"/>
      <c r="F68" s="14"/>
      <c r="G68" s="14"/>
      <c r="H68" s="14"/>
      <c r="I68" s="26"/>
    </row>
    <row r="69" spans="1:9" s="25" customFormat="1" ht="24" customHeight="1">
      <c r="A69" s="26"/>
      <c r="B69" s="26" t="s">
        <v>122</v>
      </c>
      <c r="C69" s="14"/>
      <c r="D69" s="14"/>
      <c r="E69" s="14"/>
      <c r="F69" s="14"/>
      <c r="G69" s="14"/>
      <c r="H69" s="14"/>
      <c r="I69" s="26"/>
    </row>
    <row r="70" spans="1:9" s="25" customFormat="1" ht="24" customHeight="1">
      <c r="A70" s="26"/>
      <c r="B70" s="26" t="s">
        <v>132</v>
      </c>
      <c r="C70" s="14"/>
      <c r="D70" s="14"/>
      <c r="E70" s="14"/>
      <c r="F70" s="14"/>
      <c r="G70" s="14"/>
      <c r="H70" s="14"/>
      <c r="I70" s="26"/>
    </row>
    <row r="71" spans="1:9" s="25" customFormat="1" ht="24" customHeight="1">
      <c r="A71" s="26"/>
      <c r="B71" s="26" t="s">
        <v>141</v>
      </c>
      <c r="C71" s="14"/>
      <c r="D71" s="14"/>
      <c r="E71" s="14"/>
      <c r="F71" s="14"/>
      <c r="G71" s="14"/>
      <c r="H71" s="14"/>
      <c r="I71" s="26"/>
    </row>
    <row r="72" spans="1:9" s="25" customFormat="1" ht="24" customHeight="1">
      <c r="A72" s="26"/>
      <c r="B72" s="26" t="s">
        <v>148</v>
      </c>
      <c r="C72" s="14"/>
      <c r="D72" s="14"/>
      <c r="E72" s="14"/>
      <c r="F72" s="14"/>
      <c r="G72" s="14"/>
      <c r="H72" s="14"/>
      <c r="I72" s="26"/>
    </row>
    <row r="73" spans="1:9" s="25" customFormat="1" ht="23.25" customHeight="1">
      <c r="A73" s="26"/>
      <c r="B73" s="26"/>
      <c r="C73" s="14"/>
      <c r="D73" s="14"/>
      <c r="E73" s="14"/>
      <c r="F73" s="14"/>
      <c r="G73" s="14"/>
      <c r="H73" s="14"/>
      <c r="I73" s="26"/>
    </row>
    <row r="74" spans="1:9" ht="23.25" customHeight="1">
      <c r="A74" s="73"/>
      <c r="B74" s="74" t="s">
        <v>41</v>
      </c>
      <c r="C74" s="74"/>
      <c r="D74" s="74"/>
      <c r="E74" s="74"/>
      <c r="F74" s="17"/>
      <c r="G74" s="17"/>
      <c r="H74" s="17"/>
      <c r="I74" s="25"/>
    </row>
    <row r="75" spans="1:9" ht="23.25" customHeight="1">
      <c r="A75" s="73"/>
      <c r="B75" s="26" t="s">
        <v>153</v>
      </c>
      <c r="C75" s="74"/>
      <c r="D75" s="74"/>
      <c r="E75" s="74"/>
      <c r="F75" s="17"/>
      <c r="G75" s="17"/>
      <c r="H75" s="17"/>
      <c r="I75" s="25"/>
    </row>
    <row r="76" spans="1:9" ht="24" customHeight="1">
      <c r="A76" s="73"/>
      <c r="B76" s="69" t="s">
        <v>143</v>
      </c>
      <c r="C76" s="74"/>
      <c r="D76" s="74"/>
      <c r="E76" s="74"/>
      <c r="F76" s="17"/>
      <c r="G76" s="17"/>
      <c r="H76" s="17"/>
      <c r="I76" s="25"/>
    </row>
    <row r="77" spans="1:9" ht="24" customHeight="1">
      <c r="A77" s="73"/>
      <c r="B77" s="69" t="s">
        <v>133</v>
      </c>
      <c r="C77" s="74"/>
      <c r="D77" s="74"/>
      <c r="E77" s="74"/>
      <c r="F77" s="17"/>
      <c r="G77" s="17"/>
      <c r="H77" s="17"/>
      <c r="I77" s="25"/>
    </row>
    <row r="78" spans="1:9" ht="24" customHeight="1">
      <c r="A78" s="73"/>
      <c r="B78" s="81" t="s">
        <v>144</v>
      </c>
      <c r="C78" s="81"/>
      <c r="D78" s="81"/>
      <c r="E78" s="74"/>
      <c r="F78" s="17"/>
      <c r="G78" s="17"/>
      <c r="H78" s="17"/>
      <c r="I78" s="25"/>
    </row>
    <row r="79" spans="1:9" ht="24" customHeight="1">
      <c r="A79" s="73"/>
      <c r="B79" s="81" t="s">
        <v>154</v>
      </c>
      <c r="C79" s="81"/>
      <c r="D79" s="81"/>
      <c r="E79" s="81"/>
      <c r="F79" s="81"/>
      <c r="G79" s="81"/>
      <c r="H79" s="17"/>
      <c r="I79" s="25"/>
    </row>
    <row r="80" spans="1:9" ht="24" customHeight="1">
      <c r="A80" s="73"/>
      <c r="B80" s="81" t="s">
        <v>198</v>
      </c>
      <c r="C80" s="81"/>
      <c r="D80" s="81"/>
      <c r="E80" s="81"/>
      <c r="F80" s="81"/>
      <c r="G80" s="81"/>
      <c r="H80" s="17"/>
      <c r="I80" s="25"/>
    </row>
    <row r="81" spans="1:9" ht="24" customHeight="1">
      <c r="A81" s="73"/>
      <c r="B81" s="81" t="s">
        <v>199</v>
      </c>
      <c r="C81" s="81"/>
      <c r="D81" s="81"/>
      <c r="E81" s="81"/>
      <c r="F81" s="81"/>
      <c r="G81" s="81"/>
      <c r="H81" s="81"/>
      <c r="I81" s="25"/>
    </row>
    <row r="82" spans="1:9" ht="24" customHeight="1">
      <c r="A82" s="73"/>
      <c r="B82" s="81" t="s">
        <v>200</v>
      </c>
      <c r="C82" s="81"/>
      <c r="D82" s="81"/>
      <c r="E82" s="81"/>
      <c r="F82" s="81"/>
      <c r="G82" s="81"/>
      <c r="H82" s="81"/>
      <c r="I82" s="25"/>
    </row>
    <row r="83" spans="1:9" ht="23.25" customHeight="1">
      <c r="A83" s="73"/>
      <c r="B83" s="81" t="s">
        <v>105</v>
      </c>
      <c r="C83" s="81"/>
      <c r="D83" s="81"/>
      <c r="E83" s="81"/>
      <c r="F83" s="81"/>
      <c r="G83" s="81"/>
      <c r="H83" s="81"/>
      <c r="I83" s="25"/>
    </row>
    <row r="84" spans="1:9" ht="23.25" customHeight="1">
      <c r="A84" s="73"/>
      <c r="B84" s="26" t="s">
        <v>161</v>
      </c>
    </row>
    <row r="85" spans="1:9" ht="23.25" customHeight="1">
      <c r="A85" s="73"/>
      <c r="B85" s="26" t="s">
        <v>155</v>
      </c>
    </row>
    <row r="86" spans="1:9" ht="24" customHeight="1">
      <c r="A86" s="73"/>
      <c r="B86" s="81" t="s">
        <v>115</v>
      </c>
      <c r="C86" s="81"/>
      <c r="D86" s="81"/>
      <c r="E86" s="81"/>
      <c r="F86" s="81"/>
      <c r="G86" s="17"/>
      <c r="H86" s="17"/>
      <c r="I86" s="25"/>
    </row>
    <row r="87" spans="1:9" ht="25.5" customHeight="1">
      <c r="B87" s="17" t="s">
        <v>124</v>
      </c>
      <c r="C87" s="17"/>
      <c r="D87" s="14"/>
      <c r="E87" s="14"/>
      <c r="F87" s="14"/>
      <c r="G87" s="14"/>
      <c r="H87" s="14"/>
    </row>
    <row r="88" spans="1:9" ht="24" customHeight="1">
      <c r="B88" s="26" t="s">
        <v>123</v>
      </c>
      <c r="C88" s="17"/>
      <c r="D88" s="14"/>
      <c r="E88" s="14"/>
      <c r="F88" s="14"/>
      <c r="G88" s="14"/>
      <c r="H88" s="14"/>
    </row>
    <row r="89" spans="1:9" ht="24" customHeight="1">
      <c r="B89" s="17" t="s">
        <v>134</v>
      </c>
      <c r="C89" s="17"/>
      <c r="D89" s="14"/>
      <c r="E89" s="14"/>
      <c r="F89" s="14"/>
      <c r="G89" s="14"/>
      <c r="H89" s="14"/>
    </row>
    <row r="90" spans="1:9" ht="24" customHeight="1">
      <c r="B90" s="17" t="s">
        <v>206</v>
      </c>
      <c r="C90" s="17"/>
      <c r="D90" s="14"/>
      <c r="E90" s="14"/>
      <c r="F90" s="14"/>
      <c r="G90" s="14"/>
      <c r="H90" s="14"/>
    </row>
    <row r="91" spans="1:9" ht="24" customHeight="1">
      <c r="B91" s="17"/>
      <c r="C91" s="17"/>
      <c r="D91" s="14"/>
      <c r="E91" s="14"/>
      <c r="F91" s="14"/>
      <c r="G91" s="14"/>
      <c r="H91" s="14"/>
    </row>
    <row r="92" spans="1:9" ht="24" customHeight="1">
      <c r="B92" s="17"/>
      <c r="C92" s="17"/>
      <c r="D92" s="14"/>
      <c r="E92" s="14"/>
      <c r="F92" s="14"/>
      <c r="G92" s="14"/>
      <c r="H92" s="14"/>
    </row>
    <row r="93" spans="1:9" ht="24" customHeight="1">
      <c r="A93" s="71" t="s">
        <v>42</v>
      </c>
      <c r="C93" s="17"/>
      <c r="D93" s="17"/>
      <c r="E93" s="17"/>
      <c r="F93" s="17"/>
      <c r="G93" s="17"/>
      <c r="H93" s="17"/>
    </row>
    <row r="94" spans="1:9" ht="24" customHeight="1">
      <c r="B94" s="72" t="s">
        <v>39</v>
      </c>
      <c r="C94" s="75"/>
      <c r="D94" s="75"/>
      <c r="E94" s="75"/>
      <c r="F94" s="75"/>
      <c r="G94" s="75"/>
      <c r="H94" s="75"/>
    </row>
    <row r="95" spans="1:9" ht="24" customHeight="1">
      <c r="B95" s="26" t="s">
        <v>100</v>
      </c>
    </row>
    <row r="96" spans="1:9" ht="24" customHeight="1">
      <c r="B96" s="26" t="s">
        <v>188</v>
      </c>
    </row>
    <row r="97" spans="2:2" ht="24" customHeight="1">
      <c r="B97" s="26" t="s">
        <v>176</v>
      </c>
    </row>
    <row r="98" spans="2:2" ht="24" customHeight="1">
      <c r="B98" s="26" t="s">
        <v>180</v>
      </c>
    </row>
    <row r="99" spans="2:2" ht="24" customHeight="1">
      <c r="B99" s="26" t="s">
        <v>166</v>
      </c>
    </row>
    <row r="100" spans="2:2" ht="24" customHeight="1">
      <c r="B100" s="26" t="s">
        <v>167</v>
      </c>
    </row>
    <row r="101" spans="2:2" ht="24" customHeight="1">
      <c r="B101" s="26" t="s">
        <v>169</v>
      </c>
    </row>
    <row r="102" spans="2:2" ht="24" customHeight="1">
      <c r="B102" s="26" t="s">
        <v>168</v>
      </c>
    </row>
    <row r="103" spans="2:2" ht="24" customHeight="1">
      <c r="B103" s="26" t="s">
        <v>171</v>
      </c>
    </row>
    <row r="104" spans="2:2" ht="24" customHeight="1">
      <c r="B104" s="26" t="s">
        <v>170</v>
      </c>
    </row>
    <row r="105" spans="2:2" ht="24" customHeight="1">
      <c r="B105" s="26" t="s">
        <v>185</v>
      </c>
    </row>
    <row r="106" spans="2:2" ht="24" customHeight="1">
      <c r="B106" s="26" t="s">
        <v>173</v>
      </c>
    </row>
    <row r="107" spans="2:2" ht="24" customHeight="1">
      <c r="B107" s="26" t="s">
        <v>191</v>
      </c>
    </row>
    <row r="108" spans="2:2" ht="24" customHeight="1">
      <c r="B108" s="26" t="s">
        <v>172</v>
      </c>
    </row>
    <row r="109" spans="2:2" ht="24" customHeight="1">
      <c r="B109" s="26" t="s">
        <v>174</v>
      </c>
    </row>
    <row r="110" spans="2:2" ht="24" customHeight="1">
      <c r="B110" s="26" t="s">
        <v>184</v>
      </c>
    </row>
    <row r="111" spans="2:2" ht="24" customHeight="1">
      <c r="B111" s="26" t="s">
        <v>177</v>
      </c>
    </row>
    <row r="112" spans="2:2" ht="24" customHeight="1">
      <c r="B112" s="26" t="s">
        <v>178</v>
      </c>
    </row>
    <row r="113" spans="2:9" ht="24" customHeight="1"/>
    <row r="114" spans="2:9" ht="24" customHeight="1"/>
    <row r="115" spans="2:9" ht="24" customHeight="1">
      <c r="B115" s="76" t="s">
        <v>40</v>
      </c>
      <c r="C115" s="14"/>
      <c r="D115" s="14"/>
      <c r="E115" s="14"/>
      <c r="F115" s="14"/>
      <c r="G115" s="14"/>
      <c r="H115" s="14"/>
    </row>
    <row r="116" spans="2:9" ht="24" customHeight="1">
      <c r="B116" s="17" t="s">
        <v>189</v>
      </c>
      <c r="C116" s="25"/>
      <c r="D116" s="25"/>
      <c r="E116" s="14"/>
      <c r="F116" s="14"/>
      <c r="G116" s="14"/>
      <c r="H116" s="14"/>
      <c r="I116" s="25"/>
    </row>
    <row r="117" spans="2:9" ht="24" customHeight="1">
      <c r="B117" s="17" t="s">
        <v>192</v>
      </c>
      <c r="C117" s="25"/>
      <c r="D117" s="25"/>
      <c r="E117" s="14"/>
      <c r="F117" s="14"/>
      <c r="G117" s="14"/>
      <c r="H117" s="14"/>
      <c r="I117" s="25"/>
    </row>
    <row r="118" spans="2:9" ht="24" customHeight="1">
      <c r="B118" s="17"/>
      <c r="C118" s="25"/>
      <c r="D118" s="25"/>
      <c r="E118" s="14"/>
      <c r="F118" s="14"/>
      <c r="G118" s="14"/>
      <c r="H118" s="14"/>
      <c r="I118" s="25"/>
    </row>
    <row r="119" spans="2:9" ht="24" customHeight="1">
      <c r="B119" s="16" t="s">
        <v>41</v>
      </c>
      <c r="C119" s="14"/>
      <c r="D119" s="14"/>
      <c r="E119" s="14"/>
      <c r="F119" s="14"/>
      <c r="G119" s="14"/>
      <c r="H119" s="14"/>
    </row>
    <row r="120" spans="2:9" ht="24" customHeight="1">
      <c r="B120" s="26" t="s">
        <v>179</v>
      </c>
      <c r="C120" s="14"/>
      <c r="D120" s="14"/>
      <c r="E120" s="14"/>
      <c r="F120" s="14"/>
      <c r="G120" s="14"/>
      <c r="H120" s="14"/>
    </row>
    <row r="121" spans="2:9" ht="24" customHeight="1">
      <c r="B121" s="17" t="s">
        <v>201</v>
      </c>
      <c r="C121" s="14"/>
      <c r="D121" s="14"/>
      <c r="E121" s="14"/>
      <c r="F121" s="14"/>
      <c r="G121" s="14"/>
      <c r="H121" s="14"/>
    </row>
    <row r="122" spans="2:9" ht="24" customHeight="1">
      <c r="B122" s="26" t="s">
        <v>187</v>
      </c>
      <c r="C122" s="25"/>
      <c r="D122" s="25"/>
      <c r="E122" s="25"/>
      <c r="F122" s="25"/>
      <c r="G122" s="25"/>
      <c r="H122" s="25"/>
    </row>
    <row r="123" spans="2:9" ht="24" customHeight="1">
      <c r="B123" s="26" t="s">
        <v>175</v>
      </c>
      <c r="C123" s="14"/>
      <c r="D123" s="14"/>
      <c r="E123" s="14"/>
      <c r="F123" s="14"/>
      <c r="G123" s="14"/>
      <c r="H123" s="14"/>
    </row>
    <row r="124" spans="2:9" ht="24" customHeight="1">
      <c r="B124" s="17" t="s">
        <v>183</v>
      </c>
      <c r="C124" s="14"/>
      <c r="D124" s="14"/>
      <c r="E124" s="14"/>
      <c r="F124" s="14"/>
      <c r="G124" s="14"/>
      <c r="H124" s="14"/>
    </row>
    <row r="125" spans="2:9" ht="24" customHeight="1">
      <c r="B125" s="17" t="s">
        <v>182</v>
      </c>
      <c r="C125" s="14"/>
      <c r="D125" s="14"/>
      <c r="E125" s="14"/>
      <c r="F125" s="14"/>
      <c r="G125" s="14"/>
      <c r="H125" s="14"/>
    </row>
    <row r="126" spans="2:9" ht="24" customHeight="1">
      <c r="B126" s="26" t="s">
        <v>181</v>
      </c>
      <c r="C126" s="14"/>
      <c r="D126" s="14"/>
      <c r="E126" s="14"/>
      <c r="F126" s="14"/>
      <c r="G126" s="14"/>
      <c r="H126" s="14"/>
    </row>
    <row r="127" spans="2:9" ht="24" customHeight="1">
      <c r="B127" s="17" t="s">
        <v>186</v>
      </c>
      <c r="C127" s="14"/>
      <c r="D127" s="14"/>
      <c r="E127" s="14"/>
      <c r="F127" s="14"/>
      <c r="G127" s="14"/>
      <c r="H127" s="14"/>
    </row>
    <row r="128" spans="2:9" ht="24" customHeight="1">
      <c r="B128" s="26" t="s">
        <v>190</v>
      </c>
      <c r="C128" s="77"/>
      <c r="D128" s="77"/>
      <c r="E128" s="78"/>
      <c r="F128" s="78"/>
      <c r="G128" s="78"/>
      <c r="H128" s="77"/>
    </row>
    <row r="129" spans="2:8" ht="24" customHeight="1">
      <c r="B129" s="26" t="s">
        <v>193</v>
      </c>
      <c r="C129" s="14"/>
      <c r="D129" s="14"/>
      <c r="E129" s="14"/>
      <c r="F129" s="14"/>
      <c r="G129" s="14"/>
      <c r="H129" s="14"/>
    </row>
    <row r="130" spans="2:8" ht="24" customHeight="1">
      <c r="B130" s="26" t="s">
        <v>194</v>
      </c>
      <c r="C130" s="14"/>
      <c r="D130" s="14"/>
      <c r="E130" s="14"/>
      <c r="F130" s="14"/>
      <c r="G130" s="14"/>
      <c r="H130" s="14"/>
    </row>
    <row r="131" spans="2:8" ht="24" customHeight="1">
      <c r="C131" s="14"/>
      <c r="D131" s="14"/>
      <c r="E131" s="14"/>
      <c r="F131" s="14"/>
      <c r="G131" s="14"/>
      <c r="H131" s="14"/>
    </row>
    <row r="132" spans="2:8" ht="24" customHeight="1">
      <c r="B132" s="15"/>
      <c r="C132" s="14"/>
      <c r="D132" s="14"/>
      <c r="E132" s="14"/>
      <c r="F132" s="14"/>
      <c r="G132" s="14"/>
      <c r="H132" s="14"/>
    </row>
    <row r="133" spans="2:8" ht="24" customHeight="1">
      <c r="B133" s="15"/>
      <c r="C133" s="14"/>
      <c r="D133" s="14"/>
      <c r="E133" s="14"/>
      <c r="F133" s="14"/>
      <c r="G133" s="14"/>
      <c r="H133" s="14"/>
    </row>
    <row r="134" spans="2:8" ht="24" customHeight="1">
      <c r="B134" s="15"/>
      <c r="C134" s="14"/>
      <c r="D134" s="14"/>
      <c r="E134" s="14"/>
      <c r="F134" s="14"/>
      <c r="G134" s="14"/>
      <c r="H134" s="14"/>
    </row>
    <row r="135" spans="2:8" ht="24" customHeight="1">
      <c r="B135" s="15"/>
      <c r="C135" s="14"/>
      <c r="D135" s="14"/>
      <c r="E135" s="14"/>
      <c r="F135" s="14"/>
      <c r="G135" s="14"/>
      <c r="H135" s="14"/>
    </row>
    <row r="136" spans="2:8" ht="24" customHeight="1">
      <c r="B136" s="15"/>
      <c r="C136" s="14"/>
      <c r="D136" s="14"/>
      <c r="E136" s="14"/>
      <c r="F136" s="14"/>
      <c r="G136" s="14"/>
      <c r="H136" s="14"/>
    </row>
    <row r="137" spans="2:8" ht="24" customHeight="1">
      <c r="B137" s="15"/>
      <c r="C137" s="14"/>
      <c r="D137" s="14"/>
      <c r="E137" s="14"/>
      <c r="F137" s="14"/>
      <c r="G137" s="14"/>
      <c r="H137" s="14"/>
    </row>
    <row r="138" spans="2:8" ht="24" customHeight="1">
      <c r="B138" s="15"/>
      <c r="C138" s="14"/>
      <c r="D138" s="14"/>
      <c r="E138" s="14"/>
      <c r="F138" s="14"/>
      <c r="G138" s="14"/>
      <c r="H138" s="14"/>
    </row>
    <row r="139" spans="2:8" ht="24" customHeight="1">
      <c r="B139" s="15"/>
      <c r="C139" s="14"/>
      <c r="D139" s="14"/>
      <c r="E139" s="14"/>
      <c r="F139" s="14"/>
      <c r="G139" s="14"/>
      <c r="H139" s="14"/>
    </row>
    <row r="140" spans="2:8" ht="24" customHeight="1">
      <c r="B140" s="15"/>
      <c r="C140" s="14"/>
      <c r="D140" s="14"/>
      <c r="E140" s="14"/>
      <c r="F140" s="14"/>
      <c r="G140" s="14"/>
      <c r="H140" s="14"/>
    </row>
    <row r="141" spans="2:8" ht="24" customHeight="1">
      <c r="B141" s="15"/>
      <c r="C141" s="14"/>
      <c r="D141" s="14"/>
      <c r="E141" s="14"/>
      <c r="F141" s="14"/>
      <c r="G141" s="14"/>
      <c r="H141" s="14"/>
    </row>
    <row r="142" spans="2:8" ht="24" customHeight="1">
      <c r="B142" s="15"/>
      <c r="C142" s="14"/>
      <c r="D142" s="14"/>
      <c r="E142" s="14"/>
      <c r="F142" s="14"/>
      <c r="G142" s="14"/>
      <c r="H142" s="14"/>
    </row>
    <row r="143" spans="2:8" ht="24" customHeight="1">
      <c r="B143" s="15"/>
      <c r="C143" s="14"/>
      <c r="D143" s="14"/>
      <c r="E143" s="14"/>
      <c r="F143" s="14"/>
      <c r="G143" s="14"/>
      <c r="H143" s="14"/>
    </row>
    <row r="144" spans="2:8" ht="24" customHeight="1">
      <c r="B144" s="15"/>
      <c r="C144" s="14"/>
      <c r="D144" s="14"/>
      <c r="E144" s="14"/>
      <c r="F144" s="14"/>
      <c r="G144" s="14"/>
      <c r="H144" s="14"/>
    </row>
    <row r="145" spans="2:8" ht="24" customHeight="1">
      <c r="B145" s="15"/>
      <c r="C145" s="14"/>
      <c r="D145" s="14"/>
      <c r="E145" s="14"/>
      <c r="F145" s="14"/>
      <c r="G145" s="14"/>
      <c r="H145" s="14"/>
    </row>
    <row r="146" spans="2:8" ht="24" customHeight="1">
      <c r="B146" s="15"/>
      <c r="C146" s="14"/>
      <c r="D146" s="14"/>
      <c r="E146" s="14"/>
      <c r="F146" s="14"/>
      <c r="G146" s="14"/>
      <c r="H146" s="14"/>
    </row>
    <row r="147" spans="2:8" ht="24" customHeight="1">
      <c r="B147" s="15"/>
      <c r="C147" s="14"/>
      <c r="D147" s="14"/>
      <c r="E147" s="14"/>
      <c r="F147" s="14"/>
      <c r="G147" s="14"/>
      <c r="H147" s="14"/>
    </row>
    <row r="148" spans="2:8" ht="24" customHeight="1">
      <c r="B148" s="15"/>
      <c r="C148" s="14"/>
      <c r="D148" s="14"/>
      <c r="E148" s="14"/>
      <c r="F148" s="14"/>
      <c r="G148" s="14"/>
      <c r="H148" s="14"/>
    </row>
    <row r="149" spans="2:8" ht="24" customHeight="1">
      <c r="B149" s="15"/>
      <c r="C149" s="14"/>
      <c r="D149" s="14"/>
      <c r="E149" s="14"/>
      <c r="F149" s="14"/>
      <c r="G149" s="14"/>
      <c r="H149" s="14"/>
    </row>
    <row r="150" spans="2:8" ht="24" customHeight="1">
      <c r="B150" s="15"/>
      <c r="C150" s="14"/>
      <c r="D150" s="14"/>
      <c r="E150" s="14"/>
      <c r="F150" s="14"/>
      <c r="G150" s="14"/>
      <c r="H150" s="14"/>
    </row>
    <row r="151" spans="2:8" ht="24" customHeight="1">
      <c r="B151" s="15"/>
      <c r="C151" s="14"/>
      <c r="D151" s="14"/>
      <c r="E151" s="14"/>
      <c r="F151" s="14"/>
      <c r="G151" s="14"/>
      <c r="H151" s="14"/>
    </row>
    <row r="152" spans="2:8" ht="24" customHeight="1">
      <c r="C152" s="14"/>
      <c r="D152" s="14"/>
      <c r="E152" s="14"/>
      <c r="F152" s="14"/>
      <c r="G152" s="14"/>
      <c r="H152" s="14"/>
    </row>
    <row r="153" spans="2:8" ht="24" customHeight="1">
      <c r="C153" s="14"/>
      <c r="D153" s="14"/>
      <c r="E153" s="14"/>
      <c r="F153" s="14"/>
      <c r="G153" s="14"/>
      <c r="H153" s="14"/>
    </row>
    <row r="154" spans="2:8" ht="24" customHeight="1">
      <c r="C154" s="14"/>
      <c r="D154" s="14"/>
      <c r="E154" s="14"/>
      <c r="F154" s="14"/>
      <c r="G154" s="14"/>
      <c r="H154" s="14"/>
    </row>
    <row r="155" spans="2:8" ht="24" customHeight="1">
      <c r="C155" s="14"/>
      <c r="D155" s="14"/>
      <c r="E155" s="14"/>
      <c r="F155" s="14"/>
      <c r="G155" s="14"/>
      <c r="H155" s="14"/>
    </row>
    <row r="156" spans="2:8" ht="24" customHeight="1">
      <c r="C156" s="14"/>
      <c r="D156" s="14"/>
      <c r="E156" s="14"/>
      <c r="F156" s="14"/>
      <c r="G156" s="14"/>
      <c r="H156" s="14"/>
    </row>
    <row r="157" spans="2:8" ht="24" customHeight="1">
      <c r="C157" s="14"/>
      <c r="D157" s="14"/>
      <c r="E157" s="14"/>
      <c r="F157" s="14"/>
      <c r="G157" s="14"/>
      <c r="H157" s="14"/>
    </row>
    <row r="158" spans="2:8">
      <c r="C158" s="14"/>
      <c r="D158" s="14"/>
      <c r="E158" s="14"/>
      <c r="F158" s="14"/>
      <c r="G158" s="14"/>
      <c r="H158" s="14"/>
    </row>
  </sheetData>
  <mergeCells count="17">
    <mergeCell ref="A3:H3"/>
    <mergeCell ref="A1:I1"/>
    <mergeCell ref="A13:B13"/>
    <mergeCell ref="A2:H2"/>
    <mergeCell ref="B5:H5"/>
    <mergeCell ref="B7:H7"/>
    <mergeCell ref="B6:H6"/>
    <mergeCell ref="B82:H82"/>
    <mergeCell ref="B83:H83"/>
    <mergeCell ref="B48:J48"/>
    <mergeCell ref="B86:F86"/>
    <mergeCell ref="B78:D78"/>
    <mergeCell ref="B57:M59"/>
    <mergeCell ref="B79:G79"/>
    <mergeCell ref="B80:G80"/>
    <mergeCell ref="B81:H81"/>
    <mergeCell ref="B63:U63"/>
  </mergeCells>
  <phoneticPr fontId="5" type="noConversion"/>
  <pageMargins left="0.59055118110236227" right="0.15748031496062992" top="0.74803149606299213" bottom="0.74803149606299213" header="0.31496062992125984" footer="0.31496062992125984"/>
  <pageSetup paperSize="9" scale="6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Total Table</vt:lpstr>
      <vt:lpstr>Summary</vt:lpstr>
      <vt:lpstr>'Total Table'!Print_Area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เบญจวรรณ ยืนยงค์</dc:creator>
  <cp:lastModifiedBy>maneerat nerwong</cp:lastModifiedBy>
  <cp:lastPrinted>2024-05-20T07:51:08Z</cp:lastPrinted>
  <dcterms:created xsi:type="dcterms:W3CDTF">2023-02-02T03:43:01Z</dcterms:created>
  <dcterms:modified xsi:type="dcterms:W3CDTF">2025-10-15T09:01:46Z</dcterms:modified>
</cp:coreProperties>
</file>