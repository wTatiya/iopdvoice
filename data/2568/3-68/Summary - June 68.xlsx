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45.246\Quality\Aaa\ESB\2568\6. June 68\"/>
    </mc:Choice>
  </mc:AlternateContent>
  <xr:revisionPtr revIDLastSave="0" documentId="13_ncr:1_{04A4914E-0014-496E-AF0E-B047ED6BB9E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0">'Total Table'!$A$1:$N$116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8" i="1" l="1"/>
  <c r="G45" i="1"/>
  <c r="O45" i="1"/>
  <c r="R45" i="1"/>
  <c r="Q45" i="1"/>
  <c r="P45" i="1"/>
  <c r="N45" i="1"/>
  <c r="J22" i="1"/>
  <c r="H22" i="1"/>
  <c r="I22" i="1"/>
  <c r="F91" i="1"/>
  <c r="K68" i="1"/>
  <c r="M45" i="1"/>
  <c r="L45" i="1"/>
  <c r="K45" i="1"/>
  <c r="J45" i="1"/>
  <c r="H45" i="1"/>
  <c r="F45" i="1"/>
  <c r="E45" i="1"/>
  <c r="D45" i="1"/>
  <c r="C45" i="1"/>
  <c r="B45" i="1"/>
  <c r="Q22" i="1"/>
  <c r="P22" i="1"/>
  <c r="O22" i="1"/>
  <c r="N22" i="1"/>
  <c r="M22" i="1"/>
  <c r="L22" i="1"/>
  <c r="K22" i="1"/>
  <c r="G22" i="1"/>
  <c r="F22" i="1"/>
  <c r="E22" i="1"/>
  <c r="C22" i="1"/>
  <c r="B22" i="1"/>
  <c r="G68" i="1"/>
  <c r="C91" i="1"/>
  <c r="B91" i="1"/>
  <c r="E68" i="1"/>
  <c r="O91" i="1" l="1"/>
  <c r="L68" i="1" l="1"/>
  <c r="M68" i="1"/>
  <c r="N68" i="1"/>
  <c r="P68" i="1"/>
  <c r="P91" i="1"/>
  <c r="D91" i="1"/>
  <c r="E91" i="1"/>
  <c r="G91" i="1"/>
  <c r="H91" i="1"/>
  <c r="I91" i="1"/>
  <c r="J91" i="1"/>
  <c r="K91" i="1"/>
  <c r="L91" i="1"/>
  <c r="M91" i="1"/>
  <c r="B68" i="1"/>
  <c r="C68" i="1"/>
  <c r="D68" i="1"/>
  <c r="F68" i="1"/>
  <c r="I68" i="1"/>
  <c r="J68" i="1"/>
</calcChain>
</file>

<file path=xl/sharedStrings.xml><?xml version="1.0" encoding="utf-8"?>
<sst xmlns="http://schemas.openxmlformats.org/spreadsheetml/2006/main" count="406" uniqueCount="235">
  <si>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</si>
  <si>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</si>
  <si>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</si>
  <si>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</si>
  <si>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</si>
  <si>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</si>
  <si>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</si>
  <si>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จักษุ</t>
  </si>
  <si>
    <t>จำนวนใบประเมิน</t>
  </si>
  <si>
    <t>ระดับคะแนนเฉลี่ย</t>
  </si>
  <si>
    <t>คิดเป็นร้อยละ</t>
  </si>
  <si>
    <t>ไตเทียม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</si>
  <si>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</si>
  <si>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</si>
  <si>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</si>
  <si>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</si>
  <si>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</si>
  <si>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</si>
  <si>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</si>
  <si>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</si>
  <si>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</si>
  <si>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</si>
  <si>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</si>
  <si>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</si>
  <si>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</si>
  <si>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</si>
  <si>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</si>
  <si>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</si>
  <si>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</si>
  <si>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</si>
  <si>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</si>
  <si>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</si>
  <si>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</si>
  <si>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</si>
  <si>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</si>
  <si>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</si>
  <si>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</si>
  <si>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</si>
  <si>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</si>
  <si>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</si>
  <si>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</si>
  <si>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</si>
  <si>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</si>
  <si>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</si>
  <si>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</si>
  <si>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</si>
  <si>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</si>
  <si>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</si>
  <si>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</si>
  <si>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</si>
  <si>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</si>
  <si>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</si>
  <si>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</si>
  <si>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</si>
  <si>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</si>
  <si>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</si>
  <si>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</si>
  <si>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</si>
  <si>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</si>
  <si>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</si>
  <si>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</si>
  <si>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</si>
  <si>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</si>
  <si>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</si>
  <si>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</si>
  <si>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</si>
  <si>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</si>
  <si>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</si>
  <si>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</si>
  <si>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</si>
  <si>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หัตถการ</t>
  </si>
  <si>
    <t>ห้องบัตร ชั้น 1</t>
  </si>
  <si>
    <t>HBO</t>
  </si>
  <si>
    <t>1. แพทย์ให้ความสำคัญกับการตรวจร่างกายเพื่อวินิจฉัยโรค</t>
  </si>
  <si>
    <t>2. แพทย์ให้ข้อมูล/แนะนำวิธีการและทางเลือกในการรักษา</t>
  </si>
  <si>
    <t>3. คำถามและข้อสงสัย ได้รับคำตอบที่ชัดเจนจากแพทย์</t>
  </si>
  <si>
    <t>4. แพทย์รับฟัง/พูดคุยให้ท่านคลายความกังวลในอาการเจ็บป่วย</t>
  </si>
  <si>
    <t>5. ท่านได้มีโอกาสพูดคุยกับพยาบาลหรือเจ้าหน้าที่เรื่องอาการเจ็บป่วย</t>
  </si>
  <si>
    <t>6. พยาบาลเจ้าหน้าที่สามารถตอบข้อสงสัยได้ชัดเจน</t>
  </si>
  <si>
    <t>7. ท่านได้รับการดูแลเอาใจใส่</t>
  </si>
  <si>
    <t>8. ท่านมีส่วนร่วมในการตัดสินใจเรื่องการรักษาพยาบาล</t>
  </si>
  <si>
    <t>9. ท่านได้รับการดูแลอย่างเท่าเทียม ไม่เลือกปฏิบัติ</t>
  </si>
  <si>
    <t>10. ท่านได้รับคำแนะนำและขั้นตอนในการรับบริการโรงพยาบาล</t>
  </si>
  <si>
    <t>11. อาการเจ็บป่วยทางกายและใจได้รับการดูแลอย่างดี</t>
  </si>
  <si>
    <t>12. แพทย์เปิดโอกาสให้ผู้ป่วย/ญาติได้ซักถาม</t>
  </si>
  <si>
    <t>13. ผู้ป่วยและญาติได้รับข้อมูลการรักษาที่เป็นประโยชน์ สามารถดูแลตัวเองได้</t>
  </si>
  <si>
    <t>14. ท่านได้รับข้อมูลการใช้ยาและผลข้างเคียงอย่างชัดเจน</t>
  </si>
  <si>
    <t>15. ท่านได้รับคำแนะนำอย่างชัดเจนถึงอาการที่ควรกลับมาพบแพทย์</t>
  </si>
  <si>
    <t>16. ท่านพึงพอใจต่อการบริการของโรงพยาบาลโดยรวมในระดับใด</t>
  </si>
  <si>
    <t>PICU</t>
  </si>
  <si>
    <t>20B</t>
  </si>
  <si>
    <t>20C</t>
  </si>
  <si>
    <t>CCU</t>
  </si>
  <si>
    <t>เคมีบำบัด
และโรคเลือด</t>
  </si>
  <si>
    <t>ผ่าตัด 
นอกเวลา</t>
  </si>
  <si>
    <t>การเงิน 
และบัญชี</t>
  </si>
  <si>
    <t>สรุปการประเมินผล OP-IP VOICE เดือนมิถุนายน 2568</t>
  </si>
  <si>
    <t>1099</t>
  </si>
  <si>
    <t>34</t>
  </si>
  <si>
    <t>22 Stroke</t>
  </si>
  <si>
    <t>หอบ</t>
  </si>
  <si>
    <t>189</t>
  </si>
  <si>
    <t xml:space="preserve">ค่าเฉลี่ยความพึงพอใจการใช้บริการของโรงพยาบาล OPD =  87.20% IPD = 91.46%  </t>
  </si>
  <si>
    <t>ค่าเฉลี่ยการแนะนำญาติหรือคนรู้จักให้มาใช้บริการที่โรงพยาบาล  OPD = 96.72% IPD = 96.28%</t>
  </si>
  <si>
    <t>-	รอแต่ระบบ ไม่มีการตัดสินใจหน้างานได้เลยสักคน ระบบล่มแทนที่จะรีบตัดสินใจและหาวิธีแก้ไข</t>
  </si>
  <si>
    <t xml:space="preserve">-	ห้องน้ำชายชั้น 1 โถปัสสาวะ และอ่างล้างมือชำรุดเกือบหมด </t>
  </si>
  <si>
    <t>-	จุดตรวจสอบสิทธิและลงทะเบียนควรที่จะดำเนินให้เรียบร้อย ณ จุดเดียว ไม่ต้องแยกส่วนกัน ต้องเดินไปเดินมา ไปต่อแถวใหม่ เสียเวลา</t>
  </si>
  <si>
    <t>-	เจ้าหน้าที่ยังขาดการให้ความรู้การปฏิบัติตัวหลังตัดไหมให้กับคนไข้ ห้อง treatment ที่ทำการ off staple ที่แผลคนไข้ วางของกระจัดกระจาย รถทำแผลจัดวางไม่เป็นระเบียบ สภาพเหมือนผ่านสนามรบมา ไม่มีเจ้าหน้าที่ช่วยเหลือเคลื่อนย้ายคนไข้ขึ้นเตียงตรวจ ควรปรับปรุงเพื่อให้สภาพห้องพร้อมให้บริการคนไข้</t>
  </si>
  <si>
    <t>-	ช่องลงทะเบียน 1 ช่อง มีน้อยไป คนไข้มีจำนวนมาก</t>
  </si>
  <si>
    <t>-	เรื่องการประสานงานระหว่างแผนก เอกสาร หรืออื่น ๆ รู้สึกว่ายังมีความคลาดเคลื่อน และเข้าใจไม่ตรงกัน ทำให้คนไข้เกิดความสับสน</t>
  </si>
  <si>
    <t>-	เมื่อตรวจเสร็จต้องรอเจ้าหน้าที่ห้องยามาก่อนถึงจะจ่ายเงินที่ช่องการเงินได้ ซึ่งเจ้าหน้าที่ห้องยามาช้ามาก ต้องรอนานกว่าครึ่งชั่วโมง ทำให้ทุกอย่างล่าช้าไปหมด</t>
  </si>
  <si>
    <t xml:space="preserve">-	ช่วงซักประวัติรอนาน </t>
  </si>
  <si>
    <t>-	ต้องรอตามขั้นตอนต่าง ๆ ใช้เวลานาน</t>
  </si>
  <si>
    <t>-	ปากกาสำหรับกรอกข้อมูลน้อยเกินไป</t>
  </si>
  <si>
    <t>-	การตรงเวลาและการสับเปลี่ยนกะช่วงเวลาพักเที่ยงแพทย์และพยาบาลควรมีการสลับกันพักจะได้ตรวจอย่างต่อเนื่อง</t>
  </si>
  <si>
    <t>-	ในขั้นตอนการตรวจระบบการให้บริการรวมชั้น 4 จำนวนตรวจต่อวันให้บริการล้าช้ามากมารับบัตรคิวตั้งแต่ 9.00 น. รอคิวตรวจถึงเวลาตรวจได้เข้าตรวมเวลา 22.00 น. ท่านคิดว่าปกติหรือว่าเหมาะสมแล้วใช่ไหมหรือมีแนวทางแนะนำได้สอบถามคุณหมอถ้าจะให้เร็วต้องมารับคิวตอนตี 4 ตี 5 ครับหรือไปใช้บริการเอกชน ก็ดีครับเป็นคำแนะให้เป็นทางเลือก ได้สอบถามพยาบาลว่าทำไมถึงต้องรอนานขนาดนี้ได้คำตอบว่าคุณหมอท่านลาออกไปเกือบครึ่งจึงไม่เพียงพอดี แล้วจะแก้ไขอย่างไรดีครับหรือต้องยอมและก็รอถึงเทียงคืนแล้วลงไปรอตรวจต่อที่ชั้น 1</t>
  </si>
  <si>
    <t>-	เช้ามาหาหมอบอกคิวหมด ก็เลยมาตอนเย็น รอจน 19.00 น. แล้วก็ยังไม่เรียกคิว</t>
  </si>
  <si>
    <t>-	จุดตรวจเอกสาร ควรมีเจ้าหน้าที่มากว่านี้</t>
  </si>
  <si>
    <t>-	แพทย์ออกตรวจช้า มาตามนัดเวลา 9.00 น. แต่กว่าจะได้พบแพทย์ก็เป็นช่วงบ่ายเลย</t>
  </si>
  <si>
    <t>-	ติดต่อยากมาก โทรมาไม่มีคนรับเลย</t>
  </si>
  <si>
    <t>-	ถ้าการรักษาที่ต้องผ่าตัดแล้วหายก็ควรให้ผ่าตัดไปเลย ไม่จำเป็นต้องให้ผู้ป่วยมารักษาทางอื่นก่อนต้องไปมาหลายรอบ</t>
  </si>
  <si>
    <t>-	ไม่ค่อยสนใจผู้ป่วย</t>
  </si>
  <si>
    <t xml:space="preserve">-	ควรปรับปรุงให้มาก ๆ </t>
  </si>
  <si>
    <t>-	แผนกการเงิน ควรใช้คำพูดและถ้อยคำมีมารยาท</t>
  </si>
  <si>
    <t>-	มีผู้ป่วยจำนวนมากอยากมารักษาที่นี่ แต่บริการการักษารับแค่ผู้ป่วย 30 บาท ในเขตศรีราชาเท่านั้น เป็นเรื่องที่น่าเสียดายมาก ๆ</t>
  </si>
  <si>
    <t xml:space="preserve">-	ปริมาณของบุคลากรในช่วงที่ผู้ป่วยมีจำนวนมากไม่เพียงพอ </t>
  </si>
  <si>
    <t>-	การประกาศเรียกคิวมีความสับสน ควรทำให้เข้าใจง่ายกว่านี้เพื่อลดความแอดอัด</t>
  </si>
  <si>
    <t>-	แอร์ชั้น 5 คลินิกเด็กดี ร้อนมาก</t>
  </si>
  <si>
    <t>-	ร้านค้าในโรงพยาบาลน้อยจนเกินไป</t>
  </si>
  <si>
    <t>-	รอตรวจนานเกินไป</t>
  </si>
  <si>
    <t>-	อยากให้แพทย์ตรวจไวกว่านี้</t>
  </si>
  <si>
    <t>-	การบริการ อยากให้ปรับจุดลงทะเบียน ให้มีเพิ่มขึ้น</t>
  </si>
  <si>
    <t>-	อยากให้มีคิวแยกสำหรับผู้ป่วยรถนั่งหรือรถนอน รอตรวจทั้งวันผู้ป่วยรอไม่ไหว</t>
  </si>
  <si>
    <t>-	ปรับปรุงเรื่องการแต่งกายของแพทย์</t>
  </si>
  <si>
    <t>-	เก้าอี้ที่นั่งรอตรวจน้อยไป (คลินิกอายุรกรรม)</t>
  </si>
  <si>
    <t>-	แอร์เย็นมาก  (คลินิกอายุรกรรม)</t>
  </si>
  <si>
    <t>-	ควรมีจุดบริการน้ำดื่ม (คลินิกอายุรกรรม)</t>
  </si>
  <si>
    <t>-	ลานจอรถของผู้มารับบริการและเจ้าหน้าที่ควรแยกกันให้ชัดเจน</t>
  </si>
  <si>
    <t>-	บางจุดเป็นมุมอับ แอร์เข้าไม่ถึง เช่น หน้าห้อง X-ray คนมารอเยอะแออัด ควรเพิ่มพัดลมเพื่อรระบายอากาศ</t>
  </si>
  <si>
    <t>-	แพทย์มีน้อย (2)</t>
  </si>
  <si>
    <t>-	เก้าอี้ไม่เพียงพอต่อจำนวนผู้ป่วยและญาติ หรือควรจัดการให้ด้านในเป็นจุดที่นั่งแค่ผู้ป่วยท ญาติให้รอด้านนอก (คลินิกสูติ-นรีเวชกรรม)</t>
  </si>
  <si>
    <t>-	ปรับปรุงขั้นตอนการให้บริการที่สั้นและกระชับลดขั้นตอนที่ไม่จำเป็นลงเช่นบริการฉีดวัคซีนที่ต่อเนื่อง ไม่ควรมีขั้นตอนที่ไม่จำเป็น</t>
  </si>
  <si>
    <t>-	รอยานานมาก บุคลการน้อยเกินไป</t>
  </si>
  <si>
    <t>-	ที่นั่งพักคอยรอรับยา รอจ่ายเงิน น้อยเกินไปไม่เพียงพอต่อผู้ใช้บริการ</t>
  </si>
  <si>
    <t>-	รอใบนัดนาน</t>
  </si>
  <si>
    <t>-	ที่จอดรถเสียเงินเยอะ และมีไม่เพียงพอ</t>
  </si>
  <si>
    <t>-	ที่นั่งสำหรับรอคิวตอนเช้าไม่เพียงพอ</t>
  </si>
  <si>
    <t xml:space="preserve">-	ไม่ควรให้ผู้ป่วยที่ไม่ใส่แมสเข้าโรงพยาบาล เพราะไม่เคารพสิทธิผู้อื่น </t>
  </si>
  <si>
    <t>-	การแจกบัตรคิวเข้าตึกควรปรับปรุง</t>
  </si>
  <si>
    <t xml:space="preserve">-	อยากให้สิทธิประกันสังคมไม่ต้องเดินไปเดินมากหลายจุด </t>
  </si>
  <si>
    <t xml:space="preserve">-	อยากให้มีแพทย์เพิ่มในวันหยุด โดยให้เก็บค่านอกเวลาให้แพทย์เพิ่มก็ได้	 </t>
  </si>
  <si>
    <t>-	สถานที่จอดรถน้อยเกินไป</t>
  </si>
  <si>
    <t>-	ช้า รอนาน (4)</t>
  </si>
  <si>
    <t>-	รอคิวนาน (2)</t>
  </si>
  <si>
    <t>-	รอยานาน (6)</t>
  </si>
  <si>
    <t xml:space="preserve">-	ไม่ชัดเจน บางรายการที่จะต้องชำระเอง บางครั้งได้คำแนะนำแต่บางครั้งก็ไม่ได้คำแนะนำว่าจะต้องมีบางรายการที่ต้องชำระ </t>
  </si>
  <si>
    <t>-	รอแพทย์นาน (3)</t>
  </si>
  <si>
    <t>-	การสื่อสารให้ใช้ไมค์ทุก ๆ ครั้งเพราะบางทีเสียงเรียกดังเบามากให้ผู้ที่มาใช้บริการไม่ค่อยได้ยินซักเท่าไร</t>
  </si>
  <si>
    <t>-	ที่จอดรถต้องปรับปรุงอย่างเร่งด่วน ที่จอดใหม่ทางขึ้นลงแคบ เสี่ยงชน การรับการรักษาใช้เวลานานเกินเวลาที่ให้จอดฟรี มีที่จอดน้อยเกินไป มารับการรักษาทุกครั้งต้องไปจอดที่เทศบาลแล้วเดินมาโรงพยาบาล</t>
  </si>
  <si>
    <t>-	ปรับปรุงการสื่อสาร</t>
  </si>
  <si>
    <t>-	การรอคิวเข้าตึก ควรจัดพื้นที่ให้เพียงพอและเป็นระเบียบมากกว่านี้</t>
  </si>
  <si>
    <t>-	สิ่งที่สงสัยมาก ว่าทำไมต้องมีคิวเข้ารับการรักษาที่หน้าโรงพยาบาล  ทำไมถึงไม่ปล่อยให้เป็นไปตามธรรมชาติ ใครมาก่อนเข้ารักษาก่อน ลงทะเบียนไว้เลย ไม่ต้องมารอบัตรคิวก่อนมาลงทะเบียน</t>
  </si>
  <si>
    <t xml:space="preserve">-	ที่จอดรถน้อย คับแคบ (2) </t>
  </si>
  <si>
    <t>-	ควรมีความชัดเจนเรื่องเอกสาร จะได้ไม่ต้องเดินหลายที่</t>
  </si>
  <si>
    <t>-	ปรับปรุงเรื่องอาหาร (2)</t>
  </si>
  <si>
    <t>-	ควรมีพื้นที่พักรอของญาติ (HBO)</t>
  </si>
  <si>
    <t>-	ควรมีห้องเปลี่ยนเสื้อผ้าสำหรับผู้ป่วย will chair (HBO)</t>
  </si>
  <si>
    <t>-	ควรมีห้องเปลี่ยนเสื้อผ้า และห้องน้ำที่เป็นสัดเป็นส่วน (HBO)</t>
  </si>
  <si>
    <t>-	ควรมีห้องสำหรับให้ปรึกษาแพทย์แบบส่วนตัว เพราะข้อมูลบางอย่างก็ไม่อยากให้ผู้อื่นทราบ (HBO)</t>
  </si>
  <si>
    <t>-	ควรมีห้องน้ำสำหรับผู้ป่วยและญาติ (HBO)</t>
  </si>
  <si>
    <t>-	ควรมีห้องน้ำ หรือย้ายห้องเข้าไปที่ตึก เพราะเดินไปมาค่อนข้างลำบาก (HBO)</t>
  </si>
  <si>
    <t>-	อาหารเย็นมาก ควรปรับปรุง เพราะเย็นเหมือนออกจากตู้เย็น แข็ง กินไม่ได้</t>
  </si>
  <si>
    <t>-	มีน้ำอุ่นแต่ไม่สามารถใช้ได้ เปิดทิ้งไว้นานก็ยังอุ่น (18B)</t>
  </si>
  <si>
    <t>-	ควรมีเก้าอี้สำหรับญาติที่มาเยี่ยม (18C)</t>
  </si>
  <si>
    <t>-	โซฟาหน้าห้องผ่าตัด ขาดและยุบทั้งสองตัว</t>
  </si>
  <si>
    <t>-	Sometime I speak too loudly. I understand that patients have many different situation to deal with, but I have to dontrol my emotional state. Feeling like there is a partisan divide dan afteat my work.</t>
  </si>
  <si>
    <t xml:space="preserve">-	ในบางครั้งอาจจะพูดคุยเล่นเสียงดังเกินไป ทำให้ผู้ป่วยพักผ่อนได้ไม่เต็มที่เท่าไหร่ แต่เข้าใจได้ว่าการทำงามีความเครียด แต่หากปรับให้น้อยลงหน่อยจะดีมาก </t>
  </si>
  <si>
    <t>-	คิวการรักษายาวมาก</t>
  </si>
  <si>
    <t>-	ออกมาจากห้องผ่าตัด ได้รับอาหารเป็นราดหน้า แต่ผักในราดหน้ามีความแข็ง</t>
  </si>
  <si>
    <t>-	การชำระเงินของยานอกบัญชี ไม่ควรเก็บกับผู้ป่วยโดยตรง ทางเพจของ สปสช. แจ้งว่าไม่ต้องชำระ เป็นหน้าที่ของทางโรงพยาบาลที่ต้องเรียกเก็บกับกรมบัญชีกลางเอง และผู้ป่วยไม่ได้เรียกร้องขอใช้ยานอกบัญชี เพราะฉะนั้นผู้ป่วยไม่ควรต้องมารับผิดชอบ</t>
  </si>
  <si>
    <t>-	ปรับปรุงการบริการ ควรดูแลผู้ป่วยก่อนทำงานรูทีน</t>
  </si>
  <si>
    <t>-	อยากให้มียาระบายสำหรับคนที่ถ่ายไม่ได้</t>
  </si>
  <si>
    <t>-	การดำเนินการเรื่องรอกลับบ้านนานไปหน่อยควรปรับปรุงให้เร็วขึ้นกว่านี้</t>
  </si>
  <si>
    <t>-	อาหารจืดไป (2)</t>
  </si>
  <si>
    <t>-	ปรับปรุงเรื่องรสชาติอาหาร (2)</t>
  </si>
  <si>
    <t>-	อาหารรสชาติไม่อร่อย</t>
  </si>
  <si>
    <t xml:space="preserve">-	การประสานงานระหว่างรอขึ้นห้องไม่ทราบว่าติดขั้นตอนอะไรถึงได้ใช้เวลารอนานมาก </t>
  </si>
  <si>
    <t>-	หนาวเกินไปควรปรับอุณหภูมิให้เย็นลงได้ (22C)</t>
  </si>
  <si>
    <t xml:space="preserve">-	อธิบายเร็วมากฟังไม่ทัน
 </t>
  </si>
  <si>
    <t xml:space="preserve">-	ปรับปรุงแจ้งเรื่องเวลา 
</t>
  </si>
  <si>
    <t>-	การผ่าคลอดไม่ควรรอนานเกินไป ทำคลอดช้า</t>
  </si>
  <si>
    <t>-	การส่งเวรพยาบาลกับหมอเวรที่เข้าตรวจ การส่งเวร นอกเหนือจากอาการต่าง ๆ แล้ว อยากให้เพิ่มเหตุการณ์ที่เกิดขึ้นเกี่ยวกับการรักษาที่อาจจะมองข้ามไปนิด ๆ หน่อย ๆ</t>
  </si>
  <si>
    <t>-	อยากให้เพิ่มคู่สัญญากับบริษัทกรุงเทพประกันชีวิต เพื่อให้สามารถ Fax claim ได้</t>
  </si>
  <si>
    <t>-	หมอนผู้ป่วยแข็งเกินไป (24A)</t>
  </si>
  <si>
    <t>-	การใช้ Wifi ยากมาก หลุดง่าย (24A)</t>
  </si>
  <si>
    <t>-	ได้ให้คำแนะนำเจ้าที่หน้าที่พูดจาด้วยน้ำเสียงไม่ดี และให้ข้อมูลคนไข้ไม่ครบถ้วน ทางหัวหน้าเวรก็ได้แนะนำเจ้าหน้าท่านนั้นและปรับปรุงตัว (25A)</t>
  </si>
  <si>
    <t>-	การที่ญาติหรือคนไข้แนะนำหรือติเตียนคืออยากให้มีการปรับปรุงแก้ไขเพื่อไม่ให้เกิดกับท่านอื่น แต่เจ้าหน้าที่แผนกนี้ (ผู้ช่วยพยาบาลตัวเล็ก ๆ ) กลับมองว่าญาติเยอะใส่เจ้าหน้าที่ ซึ่งการที่เจ้าหน้าที่บริการให้คำแนะนำไม่ดี ไม่ครบถ้วน พูดจาด้วยน้ำเสียงดีหน้าไม่ดี ทางญาติมองว่ามีสิทธิ์ที่จะพูดในสิ่งที่ได้รับ แต่เจ้าหน้าที่มาพูดใส่ญาติผู้ป่วยลับหลัง รับไม่ได้อย่างมากค่ะ เหตุการณ์เกิด ประมาณ 18:40 น. ทางผู้ป่วยได้มีคนจากที่ทำงานมาเยี่ยม ทางญาติไม่ทราบว่าเยี่ยมได้ทีละกี่คน จึงจะเดินไปสอบถามพยาบาลที่เคาน์เตอร์และขออนุญาตพยาบาลขอให้เข้าเยี่ยม 10 นาที ที่คนมาเยี่ยมอยู่ในห้องแล้ว 4 คน (พยาบาลได้อนุญาตแล้ว) และไปซื้อข้าวทาน ซึ่งไม่ทราบมาก่อนว่าจะมีคนมาเยี่ยมเพิ่มที่รอหน้าประตูแผนก ตอนนั้น รปภ. ที่เฝ้าได้เข้ามาขอพยาบาลว่าให้คนอยู่ด้านนอกมาเยี่ยมได้ไหม ห้อง 109 ผู้ช่วยพยาบาลท่านนั้นตอบ รปภ. ไปว่า ให้เขามาเลย ห้องนี้เรื่องเยอะ ซึ่งทางญาติได้นั่งรอ รปภ. เปิดประตูให้จึงได้ยินคำพูดนี้ เราคิดว่าคำพูดพวกนี้ไม่ควรเกิดขึ้นเลยนะ ไม่ว่ากับใคร จะใช้สิทธิ์อะไรรักษา จะจนจะรวย เจ้าหน้าที่ควรพูดจาและกิริยาที่ดีกว่านี้ ทางญาติเคยใช้บริการที่จุฬากรุงเทพบริการดีมากเลย เราคิดว่าเรื่องติเตียนก่อนหน้าจะนำมาปรับปรุงไม่คิดว่าจะถูกพูดใส่แบบนี้ แต่พอมาที่นี่ ผิดหวังกับแผนกนี้มากค่ะ</t>
  </si>
  <si>
    <t>-	การเข้าพบผู้ป่วย มีเจ้าหน้าที่มาจากหลายแผนก แต่ไม่มีการแนะนำตัวให้ผู้ป่วยทราบ ทำให้ผู้ป่วยตกใจและไม่กล้าเปิดเผยข้อมูล</t>
  </si>
  <si>
    <t>-	รอห้องนานเกินไป</t>
  </si>
  <si>
    <t>-	แอร์เย็นมาก ปรับอุณหภูมิไม่ได้ (25A)</t>
  </si>
  <si>
    <t>-	ที่จอดรถไม่ดี</t>
  </si>
  <si>
    <t>-	ชุดจานชามในห้องน้อยไป  (25A)</t>
  </si>
  <si>
    <t>-	กระบวนการเอกสาร ค่อนข้างช้า</t>
  </si>
  <si>
    <t>-	ห้องน้ำผู้ป่วยควรมีที่กั้นระหว่างห้องน้ำและห้องอาบน้ำ เพื่อกันลื่น (25B)</t>
  </si>
  <si>
    <t>-	ควรมีรองเท้าสำหรับใส่ในห้อง  (25B)</t>
  </si>
  <si>
    <t>-	ในห้องนอนที่รอฟื้นหลังผ่าตัด มีการพูดคุยเสียงดังเกินไป</t>
  </si>
  <si>
    <t xml:space="preserve">-	ระยะเวลารอคอยในการรอกลับบ้านนานมาก </t>
  </si>
  <si>
    <t>-	รอจ่ายเงินนาน</t>
  </si>
  <si>
    <t>-	ต้องยิ้มแย้ม มากกว่านี้</t>
  </si>
  <si>
    <t>-	อาจจะช้าบ้าง เนื่องจากคนเยอะ และรอคิวนาน</t>
  </si>
  <si>
    <t>-	อาคารเก่าไปหน่อย (สว่างวัฒนา)</t>
  </si>
  <si>
    <t>อันดับ 1 การให้บริการโดยรวม (OPD : 52  IPD : 25 )</t>
  </si>
  <si>
    <t>อันดับ 3 การทำงานและพฤติกรรมของบุคลากร (OPD : 7  IPD : 4)</t>
  </si>
  <si>
    <t>-	ตรวจช้า มาด้วยอาการปวดท้อง ถ่ายเหลวประมาณ 20 ครั้ง คลื่นใส้ พะอืดพะอม ทานอาหารไม่ได้  มารอตั้งแต่ 16.29 น. รอจน 18.20 น. แล้วก็ยังไม่ได้ตรวจ ควรปรับปรุง และควรมีการประเมินผู้ป่วย ลำดับ ความสำคัญ และบุคลากรว่าเพียงพอต่อผู้ป่วยไหม</t>
  </si>
  <si>
    <t xml:space="preserve">-	ปรับปรุงระบบการใช้บัตรประชาชนตัวจริง เพราะผู้ป่วยลืมเอามา ควรให้ยืนยันตัวตนผ่านระบบ Thai ID เพราะถ้าไม่ให้ยืนยันตัวช่องทางอื่น ก็จะไม่ได้ใช้สิทธิตนเอง เสียเวลาเบิกจ่ายในภายหลัง </t>
  </si>
  <si>
    <t>-	ขั้นตอนในการรับยาและจ่ายเงินที่ชั้น 6 ควรปรับปรุง ผู้รับบริการสับสนขั้นตอน ติดป้ายที่ชัดเจนมากพอ (A4 ที่ติดหน้าห้องการเงินเล็กเกินไป) หรือมีเจ้าหน้าที่ค่อยแนะนำด้านหน้า เจ้าหน้าที่ห้องเภสัช และการเงิน วันที่ 19 มิ.ย 68 ช่วงเวลา 11.00-12.00 น. ไม่แนะนำขั้นตอนที่ชัดเจนเมื่อไปถาม ทั้ง 2 ฝ่ายต่างบอกให้ติดต่ออีกฝ่าย</t>
  </si>
  <si>
    <t>-	แพทย์และพยาบาลมีเวลาพักเที่ยง 1 ชั่วโมง ตั้งแต่ 12.00-13.00 น. แต่แพทย์และพยาบาลเริ่มตรวจเวลา 13.30 น. แย่มากเรามาตั้งแต่เช้า 8.00 น.จนถึง 16.00 น.ยังไม่ได้รับการตรวจควรปรับปรุงเรื่องเวลาให้มากกว่านี้</t>
  </si>
  <si>
    <t>-	การบริการช้ามาก แพทย์น้อยเกินไปหรือไม่ เพราะมาตอนเย็น ช่วง 19.00 น. รอจน 24.00 น. เข้าใจว่าโรงพยาบาลรัฐ มีคนไข้เยอะ แต่อยากให้ผู้มีอำนาจ ลงมาดูเพื่อปรับปรุงบ้าง ย้ำเหตุการณ์นี้เกิดทุกครั้ง สม่ำเสมอ ควรปรับปรุง</t>
  </si>
  <si>
    <t>-	ปรับปรุงจุดคัดกรองชั้น ให้มีระบบที่รวดเร็วกว่านี้</t>
  </si>
  <si>
    <t>-	ทีวีไม่สามารถดูได้ทุกช่อง ดูได้น้อย (2) (24A)</t>
  </si>
  <si>
    <t xml:space="preserve">-	ถ้าผู้ป่วยนอนโรงพยาบาล ควรมีคูปองส่วนลดค่าที่จอดรถให้ผู้ป่วย Admit </t>
  </si>
  <si>
    <t>-	ควรขยายห้อง HBO เพื่อให้เพียงพอต่อจำนวนผู้ป่วยที่เข้ารับบริการ</t>
  </si>
  <si>
    <t xml:space="preserve">-	กว่าจะได้เจอแพทย์เฉพาะทางใช้เวลาในการพบแพทย์ทั่วไปกว่า 3 ครั้ง ทำให้การรักษาล่าช้า </t>
  </si>
  <si>
    <t>-	ตั้งแต่ยื่นบัตรจนถึงแพทย์ตรวจใช้ระยะเวลาทั้งหมดเกือบ 6 ชั่วโมง ซึ่งถือว่าเป็นการรอตรวจนานมาก คิดว่าอย่างน้อยไม่ควรเกิน 3 ชั่วโมง เนื่องจากลูกติดโควิด ทราบค่ะว่าตอนนี้ก็รักษาตามอาการ ที่มาตรวจก็เพื่ออยากได้ยาไปรับประทาน ถึงแม้จะเป็นยาตามอาการก็ตาม นั่งรอตรวจอยู่เกือบจะสี่ทุ่ม มีแพทย์โทรศัพท์มาแค่ถามอาการ และก็สั่งยาให้เท่านั้น ไม่ได้มาตรวจ หรือมาฟังปอดเด็กเลย และก็ไม่ได้ CXR ทราบค่ะว่าเป็นโควิดไม่ได้มีใครอยากเข้าใกล้ เพราะว่ามันก็ไม่ได้ติดกันง่าย ๆ ถ้าเรารู้จักป้องกันตัว แต่การที่เป็นแพทย์ เรียนตรวจร่างกาย ก็ต้องดูตั้งแต่หัวจรดเท้า นี่ไม่ได้เห็นคนไข้เลย เด็กเมื่อคอยนานก็รู้สึกเบื่อ และง่วงนอน รอบนี้เป็นรอบที่สองที่มาตรวจ OPD ก็ยังใช้เวลานานเหมือนเดิม รอบแรกกลับบ้านเกือบเที่ยงคืน ควรจะมีแพทย์ออกตรวจให้มากกว่านี้ ไม่ใช่มีแพทย์ออกตรวจคนเดียว รับผู้ป่วยตรวจที 200 คน คิดว่าเสนอแนะไป หวังว่าจะพัฒนาให้ดีกว่านี้นะคะ ขอบคุณค่ะ</t>
  </si>
  <si>
    <t xml:space="preserve">-	มาพบแพทย์ด้วยอาการโควิท -19 มาตั้งแต่ 15.00 น. รอจนถึง 20.00 น. แบบนี้จะเรียกว่าเป็นคลินิก Premium ได้จริงหรือ ควรปรับปรุง คนที่มาต้องการความรวดเร็ว </t>
  </si>
  <si>
    <t>-	ควรปรับปรุงความรวดเร็วในการบริการ ในทุกด้าน ทุกภาคส่วน ทุกคนที่เป็นผู้ให้บริการแก่ประชาชน อยากย้ายสิทธิในการรักษาเดี๋ยวนี้ แต่สิทธิไม่สามารถย้ายได้ภายในวันเดียว เลยเสียเวลา เสียสิทธิ เสียโอกาส ในการที่จะได้รับการรักษาที่ดีจากโรงพยาบาลอื่น ที่บริการดีกว่า รักษาดีกว่าโรงพยาบาลสมเด็จ รู้สึกเสียใจมากที่เลือกที่จะใช้รักษากับโรงพยาบาลที่คิดว่าดีที่สุด แต่ไม่เลยรู้สึกเสียใจมากที่ทางโรงพยาบาลสมเด็จ ให้บริการได้ห่วยแตกมากในหลาย ๆ ด้าน เสียใจจากใจจริง จากผู้ใช้บริการ จากประสบการณ์การใช้บริการหลายต่อหลายครั้ง ก็รู้สึกแย่ไปหมด ไม่มีความพึงพอใจ ไม่มีความรู้สึกอยากรักษากับโรงพยาบาลสมเด็จอีกเลย</t>
  </si>
  <si>
    <t>-	ปรับปรุงระบบคัดกรองเพื่อเข้าถึงการตรวจซ้ำซ้อนมาก โดยเฉพาะคนไข้นัด น่าจะมีเทคโนโลยีลดขั้นตอนได้มาก ลองไปดูแบบอย่างที่โรงพยาบาลสิริกิตย์ คนไข้นัดแค่ใช้บัตรประชาชนเสียบ ทุกอย่างจะพิมพ์ออกมาอัตโนมัติ ไปพบพยาบาลที่จุดคัดกรองหน้าแผนกได้เลย การเปิดสิทธิก็อยู่ในประวัติ เมื่อเสียบบัตรก็เปิดสิทธิอัตโนมัติ และปิดสิทธิเมื่อจ่ายเงินรับยา</t>
  </si>
  <si>
    <t>-	ไม่ให้ความชัดเจนในขั้นตอนรักษา</t>
  </si>
  <si>
    <t>-	เคยโทรมาสอบถามเรื่องวัคซีนมือ เท้าปาก ว่าทางโรงพยาบาลมีฉีดไหม ได้คำตอบว่าไม่มี แต่พอมาหน้างานกลับมีให้ฉีด อยากให้มีการตอบคำถามที่ชัดเจน เพื่อความสะดวกในการเดินทางมารับบริการ</t>
  </si>
  <si>
    <t xml:space="preserve">-	อาหารที่เป็นของหมักดองควรเลี่ยงการเสิร์ฟให้ผู้ป่วย เช่น ไชโป้ </t>
  </si>
  <si>
    <t>-	ประตู และเฟอร์เจอร์ในห้องผู้ป่วยควรมีตัวกันกระแทกเพื่อลดการเกิดเสียงดัง (24A)</t>
  </si>
  <si>
    <t>-	ความสะอาดภายในห้องพัก และของใช้ พบคราบน้ำในกาน้ำร้อนและไมโครเวฟมีคราบอาหาร รบกวนเจ้าหน้าที่ช่วยดูแลเรื่องความสะอาดด้วยค่ะ (24A)</t>
  </si>
  <si>
    <t>-	มีแมลงสาปในห้องพักตอนกลางคืน (24A)</t>
  </si>
  <si>
    <t>-	เครื่องปรับอากาศในห้องพักเย็นมาก และปรับไม่ได้ ควรเพิ่มผ้าห่ม (24A)</t>
  </si>
  <si>
    <t>อันดับ 2 อุปกรณ์ เครื่องมือ และสถานที่ไม่สมบูรณ์ (OPD : 23  IPD : 18 )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</si>
</sst>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##0.00"/>
  </numFmts>
  <fonts count="32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b/>
      <sz val="18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87" fontId="19" fillId="0" borderId="1" xfId="11" applyNumberFormat="1" applyFont="1" applyBorder="1" applyAlignment="1">
      <alignment horizontal="center" vertical="center"/>
    </xf>
    <xf numFmtId="187" fontId="19" fillId="0" borderId="1" xfId="13" applyNumberFormat="1" applyFont="1" applyBorder="1" applyAlignment="1">
      <alignment horizontal="center" vertical="center"/>
    </xf>
    <xf numFmtId="2" fontId="21" fillId="6" borderId="1" xfId="0" applyNumberFormat="1" applyFont="1" applyFill="1" applyBorder="1" applyAlignment="1">
      <alignment horizontal="center" vertical="center" wrapText="1"/>
    </xf>
    <xf numFmtId="187" fontId="18" fillId="0" borderId="1" xfId="12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7" xfId="16" applyFont="1" applyBorder="1" applyAlignment="1">
      <alignment horizontal="center" vertical="center"/>
    </xf>
    <xf numFmtId="0" fontId="25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87" fontId="19" fillId="7" borderId="1" xfId="14" applyNumberFormat="1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187" fontId="19" fillId="7" borderId="1" xfId="12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5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2" fontId="19" fillId="6" borderId="1" xfId="14" applyNumberFormat="1" applyFont="1" applyFill="1" applyBorder="1" applyAlignment="1">
      <alignment horizontal="center" vertical="center" wrapText="1"/>
    </xf>
    <xf numFmtId="187" fontId="16" fillId="7" borderId="4" xfId="10" applyNumberFormat="1" applyFill="1" applyBorder="1" applyAlignment="1">
      <alignment horizontal="center" vertical="center"/>
    </xf>
    <xf numFmtId="2" fontId="19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87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7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87" fontId="19" fillId="0" borderId="1" xfId="12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28" fillId="6" borderId="1" xfId="14" applyNumberFormat="1" applyFont="1" applyFill="1" applyBorder="1" applyAlignment="1">
      <alignment horizontal="center" vertical="center" wrapText="1"/>
    </xf>
    <xf numFmtId="2" fontId="29" fillId="6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87" fontId="27" fillId="0" borderId="1" xfId="11" applyNumberFormat="1" applyFont="1" applyBorder="1" applyAlignment="1">
      <alignment horizontal="center" vertical="center"/>
    </xf>
    <xf numFmtId="187" fontId="14" fillId="7" borderId="4" xfId="1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0" fontId="30" fillId="2" borderId="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vertical="top" wrapText="1"/>
    </xf>
    <xf numFmtId="0" fontId="8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</cellXfs>
  <cellStyles count="18">
    <cellStyle name="Normal" xfId="0" builtinId="0"/>
    <cellStyle name="Normal_IPD November" xfId="12" xr:uid="{00000000-0005-0000-0000-000001000000}"/>
    <cellStyle name="Normal_IPD_1" xfId="13" xr:uid="{00000000-0005-0000-0000-000002000000}"/>
    <cellStyle name="Normal_OPD August" xfId="11" xr:uid="{00000000-0005-0000-0000-000003000000}"/>
    <cellStyle name="Normal_OPD July" xfId="10" xr:uid="{00000000-0005-0000-0000-000004000000}"/>
    <cellStyle name="Normal_OPD_1" xfId="14" xr:uid="{00000000-0005-0000-0000-000005000000}"/>
    <cellStyle name="style1683707694983" xfId="1" xr:uid="{00000000-0005-0000-0000-000006000000}"/>
    <cellStyle name="style1683707695268" xfId="2" xr:uid="{00000000-0005-0000-0000-000007000000}"/>
    <cellStyle name="style1683707695497" xfId="3" xr:uid="{00000000-0005-0000-0000-000008000000}"/>
    <cellStyle name="style1683873781043" xfId="4" xr:uid="{00000000-0005-0000-0000-000009000000}"/>
    <cellStyle name="style1683873781293" xfId="5" xr:uid="{00000000-0005-0000-0000-00000A000000}"/>
    <cellStyle name="style1683873781509" xfId="6" xr:uid="{00000000-0005-0000-0000-00000B000000}"/>
    <cellStyle name="style1690951585398" xfId="8" xr:uid="{00000000-0005-0000-0000-00000C000000}"/>
    <cellStyle name="style1690951585625" xfId="9" xr:uid="{00000000-0005-0000-0000-00000D000000}"/>
    <cellStyle name="style1690951585802" xfId="7" xr:uid="{00000000-0005-0000-0000-00000E000000}"/>
    <cellStyle name="ปกติ 2" xfId="16" xr:uid="{00000000-0005-0000-0000-00000F000000}"/>
    <cellStyle name="ปกติ 3" xfId="17" xr:uid="{00000000-0005-0000-0000-000010000000}"/>
    <cellStyle name="ปกติ 4" xfId="15" xr:uid="{00000000-0005-0000-0000-000011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tabSelected="1" topLeftCell="A63" zoomScaleNormal="100" zoomScaleSheetLayoutView="80" workbookViewId="0">
      <selection activeCell="I70" sqref="I70"/>
    </sheetView>
  </sheetViews>
  <sheetFormatPr defaultColWidth="9" defaultRowHeight="21"/>
  <cols>
    <col min="1" max="1" width="62.625" style="4" customWidth="1"/>
    <col min="2" max="2" width="10.75" style="4" customWidth="1"/>
    <col min="3" max="18" width="10.75" style="3" customWidth="1"/>
    <col min="19" max="16384" width="9" style="3"/>
  </cols>
  <sheetData>
    <row r="1" spans="1:18" s="13" customFormat="1" ht="49.7" customHeight="1">
      <c r="A1" s="94" t="s">
        <v>96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1:18" s="13" customFormat="1" ht="49.7" customHeigh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8" s="2" customFormat="1" ht="54.75" customHeight="1">
      <c r="A3" s="6" t="s">
        <v>0</v>
      </c>
      <c r="B3" s="88" t="s">
        <v>69</v>
      </c>
      <c r="C3" s="88" t="s">
        <v>71</v>
      </c>
      <c r="D3" s="88" t="s">
        <v>67</v>
      </c>
      <c r="E3" s="1" t="s">
        <v>2</v>
      </c>
      <c r="F3" s="1" t="s">
        <v>57</v>
      </c>
      <c r="G3" s="1" t="s">
        <v>63</v>
      </c>
      <c r="H3" s="1" t="s">
        <v>58</v>
      </c>
      <c r="I3" s="1" t="s">
        <v>3</v>
      </c>
      <c r="J3" s="1" t="s">
        <v>4</v>
      </c>
      <c r="K3" s="1" t="s">
        <v>60</v>
      </c>
      <c r="L3" s="1" t="s">
        <v>49</v>
      </c>
      <c r="M3" s="1" t="s">
        <v>43</v>
      </c>
      <c r="N3" s="1" t="s">
        <v>5</v>
      </c>
      <c r="O3" s="1" t="s">
        <v>64</v>
      </c>
      <c r="P3" s="1" t="s">
        <v>61</v>
      </c>
      <c r="Q3" s="1" t="s">
        <v>68</v>
      </c>
      <c r="R3" s="1" t="s">
        <v>54</v>
      </c>
    </row>
    <row r="4" spans="1:18" s="84" customFormat="1" ht="24.75" customHeight="1" thickBot="1">
      <c r="A4" s="81" t="s">
        <v>8</v>
      </c>
      <c r="B4" s="25">
        <v>16</v>
      </c>
      <c r="C4" s="82">
        <v>3</v>
      </c>
      <c r="D4" s="62" t="s">
        <v>66</v>
      </c>
      <c r="E4" s="83">
        <v>9</v>
      </c>
      <c r="F4" s="91">
        <v>91</v>
      </c>
      <c r="G4" s="91">
        <v>14</v>
      </c>
      <c r="H4" s="62">
        <v>1</v>
      </c>
      <c r="I4" s="82">
        <v>103</v>
      </c>
      <c r="J4" s="62">
        <v>28</v>
      </c>
      <c r="K4" s="82">
        <v>141</v>
      </c>
      <c r="L4" s="82">
        <v>58</v>
      </c>
      <c r="M4" s="82">
        <v>97</v>
      </c>
      <c r="N4" s="82">
        <v>211</v>
      </c>
      <c r="O4" s="82">
        <v>4</v>
      </c>
      <c r="P4" s="82">
        <v>1</v>
      </c>
      <c r="Q4" s="82">
        <v>2</v>
      </c>
      <c r="R4" s="62" t="s">
        <v>66</v>
      </c>
    </row>
    <row r="5" spans="1:18" s="2" customFormat="1" ht="24" customHeight="1" thickBot="1">
      <c r="A5" s="89" t="s">
        <v>73</v>
      </c>
      <c r="B5" s="24">
        <v>4.0625</v>
      </c>
      <c r="C5" s="76">
        <v>5</v>
      </c>
      <c r="D5" s="62" t="s">
        <v>66</v>
      </c>
      <c r="E5" s="30">
        <v>4.4444444444444446</v>
      </c>
      <c r="F5" s="76">
        <v>4.4945054945054954</v>
      </c>
      <c r="G5" s="24">
        <v>3.714285714285714</v>
      </c>
      <c r="H5" s="76">
        <v>3</v>
      </c>
      <c r="I5" s="20">
        <v>4.194174757281556</v>
      </c>
      <c r="J5" s="76">
        <v>4.3214285714285703</v>
      </c>
      <c r="K5" s="20">
        <v>4.4397163120567367</v>
      </c>
      <c r="L5" s="20">
        <v>4.3965517241379306</v>
      </c>
      <c r="M5" s="20">
        <v>4.3298969072164963</v>
      </c>
      <c r="N5" s="20">
        <v>4.2890995260663498</v>
      </c>
      <c r="O5" s="24">
        <v>5</v>
      </c>
      <c r="P5" s="76">
        <v>5</v>
      </c>
      <c r="Q5" s="76">
        <v>4</v>
      </c>
      <c r="R5" s="62" t="s">
        <v>66</v>
      </c>
    </row>
    <row r="6" spans="1:18" s="2" customFormat="1" ht="24" customHeight="1" thickBot="1">
      <c r="A6" s="90" t="s">
        <v>74</v>
      </c>
      <c r="B6" s="24">
        <v>4.0625</v>
      </c>
      <c r="C6" s="76">
        <v>5</v>
      </c>
      <c r="D6" s="62" t="s">
        <v>66</v>
      </c>
      <c r="E6" s="30">
        <v>4.2222222222222223</v>
      </c>
      <c r="F6" s="76">
        <v>4.4725274725274726</v>
      </c>
      <c r="G6" s="24">
        <v>3.8571428571428568</v>
      </c>
      <c r="H6" s="76">
        <v>3</v>
      </c>
      <c r="I6" s="20">
        <v>4.2524271844660202</v>
      </c>
      <c r="J6" s="76">
        <v>4.3214285714285703</v>
      </c>
      <c r="K6" s="20">
        <v>4.453900709219857</v>
      </c>
      <c r="L6" s="20">
        <v>4.3965517241379315</v>
      </c>
      <c r="M6" s="20">
        <v>4.4123711340206171</v>
      </c>
      <c r="N6" s="20">
        <v>4.3838862559241711</v>
      </c>
      <c r="O6" s="24">
        <v>5</v>
      </c>
      <c r="P6" s="76">
        <v>4</v>
      </c>
      <c r="Q6" s="76">
        <v>4</v>
      </c>
      <c r="R6" s="62" t="s">
        <v>66</v>
      </c>
    </row>
    <row r="7" spans="1:18" s="2" customFormat="1" ht="24" customHeight="1" thickBot="1">
      <c r="A7" s="90" t="s">
        <v>75</v>
      </c>
      <c r="B7" s="24">
        <v>4.1875</v>
      </c>
      <c r="C7" s="76">
        <v>5</v>
      </c>
      <c r="D7" s="62" t="s">
        <v>66</v>
      </c>
      <c r="E7" s="30">
        <v>4.5555555555555554</v>
      </c>
      <c r="F7" s="76">
        <v>4.4615384615384599</v>
      </c>
      <c r="G7" s="24">
        <v>3.714285714285714</v>
      </c>
      <c r="H7" s="76">
        <v>2</v>
      </c>
      <c r="I7" s="20">
        <v>4.2330097087378622</v>
      </c>
      <c r="J7" s="76">
        <v>4.2857142857142847</v>
      </c>
      <c r="K7" s="20">
        <v>4.3971631205673747</v>
      </c>
      <c r="L7" s="20">
        <v>4.3620689655172438</v>
      </c>
      <c r="M7" s="20">
        <v>4.4123711340206171</v>
      </c>
      <c r="N7" s="20">
        <v>4.3364928909952614</v>
      </c>
      <c r="O7" s="24">
        <v>5</v>
      </c>
      <c r="P7" s="76">
        <v>4</v>
      </c>
      <c r="Q7" s="76">
        <v>4</v>
      </c>
      <c r="R7" s="62" t="s">
        <v>66</v>
      </c>
    </row>
    <row r="8" spans="1:18" s="2" customFormat="1" ht="24" customHeight="1" thickBot="1">
      <c r="A8" s="90" t="s">
        <v>76</v>
      </c>
      <c r="B8" s="24">
        <v>3.8125</v>
      </c>
      <c r="C8" s="76">
        <v>5</v>
      </c>
      <c r="D8" s="62" t="s">
        <v>66</v>
      </c>
      <c r="E8" s="30">
        <v>4.5555555555555554</v>
      </c>
      <c r="F8" s="76">
        <v>4.4065934065934078</v>
      </c>
      <c r="G8" s="24">
        <v>3.714285714285714</v>
      </c>
      <c r="H8" s="76">
        <v>2</v>
      </c>
      <c r="I8" s="20">
        <v>4.2330097087378631</v>
      </c>
      <c r="J8" s="76">
        <v>4.2499999999999991</v>
      </c>
      <c r="K8" s="20">
        <v>4.3829787234042579</v>
      </c>
      <c r="L8" s="20">
        <v>4.3620689655172438</v>
      </c>
      <c r="M8" s="20">
        <v>4.3917525773195889</v>
      </c>
      <c r="N8" s="20">
        <v>4.2938388625592419</v>
      </c>
      <c r="O8" s="24">
        <v>5</v>
      </c>
      <c r="P8" s="76">
        <v>4</v>
      </c>
      <c r="Q8" s="76">
        <v>4</v>
      </c>
      <c r="R8" s="62" t="s">
        <v>66</v>
      </c>
    </row>
    <row r="9" spans="1:18" s="2" customFormat="1" ht="24" customHeight="1" thickBot="1">
      <c r="A9" s="90" t="s">
        <v>77</v>
      </c>
      <c r="B9" s="24">
        <v>3.5624999999999996</v>
      </c>
      <c r="C9" s="76">
        <v>5</v>
      </c>
      <c r="D9" s="62" t="s">
        <v>66</v>
      </c>
      <c r="E9" s="30">
        <v>3.7777777777777777</v>
      </c>
      <c r="F9" s="76">
        <v>4.186813186813187</v>
      </c>
      <c r="G9" s="24">
        <v>3.5714285714285707</v>
      </c>
      <c r="H9" s="76">
        <v>1</v>
      </c>
      <c r="I9" s="20">
        <v>4.0291262135922334</v>
      </c>
      <c r="J9" s="76">
        <v>4.3571428571428577</v>
      </c>
      <c r="K9" s="20">
        <v>4.2482269503546117</v>
      </c>
      <c r="L9" s="20">
        <v>4.2931034482758594</v>
      </c>
      <c r="M9" s="20">
        <v>4.2680412371134029</v>
      </c>
      <c r="N9" s="20">
        <v>4.2274881516587683</v>
      </c>
      <c r="O9" s="24">
        <v>4.5</v>
      </c>
      <c r="P9" s="76">
        <v>5</v>
      </c>
      <c r="Q9" s="76">
        <v>3</v>
      </c>
      <c r="R9" s="62" t="s">
        <v>66</v>
      </c>
    </row>
    <row r="10" spans="1:18" s="2" customFormat="1" ht="24" customHeight="1" thickBot="1">
      <c r="A10" s="90" t="s">
        <v>78</v>
      </c>
      <c r="B10" s="24">
        <v>3.8125</v>
      </c>
      <c r="C10" s="76">
        <v>4.666666666666667</v>
      </c>
      <c r="D10" s="62" t="s">
        <v>66</v>
      </c>
      <c r="E10" s="30">
        <v>4.1111111111111107</v>
      </c>
      <c r="F10" s="76">
        <v>4.1648351648351651</v>
      </c>
      <c r="G10" s="24">
        <v>3.7142857142857144</v>
      </c>
      <c r="H10" s="76">
        <v>1</v>
      </c>
      <c r="I10" s="20">
        <v>4.1844660194174796</v>
      </c>
      <c r="J10" s="76">
        <v>4.5357142857142856</v>
      </c>
      <c r="K10" s="20">
        <v>4.3049645390070923</v>
      </c>
      <c r="L10" s="20">
        <v>4.2931034482758594</v>
      </c>
      <c r="M10" s="20">
        <v>4.3608247422680435</v>
      </c>
      <c r="N10" s="20">
        <v>4.3838862559241702</v>
      </c>
      <c r="O10" s="24">
        <v>5</v>
      </c>
      <c r="P10" s="76">
        <v>5</v>
      </c>
      <c r="Q10" s="76">
        <v>3</v>
      </c>
      <c r="R10" s="62" t="s">
        <v>66</v>
      </c>
    </row>
    <row r="11" spans="1:18" s="2" customFormat="1" ht="24" customHeight="1" thickBot="1">
      <c r="A11" s="90" t="s">
        <v>79</v>
      </c>
      <c r="B11" s="24">
        <v>3.5624999999999996</v>
      </c>
      <c r="C11" s="76">
        <v>4.666666666666667</v>
      </c>
      <c r="D11" s="62" t="s">
        <v>66</v>
      </c>
      <c r="E11" s="30">
        <v>3.8888888888888888</v>
      </c>
      <c r="F11" s="76">
        <v>4.2747252747252764</v>
      </c>
      <c r="G11" s="24">
        <v>3.4285714285714284</v>
      </c>
      <c r="H11" s="76">
        <v>1</v>
      </c>
      <c r="I11" s="20">
        <v>4.2524271844660211</v>
      </c>
      <c r="J11" s="76">
        <v>4.3214285714285703</v>
      </c>
      <c r="K11" s="20">
        <v>4.2978723404255348</v>
      </c>
      <c r="L11" s="20">
        <v>4.2931034482758594</v>
      </c>
      <c r="M11" s="20">
        <v>4.3195876288659818</v>
      </c>
      <c r="N11" s="20">
        <v>4.3127962085308083</v>
      </c>
      <c r="O11" s="24">
        <v>5</v>
      </c>
      <c r="P11" s="76">
        <v>4</v>
      </c>
      <c r="Q11" s="76">
        <v>3.5</v>
      </c>
      <c r="R11" s="62" t="s">
        <v>66</v>
      </c>
    </row>
    <row r="12" spans="1:18" s="2" customFormat="1" ht="24" customHeight="1" thickBot="1">
      <c r="A12" s="90" t="s">
        <v>80</v>
      </c>
      <c r="B12" s="24">
        <v>4.1875</v>
      </c>
      <c r="C12" s="76">
        <v>5</v>
      </c>
      <c r="D12" s="62" t="s">
        <v>66</v>
      </c>
      <c r="E12" s="30">
        <v>3.9999999999999996</v>
      </c>
      <c r="F12" s="76">
        <v>4.3296703296703303</v>
      </c>
      <c r="G12" s="24">
        <v>3.4285714285714288</v>
      </c>
      <c r="H12" s="76">
        <v>2</v>
      </c>
      <c r="I12" s="20">
        <v>4.1941747572815533</v>
      </c>
      <c r="J12" s="76">
        <v>4.3928571428571423</v>
      </c>
      <c r="K12" s="20">
        <v>4.3333333333333321</v>
      </c>
      <c r="L12" s="20">
        <v>4.2931034482758594</v>
      </c>
      <c r="M12" s="20">
        <v>4.3298969072164963</v>
      </c>
      <c r="N12" s="20">
        <v>4.2890995260663498</v>
      </c>
      <c r="O12" s="24">
        <v>4.75</v>
      </c>
      <c r="P12" s="76">
        <v>4</v>
      </c>
      <c r="Q12" s="76">
        <v>3</v>
      </c>
      <c r="R12" s="62" t="s">
        <v>66</v>
      </c>
    </row>
    <row r="13" spans="1:18" s="2" customFormat="1" ht="24" customHeight="1" thickBot="1">
      <c r="A13" s="90" t="s">
        <v>81</v>
      </c>
      <c r="B13" s="24">
        <v>3.8750000000000004</v>
      </c>
      <c r="C13" s="76">
        <v>5</v>
      </c>
      <c r="D13" s="62" t="s">
        <v>66</v>
      </c>
      <c r="E13" s="30">
        <v>4.2222222222222223</v>
      </c>
      <c r="F13" s="76">
        <v>4.3846153846153824</v>
      </c>
      <c r="G13" s="24">
        <v>3.7142857142857149</v>
      </c>
      <c r="H13" s="76">
        <v>2</v>
      </c>
      <c r="I13" s="20">
        <v>4.2427184466019412</v>
      </c>
      <c r="J13" s="76">
        <v>4.5</v>
      </c>
      <c r="K13" s="20">
        <v>4.3971631205673747</v>
      </c>
      <c r="L13" s="20">
        <v>4.3620689655172438</v>
      </c>
      <c r="M13" s="20">
        <v>4.4123711340206171</v>
      </c>
      <c r="N13" s="20">
        <v>4.3554502369668224</v>
      </c>
      <c r="O13" s="24">
        <v>4.75</v>
      </c>
      <c r="P13" s="76">
        <v>4</v>
      </c>
      <c r="Q13" s="76">
        <v>3.5</v>
      </c>
      <c r="R13" s="62" t="s">
        <v>66</v>
      </c>
    </row>
    <row r="14" spans="1:18" s="2" customFormat="1" ht="24" customHeight="1" thickBot="1">
      <c r="A14" s="90" t="s">
        <v>82</v>
      </c>
      <c r="B14" s="24">
        <v>3.8124999999999996</v>
      </c>
      <c r="C14" s="76">
        <v>5</v>
      </c>
      <c r="D14" s="62" t="s">
        <v>66</v>
      </c>
      <c r="E14" s="30">
        <v>4.2222222222222223</v>
      </c>
      <c r="F14" s="76">
        <v>4.3296703296703303</v>
      </c>
      <c r="G14" s="24">
        <v>3.5714285714285716</v>
      </c>
      <c r="H14" s="76">
        <v>1</v>
      </c>
      <c r="I14" s="20">
        <v>4.1941747572815533</v>
      </c>
      <c r="J14" s="76">
        <v>4.4285714285714288</v>
      </c>
      <c r="K14" s="20">
        <v>4.4042553191489331</v>
      </c>
      <c r="L14" s="20">
        <v>4.344827586206895</v>
      </c>
      <c r="M14" s="20">
        <v>4.3917525773195889</v>
      </c>
      <c r="N14" s="20">
        <v>4.383886255924172</v>
      </c>
      <c r="O14" s="24">
        <v>5</v>
      </c>
      <c r="P14" s="76">
        <v>4</v>
      </c>
      <c r="Q14" s="76">
        <v>3.5</v>
      </c>
      <c r="R14" s="62" t="s">
        <v>66</v>
      </c>
    </row>
    <row r="15" spans="1:18" s="2" customFormat="1" ht="24" customHeight="1" thickBot="1">
      <c r="A15" s="90" t="s">
        <v>83</v>
      </c>
      <c r="B15" s="24">
        <v>3.875</v>
      </c>
      <c r="C15" s="76">
        <v>5</v>
      </c>
      <c r="D15" s="62" t="s">
        <v>66</v>
      </c>
      <c r="E15" s="30">
        <v>4.2222222222222223</v>
      </c>
      <c r="F15" s="76">
        <v>4.2967032967032965</v>
      </c>
      <c r="G15" s="24">
        <v>3.4285714285714288</v>
      </c>
      <c r="H15" s="76">
        <v>1</v>
      </c>
      <c r="I15" s="20">
        <v>4.2912621359223282</v>
      </c>
      <c r="J15" s="76">
        <v>4.3214285714285703</v>
      </c>
      <c r="K15" s="20">
        <v>4.3758865248226941</v>
      </c>
      <c r="L15" s="20">
        <v>4.2586206896551735</v>
      </c>
      <c r="M15" s="20">
        <v>4.3814432989690708</v>
      </c>
      <c r="N15" s="20">
        <v>4.3222748815165879</v>
      </c>
      <c r="O15" s="24">
        <v>5</v>
      </c>
      <c r="P15" s="76">
        <v>4</v>
      </c>
      <c r="Q15" s="76">
        <v>4</v>
      </c>
      <c r="R15" s="62" t="s">
        <v>66</v>
      </c>
    </row>
    <row r="16" spans="1:18" s="2" customFormat="1" ht="24" customHeight="1" thickBot="1">
      <c r="A16" s="90" t="s">
        <v>84</v>
      </c>
      <c r="B16" s="24">
        <v>3.9375</v>
      </c>
      <c r="C16" s="76">
        <v>5</v>
      </c>
      <c r="D16" s="62" t="s">
        <v>66</v>
      </c>
      <c r="E16" s="30">
        <v>4.333333333333333</v>
      </c>
      <c r="F16" s="76">
        <v>4.4505494505494516</v>
      </c>
      <c r="G16" s="24">
        <v>3.9285714285714284</v>
      </c>
      <c r="H16" s="76">
        <v>3</v>
      </c>
      <c r="I16" s="20">
        <v>4.349514563106796</v>
      </c>
      <c r="J16" s="76">
        <v>4.3571428571428577</v>
      </c>
      <c r="K16" s="20">
        <v>4.4255319148936154</v>
      </c>
      <c r="L16" s="20">
        <v>4.344827586206895</v>
      </c>
      <c r="M16" s="20">
        <v>4.3608247422680435</v>
      </c>
      <c r="N16" s="20">
        <v>4.3033175355450259</v>
      </c>
      <c r="O16" s="24">
        <v>5</v>
      </c>
      <c r="P16" s="76">
        <v>4</v>
      </c>
      <c r="Q16" s="76">
        <v>4</v>
      </c>
      <c r="R16" s="62" t="s">
        <v>66</v>
      </c>
    </row>
    <row r="17" spans="1:18" s="2" customFormat="1" ht="24" customHeight="1" thickBot="1">
      <c r="A17" s="90" t="s">
        <v>85</v>
      </c>
      <c r="B17" s="24">
        <v>4.25</v>
      </c>
      <c r="C17" s="76">
        <v>5</v>
      </c>
      <c r="D17" s="62" t="s">
        <v>66</v>
      </c>
      <c r="E17" s="30">
        <v>4.333333333333333</v>
      </c>
      <c r="F17" s="76">
        <v>4.3076923076923066</v>
      </c>
      <c r="G17" s="24">
        <v>3.5714285714285712</v>
      </c>
      <c r="H17" s="76">
        <v>2</v>
      </c>
      <c r="I17" s="20">
        <v>4.3009708737864072</v>
      </c>
      <c r="J17" s="76">
        <v>4.3214285714285703</v>
      </c>
      <c r="K17" s="20">
        <v>4.3971631205673773</v>
      </c>
      <c r="L17" s="20">
        <v>4.344827586206895</v>
      </c>
      <c r="M17" s="20">
        <v>4.3505154639175245</v>
      </c>
      <c r="N17" s="20">
        <v>4.3222748815165879</v>
      </c>
      <c r="O17" s="24">
        <v>5</v>
      </c>
      <c r="P17" s="76">
        <v>5</v>
      </c>
      <c r="Q17" s="76">
        <v>4</v>
      </c>
      <c r="R17" s="62" t="s">
        <v>66</v>
      </c>
    </row>
    <row r="18" spans="1:18" s="2" customFormat="1" ht="24" customHeight="1" thickBot="1">
      <c r="A18" s="90" t="s">
        <v>86</v>
      </c>
      <c r="B18" s="24">
        <v>3.9375</v>
      </c>
      <c r="C18" s="76">
        <v>5</v>
      </c>
      <c r="D18" s="62" t="s">
        <v>66</v>
      </c>
      <c r="E18" s="30">
        <v>4.1111111111111107</v>
      </c>
      <c r="F18" s="76">
        <v>4.2967032967032965</v>
      </c>
      <c r="G18" s="24">
        <v>3.7857142857142856</v>
      </c>
      <c r="H18" s="76">
        <v>2</v>
      </c>
      <c r="I18" s="20">
        <v>4.3106796116504853</v>
      </c>
      <c r="J18" s="76">
        <v>4.4285714285714279</v>
      </c>
      <c r="K18" s="20">
        <v>4.4326241134751765</v>
      </c>
      <c r="L18" s="20">
        <v>4.3793103448275863</v>
      </c>
      <c r="M18" s="20">
        <v>4.3814432989690708</v>
      </c>
      <c r="N18" s="20">
        <v>4.3649289099526056</v>
      </c>
      <c r="O18" s="24">
        <v>4.75</v>
      </c>
      <c r="P18" s="76">
        <v>5</v>
      </c>
      <c r="Q18" s="76">
        <v>3.5</v>
      </c>
      <c r="R18" s="62" t="s">
        <v>66</v>
      </c>
    </row>
    <row r="19" spans="1:18" s="2" customFormat="1" ht="24" customHeight="1" thickBot="1">
      <c r="A19" s="90" t="s">
        <v>87</v>
      </c>
      <c r="B19" s="24">
        <v>3.9375</v>
      </c>
      <c r="C19" s="76">
        <v>5</v>
      </c>
      <c r="D19" s="62" t="s">
        <v>66</v>
      </c>
      <c r="E19" s="30">
        <v>4.1111111111111107</v>
      </c>
      <c r="F19" s="76">
        <v>4.3956043956043951</v>
      </c>
      <c r="G19" s="24">
        <v>4.0714285714285712</v>
      </c>
      <c r="H19" s="76">
        <v>3</v>
      </c>
      <c r="I19" s="20">
        <v>4.3106796116504853</v>
      </c>
      <c r="J19" s="76">
        <v>4.4285714285714279</v>
      </c>
      <c r="K19" s="20">
        <v>4.5177304964538996</v>
      </c>
      <c r="L19" s="20">
        <v>4.3103448275862073</v>
      </c>
      <c r="M19" s="20">
        <v>4.4020618556701034</v>
      </c>
      <c r="N19" s="20">
        <v>4.37914691943128</v>
      </c>
      <c r="O19" s="24">
        <v>5</v>
      </c>
      <c r="P19" s="76">
        <v>4</v>
      </c>
      <c r="Q19" s="76">
        <v>4</v>
      </c>
      <c r="R19" s="62" t="s">
        <v>66</v>
      </c>
    </row>
    <row r="20" spans="1:18" s="2" customFormat="1" ht="24" customHeight="1" thickBot="1">
      <c r="A20" s="90" t="s">
        <v>88</v>
      </c>
      <c r="B20" s="24">
        <v>3.9374999999999996</v>
      </c>
      <c r="C20" s="76">
        <v>5</v>
      </c>
      <c r="D20" s="62" t="s">
        <v>66</v>
      </c>
      <c r="E20" s="30">
        <v>4.333333333333333</v>
      </c>
      <c r="F20" s="76">
        <v>4.3296703296703303</v>
      </c>
      <c r="G20" s="24">
        <v>3.6428571428571428</v>
      </c>
      <c r="H20" s="76">
        <v>1</v>
      </c>
      <c r="I20" s="20">
        <v>4.4077669902912628</v>
      </c>
      <c r="J20" s="76">
        <v>4.5357142857142856</v>
      </c>
      <c r="K20" s="20">
        <v>4.4539007092198588</v>
      </c>
      <c r="L20" s="20">
        <v>4.3275862068965525</v>
      </c>
      <c r="M20" s="20">
        <v>4.4226804123711325</v>
      </c>
      <c r="N20" s="20">
        <v>4.4312796208530836</v>
      </c>
      <c r="O20" s="24">
        <v>4.75</v>
      </c>
      <c r="P20" s="76">
        <v>4</v>
      </c>
      <c r="Q20" s="76">
        <v>4</v>
      </c>
      <c r="R20" s="62" t="s">
        <v>66</v>
      </c>
    </row>
    <row r="21" spans="1:18" s="2" customFormat="1" ht="24" customHeight="1">
      <c r="A21" s="15" t="s">
        <v>9</v>
      </c>
      <c r="B21" s="24">
        <v>3.9257812500000004</v>
      </c>
      <c r="C21" s="76">
        <v>4.958333333333333</v>
      </c>
      <c r="D21" s="62" t="s">
        <v>66</v>
      </c>
      <c r="E21" s="30">
        <v>4.2152777777777777</v>
      </c>
      <c r="F21" s="76">
        <v>4.3489010989011003</v>
      </c>
      <c r="G21" s="24">
        <v>3.6785714285714279</v>
      </c>
      <c r="H21" s="76">
        <v>1.875</v>
      </c>
      <c r="I21" s="20">
        <v>4.2487864077669926</v>
      </c>
      <c r="J21" s="76">
        <v>4.3816964285714297</v>
      </c>
      <c r="K21" s="20">
        <v>4.3914007092198615</v>
      </c>
      <c r="L21" s="20">
        <v>4.3351293103448274</v>
      </c>
      <c r="M21" s="20">
        <v>4.3704896907216506</v>
      </c>
      <c r="N21" s="20">
        <v>4.3361966824644549</v>
      </c>
      <c r="O21" s="24">
        <v>4.90625</v>
      </c>
      <c r="P21" s="76">
        <v>4.3125</v>
      </c>
      <c r="Q21" s="76">
        <v>3.6875</v>
      </c>
      <c r="R21" s="62" t="s">
        <v>66</v>
      </c>
    </row>
    <row r="22" spans="1:18" s="2" customFormat="1" ht="24.75" customHeight="1">
      <c r="A22" s="8" t="s">
        <v>10</v>
      </c>
      <c r="B22" s="64">
        <f t="shared" ref="B22:N22" si="0">B21*20</f>
        <v>78.515625000000014</v>
      </c>
      <c r="C22" s="64">
        <f t="shared" si="0"/>
        <v>99.166666666666657</v>
      </c>
      <c r="D22" s="62" t="s">
        <v>66</v>
      </c>
      <c r="E22" s="64">
        <f t="shared" si="0"/>
        <v>84.305555555555557</v>
      </c>
      <c r="F22" s="64">
        <f t="shared" si="0"/>
        <v>86.978021978022014</v>
      </c>
      <c r="G22" s="64">
        <f t="shared" si="0"/>
        <v>73.571428571428555</v>
      </c>
      <c r="H22" s="64">
        <f t="shared" si="0"/>
        <v>37.5</v>
      </c>
      <c r="I22" s="64">
        <f t="shared" si="0"/>
        <v>84.975728155339851</v>
      </c>
      <c r="J22" s="64">
        <f t="shared" si="0"/>
        <v>87.633928571428598</v>
      </c>
      <c r="K22" s="64">
        <f t="shared" si="0"/>
        <v>87.828014184397233</v>
      </c>
      <c r="L22" s="64">
        <f t="shared" si="0"/>
        <v>86.702586206896541</v>
      </c>
      <c r="M22" s="64">
        <f t="shared" si="0"/>
        <v>87.409793814433016</v>
      </c>
      <c r="N22" s="64">
        <f t="shared" si="0"/>
        <v>86.723933649289094</v>
      </c>
      <c r="O22" s="64">
        <f>O21*20</f>
        <v>98.125</v>
      </c>
      <c r="P22" s="64">
        <f>P21*20</f>
        <v>86.25</v>
      </c>
      <c r="Q22" s="64">
        <f>Q21*20</f>
        <v>73.75</v>
      </c>
      <c r="R22" s="62" t="s">
        <v>66</v>
      </c>
    </row>
    <row r="23" spans="1:18">
      <c r="A23" s="16" t="s">
        <v>44</v>
      </c>
      <c r="B23" s="63">
        <v>68.75</v>
      </c>
      <c r="C23" s="79">
        <v>100</v>
      </c>
      <c r="D23" s="80" t="s">
        <v>66</v>
      </c>
      <c r="E23" s="63">
        <v>100</v>
      </c>
      <c r="F23" s="22">
        <v>100</v>
      </c>
      <c r="G23" s="63">
        <v>78.571428571428569</v>
      </c>
      <c r="H23" s="22">
        <v>100</v>
      </c>
      <c r="I23" s="63">
        <v>97.087378640776706</v>
      </c>
      <c r="J23" s="22">
        <v>100</v>
      </c>
      <c r="K23" s="63">
        <v>92.198581560283685</v>
      </c>
      <c r="L23" s="63">
        <v>100</v>
      </c>
      <c r="M23" s="63">
        <v>97.9381443298969</v>
      </c>
      <c r="N23" s="63">
        <v>100</v>
      </c>
      <c r="O23" s="78">
        <v>100</v>
      </c>
      <c r="P23" s="79">
        <v>100</v>
      </c>
      <c r="Q23" s="79">
        <v>100</v>
      </c>
      <c r="R23" s="80" t="s">
        <v>66</v>
      </c>
    </row>
    <row r="25" spans="1:18" ht="24" customHeight="1"/>
    <row r="26" spans="1:18" ht="59.25" customHeight="1">
      <c r="A26" s="6" t="s">
        <v>0</v>
      </c>
      <c r="B26" s="1" t="s">
        <v>93</v>
      </c>
      <c r="C26" s="1" t="s">
        <v>6</v>
      </c>
      <c r="D26" s="1" t="s">
        <v>7</v>
      </c>
      <c r="E26" s="1" t="s">
        <v>56</v>
      </c>
      <c r="F26" s="1" t="s">
        <v>62</v>
      </c>
      <c r="G26" s="1" t="s">
        <v>59</v>
      </c>
      <c r="H26" s="1" t="s">
        <v>94</v>
      </c>
      <c r="I26" s="1" t="s">
        <v>11</v>
      </c>
      <c r="J26" s="1" t="s">
        <v>45</v>
      </c>
      <c r="K26" s="1" t="s">
        <v>70</v>
      </c>
      <c r="L26" s="1" t="s">
        <v>50</v>
      </c>
      <c r="M26" s="1" t="s">
        <v>55</v>
      </c>
      <c r="N26" s="1" t="s">
        <v>1</v>
      </c>
      <c r="O26" s="1" t="s">
        <v>35</v>
      </c>
      <c r="P26" s="1" t="s">
        <v>72</v>
      </c>
      <c r="Q26" s="1" t="s">
        <v>95</v>
      </c>
      <c r="R26" s="1" t="s">
        <v>100</v>
      </c>
    </row>
    <row r="27" spans="1:18" s="26" customFormat="1" ht="24" customHeight="1" thickBot="1">
      <c r="A27" s="8" t="s">
        <v>8</v>
      </c>
      <c r="B27" s="62">
        <v>19</v>
      </c>
      <c r="C27" s="62">
        <v>51</v>
      </c>
      <c r="D27" s="25">
        <v>4</v>
      </c>
      <c r="E27" s="25">
        <v>63</v>
      </c>
      <c r="F27" s="62">
        <v>18</v>
      </c>
      <c r="G27" s="25">
        <v>34</v>
      </c>
      <c r="H27" s="25">
        <v>16</v>
      </c>
      <c r="I27" s="62" t="s">
        <v>65</v>
      </c>
      <c r="J27" s="25">
        <v>16</v>
      </c>
      <c r="K27" s="62">
        <v>19</v>
      </c>
      <c r="L27" s="25">
        <v>7</v>
      </c>
      <c r="M27" s="25">
        <v>1</v>
      </c>
      <c r="N27" s="25">
        <v>4</v>
      </c>
      <c r="O27" s="25">
        <v>46</v>
      </c>
      <c r="P27" s="62">
        <v>11</v>
      </c>
      <c r="Q27" s="62">
        <v>1</v>
      </c>
      <c r="R27" s="62">
        <v>10</v>
      </c>
    </row>
    <row r="28" spans="1:18" ht="24" customHeight="1" thickBot="1">
      <c r="A28" s="89" t="s">
        <v>73</v>
      </c>
      <c r="B28" s="76">
        <v>4.7894736842105265</v>
      </c>
      <c r="C28" s="76">
        <v>4.0784313725490202</v>
      </c>
      <c r="D28" s="20">
        <v>5</v>
      </c>
      <c r="E28" s="24">
        <v>4.5714285714285703</v>
      </c>
      <c r="F28" s="76">
        <v>4.666666666666667</v>
      </c>
      <c r="G28" s="20">
        <v>4.8235294117647065</v>
      </c>
      <c r="H28" s="20">
        <v>4.5625</v>
      </c>
      <c r="I28" s="91" t="s">
        <v>65</v>
      </c>
      <c r="J28" s="20">
        <v>4.5624999999999991</v>
      </c>
      <c r="K28" s="76">
        <v>4.3684210526315788</v>
      </c>
      <c r="L28" s="24">
        <v>4.7142857142857135</v>
      </c>
      <c r="M28" s="20">
        <v>4</v>
      </c>
      <c r="N28" s="24">
        <v>3.5</v>
      </c>
      <c r="O28" s="24">
        <v>4.2608695652173898</v>
      </c>
      <c r="P28" s="76">
        <v>4.8181818181818175</v>
      </c>
      <c r="Q28" s="76">
        <v>5</v>
      </c>
      <c r="R28" s="76">
        <v>4.0999999999999996</v>
      </c>
    </row>
    <row r="29" spans="1:18" ht="24" customHeight="1" thickBot="1">
      <c r="A29" s="90" t="s">
        <v>74</v>
      </c>
      <c r="B29" s="76">
        <v>4.5789473684210522</v>
      </c>
      <c r="C29" s="76">
        <v>4.0784313725490176</v>
      </c>
      <c r="D29" s="20">
        <v>5</v>
      </c>
      <c r="E29" s="24">
        <v>4.5238095238095228</v>
      </c>
      <c r="F29" s="76">
        <v>4.666666666666667</v>
      </c>
      <c r="G29" s="20">
        <v>4.7941176470588234</v>
      </c>
      <c r="H29" s="20">
        <v>4.4999999999999991</v>
      </c>
      <c r="I29" s="91" t="s">
        <v>65</v>
      </c>
      <c r="J29" s="20">
        <v>4.625</v>
      </c>
      <c r="K29" s="76">
        <v>4.4210526315789469</v>
      </c>
      <c r="L29" s="24">
        <v>4.7142857142857135</v>
      </c>
      <c r="M29" s="20">
        <v>4</v>
      </c>
      <c r="N29" s="24">
        <v>4</v>
      </c>
      <c r="O29" s="24">
        <v>4.3043478260869561</v>
      </c>
      <c r="P29" s="76">
        <v>4.8181818181818175</v>
      </c>
      <c r="Q29" s="76">
        <v>5</v>
      </c>
      <c r="R29" s="76">
        <v>4.1999999999999993</v>
      </c>
    </row>
    <row r="30" spans="1:18" ht="24" customHeight="1" thickBot="1">
      <c r="A30" s="90" t="s">
        <v>75</v>
      </c>
      <c r="B30" s="76">
        <v>4.5789473684210513</v>
      </c>
      <c r="C30" s="76">
        <v>4.2352941176470598</v>
      </c>
      <c r="D30" s="20">
        <v>5</v>
      </c>
      <c r="E30" s="24">
        <v>4.6190476190476177</v>
      </c>
      <c r="F30" s="76">
        <v>4.666666666666667</v>
      </c>
      <c r="G30" s="20">
        <v>4.8235294117647074</v>
      </c>
      <c r="H30" s="20">
        <v>4.375</v>
      </c>
      <c r="I30" s="91" t="s">
        <v>65</v>
      </c>
      <c r="J30" s="20">
        <v>4.625</v>
      </c>
      <c r="K30" s="76">
        <v>4.3684210526315788</v>
      </c>
      <c r="L30" s="24">
        <v>4.7142857142857135</v>
      </c>
      <c r="M30" s="20">
        <v>3</v>
      </c>
      <c r="N30" s="24">
        <v>4</v>
      </c>
      <c r="O30" s="24">
        <v>4.3043478260869561</v>
      </c>
      <c r="P30" s="76">
        <v>4.8181818181818175</v>
      </c>
      <c r="Q30" s="76">
        <v>5</v>
      </c>
      <c r="R30" s="76">
        <v>4.1999999999999993</v>
      </c>
    </row>
    <row r="31" spans="1:18" ht="24" customHeight="1" thickBot="1">
      <c r="A31" s="90" t="s">
        <v>76</v>
      </c>
      <c r="B31" s="76">
        <v>4.5789473684210513</v>
      </c>
      <c r="C31" s="76">
        <v>4.0196078431372548</v>
      </c>
      <c r="D31" s="20">
        <v>5</v>
      </c>
      <c r="E31" s="24">
        <v>4.4920634920634921</v>
      </c>
      <c r="F31" s="76">
        <v>4.666666666666667</v>
      </c>
      <c r="G31" s="20">
        <v>4.7941176470588234</v>
      </c>
      <c r="H31" s="20">
        <v>4.3750000000000009</v>
      </c>
      <c r="I31" s="91" t="s">
        <v>65</v>
      </c>
      <c r="J31" s="20">
        <v>4.7499999999999991</v>
      </c>
      <c r="K31" s="76">
        <v>4.4210526315789478</v>
      </c>
      <c r="L31" s="24">
        <v>4.5714285714285712</v>
      </c>
      <c r="M31" s="20">
        <v>4</v>
      </c>
      <c r="N31" s="24">
        <v>3.75</v>
      </c>
      <c r="O31" s="24">
        <v>4.2608695652173898</v>
      </c>
      <c r="P31" s="76">
        <v>4.7272727272727275</v>
      </c>
      <c r="Q31" s="76">
        <v>5</v>
      </c>
      <c r="R31" s="76">
        <v>4.3</v>
      </c>
    </row>
    <row r="32" spans="1:18" ht="24" customHeight="1" thickBot="1">
      <c r="A32" s="90" t="s">
        <v>77</v>
      </c>
      <c r="B32" s="76">
        <v>4.5789473684210513</v>
      </c>
      <c r="C32" s="76">
        <v>4.0392156862745106</v>
      </c>
      <c r="D32" s="20">
        <v>5</v>
      </c>
      <c r="E32" s="24">
        <v>4.4603174603174596</v>
      </c>
      <c r="F32" s="76">
        <v>4.4999999999999991</v>
      </c>
      <c r="G32" s="20">
        <v>4.7647058823529402</v>
      </c>
      <c r="H32" s="20">
        <v>4.3124999999999991</v>
      </c>
      <c r="I32" s="91" t="s">
        <v>65</v>
      </c>
      <c r="J32" s="20">
        <v>4.625</v>
      </c>
      <c r="K32" s="76">
        <v>4.4210526315789478</v>
      </c>
      <c r="L32" s="24">
        <v>4.7142857142857135</v>
      </c>
      <c r="M32" s="20">
        <v>3</v>
      </c>
      <c r="N32" s="24">
        <v>3</v>
      </c>
      <c r="O32" s="24">
        <v>4.3260869565217384</v>
      </c>
      <c r="P32" s="76">
        <v>4.7272727272727275</v>
      </c>
      <c r="Q32" s="76">
        <v>5</v>
      </c>
      <c r="R32" s="76">
        <v>4.3</v>
      </c>
    </row>
    <row r="33" spans="1:18" ht="24" customHeight="1" thickBot="1">
      <c r="A33" s="90" t="s">
        <v>78</v>
      </c>
      <c r="B33" s="76">
        <v>4.4736842105263159</v>
      </c>
      <c r="C33" s="76">
        <v>4.1568627450980378</v>
      </c>
      <c r="D33" s="20">
        <v>5</v>
      </c>
      <c r="E33" s="24">
        <v>4.5714285714285712</v>
      </c>
      <c r="F33" s="76">
        <v>4.4999999999999991</v>
      </c>
      <c r="G33" s="20">
        <v>4.8235294117647074</v>
      </c>
      <c r="H33" s="20">
        <v>4.625</v>
      </c>
      <c r="I33" s="91" t="s">
        <v>65</v>
      </c>
      <c r="J33" s="20">
        <v>4.6875</v>
      </c>
      <c r="K33" s="76">
        <v>4.3157894736842106</v>
      </c>
      <c r="L33" s="24">
        <v>4.7142857142857135</v>
      </c>
      <c r="M33" s="20">
        <v>4</v>
      </c>
      <c r="N33" s="24">
        <v>2.75</v>
      </c>
      <c r="O33" s="24">
        <v>4.2826086956521738</v>
      </c>
      <c r="P33" s="76">
        <v>4.9090909090909092</v>
      </c>
      <c r="Q33" s="76">
        <v>5</v>
      </c>
      <c r="R33" s="76">
        <v>4.3</v>
      </c>
    </row>
    <row r="34" spans="1:18" ht="24" customHeight="1" thickBot="1">
      <c r="A34" s="90" t="s">
        <v>79</v>
      </c>
      <c r="B34" s="76">
        <v>4.5263157894736832</v>
      </c>
      <c r="C34" s="76">
        <v>3.9803921568627447</v>
      </c>
      <c r="D34" s="20">
        <v>5</v>
      </c>
      <c r="E34" s="24">
        <v>4.5396825396825395</v>
      </c>
      <c r="F34" s="76">
        <v>4.666666666666667</v>
      </c>
      <c r="G34" s="20">
        <v>4.8529411764705888</v>
      </c>
      <c r="H34" s="20">
        <v>4.5</v>
      </c>
      <c r="I34" s="91" t="s">
        <v>65</v>
      </c>
      <c r="J34" s="20">
        <v>4.625</v>
      </c>
      <c r="K34" s="76">
        <v>4.3157894736842106</v>
      </c>
      <c r="L34" s="24">
        <v>4.5714285714285712</v>
      </c>
      <c r="M34" s="20">
        <v>4</v>
      </c>
      <c r="N34" s="24">
        <v>3</v>
      </c>
      <c r="O34" s="24">
        <v>4.304347826086957</v>
      </c>
      <c r="P34" s="76">
        <v>4.8181818181818175</v>
      </c>
      <c r="Q34" s="76">
        <v>5</v>
      </c>
      <c r="R34" s="76">
        <v>4.3</v>
      </c>
    </row>
    <row r="35" spans="1:18" ht="24" customHeight="1" thickBot="1">
      <c r="A35" s="90" t="s">
        <v>80</v>
      </c>
      <c r="B35" s="76">
        <v>4.4736842105263159</v>
      </c>
      <c r="C35" s="76">
        <v>4.0196078431372548</v>
      </c>
      <c r="D35" s="20">
        <v>5</v>
      </c>
      <c r="E35" s="24">
        <v>4.4920634920634921</v>
      </c>
      <c r="F35" s="76">
        <v>4.6111111111111107</v>
      </c>
      <c r="G35" s="20">
        <v>4.7941176470588234</v>
      </c>
      <c r="H35" s="20">
        <v>4.375</v>
      </c>
      <c r="I35" s="91" t="s">
        <v>65</v>
      </c>
      <c r="J35" s="20">
        <v>4.4374999999999991</v>
      </c>
      <c r="K35" s="76">
        <v>4.4210526315789478</v>
      </c>
      <c r="L35" s="24">
        <v>4.7142857142857135</v>
      </c>
      <c r="M35" s="20">
        <v>4</v>
      </c>
      <c r="N35" s="24">
        <v>3.25</v>
      </c>
      <c r="O35" s="24">
        <v>4.3043478260869561</v>
      </c>
      <c r="P35" s="76">
        <v>4.5454545454545459</v>
      </c>
      <c r="Q35" s="76">
        <v>5</v>
      </c>
      <c r="R35" s="76">
        <v>4.1999999999999993</v>
      </c>
    </row>
    <row r="36" spans="1:18" ht="24" customHeight="1" thickBot="1">
      <c r="A36" s="90" t="s">
        <v>81</v>
      </c>
      <c r="B36" s="76">
        <v>4.421052631578946</v>
      </c>
      <c r="C36" s="76">
        <v>4.235294117647058</v>
      </c>
      <c r="D36" s="20">
        <v>5</v>
      </c>
      <c r="E36" s="24">
        <v>4.5555555555555554</v>
      </c>
      <c r="F36" s="76">
        <v>4.7222222222222223</v>
      </c>
      <c r="G36" s="20">
        <v>4.8529411764705888</v>
      </c>
      <c r="H36" s="20">
        <v>4.5</v>
      </c>
      <c r="I36" s="91" t="s">
        <v>65</v>
      </c>
      <c r="J36" s="20">
        <v>4.6875</v>
      </c>
      <c r="K36" s="76">
        <v>4.3157894736842106</v>
      </c>
      <c r="L36" s="24">
        <v>4.8571428571428568</v>
      </c>
      <c r="M36" s="20">
        <v>4</v>
      </c>
      <c r="N36" s="24">
        <v>2.75</v>
      </c>
      <c r="O36" s="24">
        <v>4.3043478260869561</v>
      </c>
      <c r="P36" s="76">
        <v>4.7272727272727275</v>
      </c>
      <c r="Q36" s="76">
        <v>5</v>
      </c>
      <c r="R36" s="76">
        <v>4.3999999999999995</v>
      </c>
    </row>
    <row r="37" spans="1:18" ht="24" customHeight="1" thickBot="1">
      <c r="A37" s="90" t="s">
        <v>82</v>
      </c>
      <c r="B37" s="76">
        <v>4.5263157894736841</v>
      </c>
      <c r="C37" s="76">
        <v>4.1960784313725501</v>
      </c>
      <c r="D37" s="20">
        <v>5</v>
      </c>
      <c r="E37" s="24">
        <v>4.5396825396825395</v>
      </c>
      <c r="F37" s="76">
        <v>4.5555555555555545</v>
      </c>
      <c r="G37" s="20">
        <v>4.8235294117647074</v>
      </c>
      <c r="H37" s="20">
        <v>4.5625</v>
      </c>
      <c r="I37" s="91" t="s">
        <v>65</v>
      </c>
      <c r="J37" s="20">
        <v>4.625</v>
      </c>
      <c r="K37" s="76">
        <v>4.3157894736842106</v>
      </c>
      <c r="L37" s="24">
        <v>4.8571428571428568</v>
      </c>
      <c r="M37" s="20">
        <v>4</v>
      </c>
      <c r="N37" s="24">
        <v>2.75</v>
      </c>
      <c r="O37" s="24">
        <v>4.2173913043478262</v>
      </c>
      <c r="P37" s="76">
        <v>4.8181818181818175</v>
      </c>
      <c r="Q37" s="76">
        <v>5</v>
      </c>
      <c r="R37" s="76">
        <v>4.3</v>
      </c>
    </row>
    <row r="38" spans="1:18" ht="24" customHeight="1" thickBot="1">
      <c r="A38" s="90" t="s">
        <v>83</v>
      </c>
      <c r="B38" s="76">
        <v>4.5263157894736841</v>
      </c>
      <c r="C38" s="76">
        <v>4.0980392156862742</v>
      </c>
      <c r="D38" s="20">
        <v>5</v>
      </c>
      <c r="E38" s="24">
        <v>4.5079365079365061</v>
      </c>
      <c r="F38" s="76">
        <v>4.666666666666667</v>
      </c>
      <c r="G38" s="20">
        <v>4.7941176470588234</v>
      </c>
      <c r="H38" s="20">
        <v>4.4375</v>
      </c>
      <c r="I38" s="91" t="s">
        <v>65</v>
      </c>
      <c r="J38" s="20">
        <v>4.5624999999999991</v>
      </c>
      <c r="K38" s="76">
        <v>4.2631578947368425</v>
      </c>
      <c r="L38" s="24">
        <v>4.5714285714285712</v>
      </c>
      <c r="M38" s="20">
        <v>4</v>
      </c>
      <c r="N38" s="24">
        <v>2.75</v>
      </c>
      <c r="O38" s="24">
        <v>4.2173913043478262</v>
      </c>
      <c r="P38" s="76">
        <v>4.9090909090909092</v>
      </c>
      <c r="Q38" s="76">
        <v>5</v>
      </c>
      <c r="R38" s="76">
        <v>4.3999999999999995</v>
      </c>
    </row>
    <row r="39" spans="1:18" ht="24" customHeight="1" thickBot="1">
      <c r="A39" s="90" t="s">
        <v>84</v>
      </c>
      <c r="B39" s="76">
        <v>4.6315789473684204</v>
      </c>
      <c r="C39" s="76">
        <v>4.1568627450980387</v>
      </c>
      <c r="D39" s="20">
        <v>5</v>
      </c>
      <c r="E39" s="24">
        <v>4.6190476190476186</v>
      </c>
      <c r="F39" s="76">
        <v>4.5555555555555545</v>
      </c>
      <c r="G39" s="20">
        <v>4.7647058823529402</v>
      </c>
      <c r="H39" s="20">
        <v>4.4999999999999991</v>
      </c>
      <c r="I39" s="91" t="s">
        <v>65</v>
      </c>
      <c r="J39" s="20">
        <v>4.4374999999999991</v>
      </c>
      <c r="K39" s="76">
        <v>4.4210526315789478</v>
      </c>
      <c r="L39" s="24">
        <v>4.5714285714285712</v>
      </c>
      <c r="M39" s="20">
        <v>3</v>
      </c>
      <c r="N39" s="24">
        <v>2.75</v>
      </c>
      <c r="O39" s="24">
        <v>4.2391304347826093</v>
      </c>
      <c r="P39" s="76">
        <v>4.7272727272727275</v>
      </c>
      <c r="Q39" s="76">
        <v>5</v>
      </c>
      <c r="R39" s="76">
        <v>4.3999999999999995</v>
      </c>
    </row>
    <row r="40" spans="1:18" ht="24" customHeight="1" thickBot="1">
      <c r="A40" s="90" t="s">
        <v>85</v>
      </c>
      <c r="B40" s="76">
        <v>4.5789473684210513</v>
      </c>
      <c r="C40" s="76">
        <v>4.1568627450980378</v>
      </c>
      <c r="D40" s="20">
        <v>5</v>
      </c>
      <c r="E40" s="24">
        <v>4.5555555555555554</v>
      </c>
      <c r="F40" s="76">
        <v>4.6111111111111107</v>
      </c>
      <c r="G40" s="20">
        <v>4.7647058823529402</v>
      </c>
      <c r="H40" s="20">
        <v>4.4999999999999991</v>
      </c>
      <c r="I40" s="91" t="s">
        <v>65</v>
      </c>
      <c r="J40" s="20">
        <v>4.625</v>
      </c>
      <c r="K40" s="76">
        <v>4.4210526315789469</v>
      </c>
      <c r="L40" s="24">
        <v>4.8571428571428568</v>
      </c>
      <c r="M40" s="20">
        <v>4</v>
      </c>
      <c r="N40" s="24">
        <v>3</v>
      </c>
      <c r="O40" s="24">
        <v>4.2391304347826093</v>
      </c>
      <c r="P40" s="76">
        <v>4.9090909090909092</v>
      </c>
      <c r="Q40" s="76">
        <v>5</v>
      </c>
      <c r="R40" s="76">
        <v>4.3999999999999995</v>
      </c>
    </row>
    <row r="41" spans="1:18" ht="24" customHeight="1" thickBot="1">
      <c r="A41" s="90" t="s">
        <v>86</v>
      </c>
      <c r="B41" s="76">
        <v>4.5789473684210513</v>
      </c>
      <c r="C41" s="76">
        <v>4.1764705882352926</v>
      </c>
      <c r="D41" s="20">
        <v>5</v>
      </c>
      <c r="E41" s="24">
        <v>4.5238095238095219</v>
      </c>
      <c r="F41" s="76">
        <v>4.5555555555555545</v>
      </c>
      <c r="G41" s="20">
        <v>4.7647058823529402</v>
      </c>
      <c r="H41" s="20">
        <v>4.4375</v>
      </c>
      <c r="I41" s="91" t="s">
        <v>65</v>
      </c>
      <c r="J41" s="20">
        <v>4.625</v>
      </c>
      <c r="K41" s="76">
        <v>4.3157894736842106</v>
      </c>
      <c r="L41" s="24">
        <v>4.8571428571428568</v>
      </c>
      <c r="M41" s="20">
        <v>3</v>
      </c>
      <c r="N41" s="24">
        <v>3.25</v>
      </c>
      <c r="O41" s="24">
        <v>4.1739130434782608</v>
      </c>
      <c r="P41" s="76">
        <v>4.2727272727272725</v>
      </c>
      <c r="Q41" s="76">
        <v>5</v>
      </c>
      <c r="R41" s="76">
        <v>4.5000000000000009</v>
      </c>
    </row>
    <row r="42" spans="1:18" ht="24" customHeight="1" thickBot="1">
      <c r="A42" s="90" t="s">
        <v>87</v>
      </c>
      <c r="B42" s="76">
        <v>4.5263157894736841</v>
      </c>
      <c r="C42" s="76">
        <v>4.1764705882352944</v>
      </c>
      <c r="D42" s="20">
        <v>5</v>
      </c>
      <c r="E42" s="24">
        <v>4.6190476190476186</v>
      </c>
      <c r="F42" s="76">
        <v>4.666666666666667</v>
      </c>
      <c r="G42" s="20">
        <v>4.7647058823529402</v>
      </c>
      <c r="H42" s="20">
        <v>4.5625</v>
      </c>
      <c r="I42" s="91" t="s">
        <v>65</v>
      </c>
      <c r="J42" s="20">
        <v>4.5624999999999991</v>
      </c>
      <c r="K42" s="76">
        <v>4.3684210526315788</v>
      </c>
      <c r="L42" s="24">
        <v>4.8571428571428568</v>
      </c>
      <c r="M42" s="20">
        <v>3</v>
      </c>
      <c r="N42" s="24">
        <v>3</v>
      </c>
      <c r="O42" s="24">
        <v>4.3043478260869561</v>
      </c>
      <c r="P42" s="76">
        <v>4.9090909090909092</v>
      </c>
      <c r="Q42" s="76">
        <v>5</v>
      </c>
      <c r="R42" s="76">
        <v>4.3999999999999995</v>
      </c>
    </row>
    <row r="43" spans="1:18" ht="24" customHeight="1" thickBot="1">
      <c r="A43" s="90" t="s">
        <v>88</v>
      </c>
      <c r="B43" s="76">
        <v>4.6842105263157894</v>
      </c>
      <c r="C43" s="76">
        <v>4.3333333333333321</v>
      </c>
      <c r="D43" s="20">
        <v>5</v>
      </c>
      <c r="E43" s="24">
        <v>4.6349206349206327</v>
      </c>
      <c r="F43" s="76">
        <v>4.7222222222222223</v>
      </c>
      <c r="G43" s="20">
        <v>4.8235294117647065</v>
      </c>
      <c r="H43" s="20">
        <v>4.625</v>
      </c>
      <c r="I43" s="91" t="s">
        <v>65</v>
      </c>
      <c r="J43" s="20">
        <v>4.6875</v>
      </c>
      <c r="K43" s="76">
        <v>4.3684210526315788</v>
      </c>
      <c r="L43" s="24">
        <v>4.8571428571428568</v>
      </c>
      <c r="M43" s="20">
        <v>4</v>
      </c>
      <c r="N43" s="24">
        <v>3.5</v>
      </c>
      <c r="O43" s="24">
        <v>4.2608695652173907</v>
      </c>
      <c r="P43" s="76">
        <v>4.9090909090909092</v>
      </c>
      <c r="Q43" s="76">
        <v>5</v>
      </c>
      <c r="R43" s="76">
        <v>4.5000000000000009</v>
      </c>
    </row>
    <row r="44" spans="1:18" ht="24" customHeight="1">
      <c r="A44" s="8" t="s">
        <v>9</v>
      </c>
      <c r="B44" s="76">
        <v>4.5657894736842106</v>
      </c>
      <c r="C44" s="76">
        <v>4.1335784313725501</v>
      </c>
      <c r="D44" s="20">
        <v>5</v>
      </c>
      <c r="E44" s="24">
        <v>4.5515873015873014</v>
      </c>
      <c r="F44" s="76">
        <v>4.6250000000000009</v>
      </c>
      <c r="G44" s="20">
        <v>4.8014705882352935</v>
      </c>
      <c r="H44" s="20">
        <v>4.484375</v>
      </c>
      <c r="I44" s="91" t="s">
        <v>65</v>
      </c>
      <c r="J44" s="20">
        <v>4.609375</v>
      </c>
      <c r="K44" s="76">
        <v>4.3651315789473681</v>
      </c>
      <c r="L44" s="24">
        <v>4.7321428571428568</v>
      </c>
      <c r="M44" s="20">
        <v>3.6875</v>
      </c>
      <c r="N44" s="24">
        <v>3.1875</v>
      </c>
      <c r="O44" s="24">
        <v>4.2690217391304364</v>
      </c>
      <c r="P44" s="76">
        <v>4.7727272727272725</v>
      </c>
      <c r="Q44" s="76">
        <v>5</v>
      </c>
      <c r="R44" s="76">
        <v>4.3250000000000002</v>
      </c>
    </row>
    <row r="45" spans="1:18">
      <c r="A45" s="8" t="s">
        <v>10</v>
      </c>
      <c r="B45" s="64">
        <f t="shared" ref="B45:H45" si="1">B44*20</f>
        <v>91.31578947368422</v>
      </c>
      <c r="C45" s="64">
        <f t="shared" si="1"/>
        <v>82.671568627450995</v>
      </c>
      <c r="D45" s="64">
        <f t="shared" si="1"/>
        <v>100</v>
      </c>
      <c r="E45" s="64">
        <f t="shared" si="1"/>
        <v>91.031746031746025</v>
      </c>
      <c r="F45" s="64">
        <f t="shared" si="1"/>
        <v>92.500000000000014</v>
      </c>
      <c r="G45" s="64">
        <f>G44*20</f>
        <v>96.02941176470587</v>
      </c>
      <c r="H45" s="64">
        <f t="shared" si="1"/>
        <v>89.6875</v>
      </c>
      <c r="I45" s="91" t="s">
        <v>65</v>
      </c>
      <c r="J45" s="64">
        <f t="shared" ref="J45" si="2">J44*20</f>
        <v>92.1875</v>
      </c>
      <c r="K45" s="64">
        <f>K44*20</f>
        <v>87.30263157894737</v>
      </c>
      <c r="L45" s="64">
        <f>L44*20</f>
        <v>94.642857142857139</v>
      </c>
      <c r="M45" s="64">
        <f>M44*20</f>
        <v>73.75</v>
      </c>
      <c r="N45" s="64">
        <f>N44*20</f>
        <v>63.75</v>
      </c>
      <c r="O45" s="64">
        <f>O44*20</f>
        <v>85.380434782608731</v>
      </c>
      <c r="P45" s="64">
        <f t="shared" ref="P45" si="3">P44*20</f>
        <v>95.454545454545453</v>
      </c>
      <c r="Q45" s="64">
        <f>Q44*20</f>
        <v>100</v>
      </c>
      <c r="R45" s="64">
        <f>R44*20</f>
        <v>86.5</v>
      </c>
    </row>
    <row r="46" spans="1:18">
      <c r="A46" s="77" t="s">
        <v>44</v>
      </c>
      <c r="B46" s="78">
        <v>100</v>
      </c>
      <c r="C46" s="79">
        <v>96.078431372549019</v>
      </c>
      <c r="D46" s="78">
        <v>100</v>
      </c>
      <c r="E46" s="78">
        <v>100</v>
      </c>
      <c r="F46" s="78">
        <v>100</v>
      </c>
      <c r="G46" s="78">
        <v>100</v>
      </c>
      <c r="H46" s="78">
        <v>100</v>
      </c>
      <c r="I46" s="80" t="s">
        <v>66</v>
      </c>
      <c r="J46" s="78">
        <v>100</v>
      </c>
      <c r="K46" s="79">
        <v>100</v>
      </c>
      <c r="L46" s="79">
        <v>100</v>
      </c>
      <c r="M46" s="78">
        <v>100</v>
      </c>
      <c r="N46" s="79">
        <v>50</v>
      </c>
      <c r="O46" s="79">
        <v>86.956521739130437</v>
      </c>
      <c r="P46" s="79">
        <v>100</v>
      </c>
      <c r="Q46" s="79">
        <v>100</v>
      </c>
      <c r="R46" s="79">
        <v>100</v>
      </c>
    </row>
    <row r="48" spans="1:18" ht="24" customHeight="1"/>
    <row r="49" spans="1:16" s="14" customFormat="1" ht="24" customHeight="1">
      <c r="A49" s="6" t="s">
        <v>0</v>
      </c>
      <c r="B49" s="5" t="s">
        <v>46</v>
      </c>
      <c r="C49" s="5" t="s">
        <v>12</v>
      </c>
      <c r="D49" s="5" t="s">
        <v>48</v>
      </c>
      <c r="E49" s="5" t="s">
        <v>89</v>
      </c>
      <c r="F49" s="5" t="s">
        <v>14</v>
      </c>
      <c r="G49" s="5" t="s">
        <v>92</v>
      </c>
      <c r="H49" s="17" t="s">
        <v>52</v>
      </c>
      <c r="I49" s="5" t="s">
        <v>15</v>
      </c>
      <c r="J49" s="5" t="s">
        <v>16</v>
      </c>
      <c r="K49" s="5" t="s">
        <v>17</v>
      </c>
      <c r="L49" s="5" t="s">
        <v>18</v>
      </c>
      <c r="M49" s="5" t="s">
        <v>19</v>
      </c>
      <c r="N49" s="5" t="s">
        <v>47</v>
      </c>
      <c r="O49" s="5" t="s">
        <v>20</v>
      </c>
      <c r="P49" s="5" t="s">
        <v>21</v>
      </c>
    </row>
    <row r="50" spans="1:16" s="26" customFormat="1" ht="24" customHeight="1" thickBot="1">
      <c r="A50" s="8" t="s">
        <v>8</v>
      </c>
      <c r="B50" s="25">
        <v>29</v>
      </c>
      <c r="C50" s="31">
        <v>38</v>
      </c>
      <c r="D50" s="25">
        <v>28</v>
      </c>
      <c r="E50" s="25">
        <v>7</v>
      </c>
      <c r="F50" s="25">
        <v>22</v>
      </c>
      <c r="G50" s="25">
        <v>21</v>
      </c>
      <c r="H50" s="62">
        <v>1</v>
      </c>
      <c r="I50" s="25">
        <v>73</v>
      </c>
      <c r="J50" s="25">
        <v>64</v>
      </c>
      <c r="K50" s="62">
        <v>157</v>
      </c>
      <c r="L50" s="27">
        <v>39</v>
      </c>
      <c r="M50" s="28">
        <v>54</v>
      </c>
      <c r="N50" s="25">
        <v>54</v>
      </c>
      <c r="O50" s="62" t="s">
        <v>65</v>
      </c>
      <c r="P50" s="25">
        <v>32</v>
      </c>
    </row>
    <row r="51" spans="1:16" ht="24" customHeight="1" thickBot="1">
      <c r="A51" s="89" t="s">
        <v>73</v>
      </c>
      <c r="B51" s="21">
        <v>4.7931034482758621</v>
      </c>
      <c r="C51" s="32">
        <v>4.1842105263157903</v>
      </c>
      <c r="D51" s="21">
        <v>4.3571428571428577</v>
      </c>
      <c r="E51" s="21">
        <v>4.7142857142857135</v>
      </c>
      <c r="F51" s="21">
        <v>4.6363636363636358</v>
      </c>
      <c r="G51" s="21">
        <v>4.428571428571427</v>
      </c>
      <c r="H51" s="76">
        <v>5</v>
      </c>
      <c r="I51" s="21">
        <v>4.2739726027397253</v>
      </c>
      <c r="J51" s="21">
        <v>4.5312500000000009</v>
      </c>
      <c r="K51" s="76">
        <v>4.5987261146496827</v>
      </c>
      <c r="L51" s="21">
        <v>4.6410256410256414</v>
      </c>
      <c r="M51" s="21">
        <v>4.7037037037037042</v>
      </c>
      <c r="N51" s="21">
        <v>4.481481481481481</v>
      </c>
      <c r="O51" s="62" t="s">
        <v>65</v>
      </c>
      <c r="P51" s="23">
        <v>4.5625000000000009</v>
      </c>
    </row>
    <row r="52" spans="1:16" ht="24" customHeight="1" thickBot="1">
      <c r="A52" s="90" t="s">
        <v>74</v>
      </c>
      <c r="B52" s="21">
        <v>4.6896551724137945</v>
      </c>
      <c r="C52" s="32">
        <v>4.1842105263157903</v>
      </c>
      <c r="D52" s="21">
        <v>4.4642857142857144</v>
      </c>
      <c r="E52" s="21">
        <v>5</v>
      </c>
      <c r="F52" s="21">
        <v>4.6363636363636367</v>
      </c>
      <c r="G52" s="21">
        <v>4.2857142857142856</v>
      </c>
      <c r="H52" s="76">
        <v>5</v>
      </c>
      <c r="I52" s="21">
        <v>4.4109589041095898</v>
      </c>
      <c r="J52" s="21">
        <v>4.5156249999999991</v>
      </c>
      <c r="K52" s="76">
        <v>4.5923566878980875</v>
      </c>
      <c r="L52" s="21">
        <v>4.6923076923076925</v>
      </c>
      <c r="M52" s="21">
        <v>4.6296296296296306</v>
      </c>
      <c r="N52" s="21">
        <v>4.3518518518518521</v>
      </c>
      <c r="O52" s="62" t="s">
        <v>65</v>
      </c>
      <c r="P52" s="23">
        <v>4.53125</v>
      </c>
    </row>
    <row r="53" spans="1:16" ht="24" customHeight="1" thickBot="1">
      <c r="A53" s="90" t="s">
        <v>75</v>
      </c>
      <c r="B53" s="21">
        <v>4.793103448275863</v>
      </c>
      <c r="C53" s="32">
        <v>4.2368421052631575</v>
      </c>
      <c r="D53" s="21">
        <v>4.4285714285714279</v>
      </c>
      <c r="E53" s="21">
        <v>4.8571428571428568</v>
      </c>
      <c r="F53" s="21">
        <v>4.7272727272727275</v>
      </c>
      <c r="G53" s="21">
        <v>4.3333333333333339</v>
      </c>
      <c r="H53" s="76">
        <v>5</v>
      </c>
      <c r="I53" s="21">
        <v>4.3835616438356144</v>
      </c>
      <c r="J53" s="21">
        <v>4.4218750000000018</v>
      </c>
      <c r="K53" s="76">
        <v>4.5923566878980875</v>
      </c>
      <c r="L53" s="21">
        <v>4.5897435897435903</v>
      </c>
      <c r="M53" s="21">
        <v>4.5925925925925908</v>
      </c>
      <c r="N53" s="21">
        <v>4.2962962962962958</v>
      </c>
      <c r="O53" s="62" t="s">
        <v>65</v>
      </c>
      <c r="P53" s="23">
        <v>4.4687500000000009</v>
      </c>
    </row>
    <row r="54" spans="1:16" ht="24" customHeight="1" thickBot="1">
      <c r="A54" s="90" t="s">
        <v>76</v>
      </c>
      <c r="B54" s="21">
        <v>4.7586206896551735</v>
      </c>
      <c r="C54" s="32">
        <v>4.2105263157894752</v>
      </c>
      <c r="D54" s="21">
        <v>4.3928571428571423</v>
      </c>
      <c r="E54" s="21">
        <v>5</v>
      </c>
      <c r="F54" s="21">
        <v>4.5454545454545441</v>
      </c>
      <c r="G54" s="21">
        <v>4.3333333333333339</v>
      </c>
      <c r="H54" s="76">
        <v>5</v>
      </c>
      <c r="I54" s="21">
        <v>4.4109589041095889</v>
      </c>
      <c r="J54" s="21">
        <v>4.53125</v>
      </c>
      <c r="K54" s="76">
        <v>4.5859872611464967</v>
      </c>
      <c r="L54" s="21">
        <v>4.5641025641025639</v>
      </c>
      <c r="M54" s="21">
        <v>4.6666666666666661</v>
      </c>
      <c r="N54" s="21">
        <v>4.2222222222222223</v>
      </c>
      <c r="O54" s="62" t="s">
        <v>65</v>
      </c>
      <c r="P54" s="23">
        <v>4.5937499999999991</v>
      </c>
    </row>
    <row r="55" spans="1:16" ht="24" customHeight="1" thickBot="1">
      <c r="A55" s="90" t="s">
        <v>77</v>
      </c>
      <c r="B55" s="21">
        <v>4.793103448275863</v>
      </c>
      <c r="C55" s="32">
        <v>4.2105263157894752</v>
      </c>
      <c r="D55" s="21">
        <v>4.3214285714285703</v>
      </c>
      <c r="E55" s="21">
        <v>5</v>
      </c>
      <c r="F55" s="21">
        <v>4.5</v>
      </c>
      <c r="G55" s="21">
        <v>4.3333333333333339</v>
      </c>
      <c r="H55" s="76">
        <v>5</v>
      </c>
      <c r="I55" s="21">
        <v>4.2876712328767113</v>
      </c>
      <c r="J55" s="21">
        <v>4.5312500000000009</v>
      </c>
      <c r="K55" s="76">
        <v>4.579617834394905</v>
      </c>
      <c r="L55" s="21">
        <v>4.5384615384615383</v>
      </c>
      <c r="M55" s="21">
        <v>4.5370370370370381</v>
      </c>
      <c r="N55" s="21">
        <v>4.2222222222222223</v>
      </c>
      <c r="O55" s="62" t="s">
        <v>65</v>
      </c>
      <c r="P55" s="23">
        <v>4.4687500000000009</v>
      </c>
    </row>
    <row r="56" spans="1:16" ht="24" customHeight="1" thickBot="1">
      <c r="A56" s="90" t="s">
        <v>78</v>
      </c>
      <c r="B56" s="21">
        <v>4.6896551724137945</v>
      </c>
      <c r="C56" s="32">
        <v>4.1842105263157903</v>
      </c>
      <c r="D56" s="21">
        <v>4.3928571428571423</v>
      </c>
      <c r="E56" s="21">
        <v>5</v>
      </c>
      <c r="F56" s="21">
        <v>4.7272727272727275</v>
      </c>
      <c r="G56" s="21">
        <v>4.428571428571427</v>
      </c>
      <c r="H56" s="76">
        <v>5</v>
      </c>
      <c r="I56" s="21">
        <v>4.465753424657537</v>
      </c>
      <c r="J56" s="21">
        <v>4.5312499999999991</v>
      </c>
      <c r="K56" s="76">
        <v>4.6178343949044578</v>
      </c>
      <c r="L56" s="21">
        <v>4.5641025641025639</v>
      </c>
      <c r="M56" s="21">
        <v>4.5555555555555536</v>
      </c>
      <c r="N56" s="21">
        <v>4.2777777777777777</v>
      </c>
      <c r="O56" s="62" t="s">
        <v>65</v>
      </c>
      <c r="P56" s="23">
        <v>4.6875</v>
      </c>
    </row>
    <row r="57" spans="1:16" ht="24" customHeight="1" thickBot="1">
      <c r="A57" s="90" t="s">
        <v>79</v>
      </c>
      <c r="B57" s="21">
        <v>4.724137931034484</v>
      </c>
      <c r="C57" s="32">
        <v>4.2105263157894752</v>
      </c>
      <c r="D57" s="21">
        <v>4.3571428571428577</v>
      </c>
      <c r="E57" s="21">
        <v>5</v>
      </c>
      <c r="F57" s="21">
        <v>4.7727272727272725</v>
      </c>
      <c r="G57" s="21">
        <v>4.4761904761904745</v>
      </c>
      <c r="H57" s="76">
        <v>5</v>
      </c>
      <c r="I57" s="21">
        <v>4.4520547945205484</v>
      </c>
      <c r="J57" s="21">
        <v>4.671875</v>
      </c>
      <c r="K57" s="76">
        <v>4.6687898089171966</v>
      </c>
      <c r="L57" s="21">
        <v>4.6153846153846159</v>
      </c>
      <c r="M57" s="21">
        <v>4.6666666666666661</v>
      </c>
      <c r="N57" s="21">
        <v>4.4444444444444446</v>
      </c>
      <c r="O57" s="62" t="s">
        <v>65</v>
      </c>
      <c r="P57" s="23">
        <v>4.6249999999999991</v>
      </c>
    </row>
    <row r="58" spans="1:16" ht="24" customHeight="1" thickBot="1">
      <c r="A58" s="90" t="s">
        <v>80</v>
      </c>
      <c r="B58" s="21">
        <v>4.655172413793105</v>
      </c>
      <c r="C58" s="32">
        <v>4.1578947368421053</v>
      </c>
      <c r="D58" s="21">
        <v>4.3571428571428577</v>
      </c>
      <c r="E58" s="21">
        <v>5</v>
      </c>
      <c r="F58" s="21">
        <v>4.6363636363636358</v>
      </c>
      <c r="G58" s="21">
        <v>4.3333333333333339</v>
      </c>
      <c r="H58" s="76">
        <v>5</v>
      </c>
      <c r="I58" s="21">
        <v>4.3698630136986285</v>
      </c>
      <c r="J58" s="21">
        <v>4.5781249999999991</v>
      </c>
      <c r="K58" s="76">
        <v>4.5668789808917225</v>
      </c>
      <c r="L58" s="21">
        <v>4.6153846153846159</v>
      </c>
      <c r="M58" s="21">
        <v>4.5370370370370381</v>
      </c>
      <c r="N58" s="21">
        <v>4.3333333333333339</v>
      </c>
      <c r="O58" s="62" t="s">
        <v>65</v>
      </c>
      <c r="P58" s="23">
        <v>4.5</v>
      </c>
    </row>
    <row r="59" spans="1:16" ht="24" customHeight="1" thickBot="1">
      <c r="A59" s="90" t="s">
        <v>81</v>
      </c>
      <c r="B59" s="21">
        <v>4.7586206896551726</v>
      </c>
      <c r="C59" s="32">
        <v>4.1842105263157903</v>
      </c>
      <c r="D59" s="21">
        <v>4.5000000000000009</v>
      </c>
      <c r="E59" s="21">
        <v>4.8571428571428568</v>
      </c>
      <c r="F59" s="21">
        <v>4.7272727272727266</v>
      </c>
      <c r="G59" s="21">
        <v>4.5238095238095237</v>
      </c>
      <c r="H59" s="76">
        <v>5</v>
      </c>
      <c r="I59" s="21">
        <v>4.4794520547945211</v>
      </c>
      <c r="J59" s="21">
        <v>4.609375</v>
      </c>
      <c r="K59" s="76">
        <v>4.6242038216560513</v>
      </c>
      <c r="L59" s="21">
        <v>4.5384615384615383</v>
      </c>
      <c r="M59" s="21">
        <v>4.6666666666666661</v>
      </c>
      <c r="N59" s="21">
        <v>4.4259259259259256</v>
      </c>
      <c r="O59" s="62" t="s">
        <v>65</v>
      </c>
      <c r="P59" s="23">
        <v>4.5625</v>
      </c>
    </row>
    <row r="60" spans="1:16" ht="24" customHeight="1" thickBot="1">
      <c r="A60" s="90" t="s">
        <v>82</v>
      </c>
      <c r="B60" s="21">
        <v>4.655172413793105</v>
      </c>
      <c r="C60" s="32">
        <v>4.2105263157894752</v>
      </c>
      <c r="D60" s="21">
        <v>4.4285714285714279</v>
      </c>
      <c r="E60" s="21">
        <v>5</v>
      </c>
      <c r="F60" s="21">
        <v>4.6363636363636358</v>
      </c>
      <c r="G60" s="21">
        <v>4.3333333333333339</v>
      </c>
      <c r="H60" s="76">
        <v>5</v>
      </c>
      <c r="I60" s="21">
        <v>4.4794520547945211</v>
      </c>
      <c r="J60" s="21">
        <v>4.546875</v>
      </c>
      <c r="K60" s="76">
        <v>4.6050955414012762</v>
      </c>
      <c r="L60" s="21">
        <v>4.5384615384615383</v>
      </c>
      <c r="M60" s="21">
        <v>4.6296296296296298</v>
      </c>
      <c r="N60" s="21">
        <v>4.3703703703703694</v>
      </c>
      <c r="O60" s="62" t="s">
        <v>65</v>
      </c>
      <c r="P60" s="23">
        <v>4.6562499999999991</v>
      </c>
    </row>
    <row r="61" spans="1:16" ht="24" customHeight="1" thickBot="1">
      <c r="A61" s="90" t="s">
        <v>83</v>
      </c>
      <c r="B61" s="21">
        <v>4.7241379310344849</v>
      </c>
      <c r="C61" s="32">
        <v>4.1842105263157903</v>
      </c>
      <c r="D61" s="21">
        <v>4.3214285714285703</v>
      </c>
      <c r="E61" s="21">
        <v>4.8571428571428568</v>
      </c>
      <c r="F61" s="21">
        <v>4.6363636363636358</v>
      </c>
      <c r="G61" s="21">
        <v>4.5238095238095237</v>
      </c>
      <c r="H61" s="76">
        <v>5</v>
      </c>
      <c r="I61" s="21">
        <v>4.4246575342465757</v>
      </c>
      <c r="J61" s="21">
        <v>4.6562499999999991</v>
      </c>
      <c r="K61" s="76">
        <v>4.6305732484076421</v>
      </c>
      <c r="L61" s="21">
        <v>4.6666666666666661</v>
      </c>
      <c r="M61" s="21">
        <v>4.6296296296296298</v>
      </c>
      <c r="N61" s="21">
        <v>4.4444444444444429</v>
      </c>
      <c r="O61" s="62" t="s">
        <v>65</v>
      </c>
      <c r="P61" s="23">
        <v>4.71875</v>
      </c>
    </row>
    <row r="62" spans="1:16" ht="24" customHeight="1" thickBot="1">
      <c r="A62" s="90" t="s">
        <v>84</v>
      </c>
      <c r="B62" s="21">
        <v>4.7586206896551726</v>
      </c>
      <c r="C62" s="32">
        <v>4.0789473684210531</v>
      </c>
      <c r="D62" s="21">
        <v>4.3214285714285703</v>
      </c>
      <c r="E62" s="21">
        <v>5</v>
      </c>
      <c r="F62" s="21">
        <v>4.5454545454545441</v>
      </c>
      <c r="G62" s="21">
        <v>4.3333333333333339</v>
      </c>
      <c r="H62" s="76">
        <v>5</v>
      </c>
      <c r="I62" s="21">
        <v>4.3835616438356144</v>
      </c>
      <c r="J62" s="21">
        <v>4.59375</v>
      </c>
      <c r="K62" s="76">
        <v>4.579617834394905</v>
      </c>
      <c r="L62" s="21">
        <v>4.5897435897435903</v>
      </c>
      <c r="M62" s="21">
        <v>4.5925925925925908</v>
      </c>
      <c r="N62" s="21">
        <v>4.2962962962962941</v>
      </c>
      <c r="O62" s="62" t="s">
        <v>65</v>
      </c>
      <c r="P62" s="23">
        <v>4.6249999999999991</v>
      </c>
    </row>
    <row r="63" spans="1:16" ht="24" customHeight="1" thickBot="1">
      <c r="A63" s="90" t="s">
        <v>85</v>
      </c>
      <c r="B63" s="21">
        <v>4.7586206896551735</v>
      </c>
      <c r="C63" s="32">
        <v>4.1052631578947363</v>
      </c>
      <c r="D63" s="21">
        <v>4.3928571428571423</v>
      </c>
      <c r="E63" s="21">
        <v>5</v>
      </c>
      <c r="F63" s="21">
        <v>4.5454545454545441</v>
      </c>
      <c r="G63" s="21">
        <v>4.3809523809523805</v>
      </c>
      <c r="H63" s="76">
        <v>5</v>
      </c>
      <c r="I63" s="21">
        <v>4.4383561643835598</v>
      </c>
      <c r="J63" s="21">
        <v>4.5156249999999991</v>
      </c>
      <c r="K63" s="76">
        <v>4.5923566878980875</v>
      </c>
      <c r="L63" s="21">
        <v>4.5384615384615383</v>
      </c>
      <c r="M63" s="21">
        <v>4.6111111111111107</v>
      </c>
      <c r="N63" s="21">
        <v>4.3333333333333339</v>
      </c>
      <c r="O63" s="62" t="s">
        <v>65</v>
      </c>
      <c r="P63" s="23">
        <v>4.6562499999999991</v>
      </c>
    </row>
    <row r="64" spans="1:16" ht="24" customHeight="1" thickBot="1">
      <c r="A64" s="90" t="s">
        <v>86</v>
      </c>
      <c r="B64" s="21">
        <v>4.655172413793105</v>
      </c>
      <c r="C64" s="32">
        <v>4.1842105263157903</v>
      </c>
      <c r="D64" s="21">
        <v>4.3928571428571423</v>
      </c>
      <c r="E64" s="21">
        <v>5</v>
      </c>
      <c r="F64" s="21">
        <v>4.4545454545454541</v>
      </c>
      <c r="G64" s="21">
        <v>4.3809523809523805</v>
      </c>
      <c r="H64" s="76">
        <v>5</v>
      </c>
      <c r="I64" s="21">
        <v>4.4109589041095889</v>
      </c>
      <c r="J64" s="21">
        <v>4.5625000000000009</v>
      </c>
      <c r="K64" s="76">
        <v>4.6178343949044578</v>
      </c>
      <c r="L64" s="21">
        <v>4.5641025641025639</v>
      </c>
      <c r="M64" s="21">
        <v>4.5555555555555545</v>
      </c>
      <c r="N64" s="21">
        <v>4.3888888888888893</v>
      </c>
      <c r="O64" s="62" t="s">
        <v>65</v>
      </c>
      <c r="P64" s="23">
        <v>4.625</v>
      </c>
    </row>
    <row r="65" spans="1:16" ht="24" customHeight="1" thickBot="1">
      <c r="A65" s="90" t="s">
        <v>87</v>
      </c>
      <c r="B65" s="21">
        <v>4.6206896551724137</v>
      </c>
      <c r="C65" s="32">
        <v>4.1315789473684204</v>
      </c>
      <c r="D65" s="21">
        <v>4.5000000000000009</v>
      </c>
      <c r="E65" s="21">
        <v>5</v>
      </c>
      <c r="F65" s="21">
        <v>4.5</v>
      </c>
      <c r="G65" s="21">
        <v>4.3809523809523805</v>
      </c>
      <c r="H65" s="76">
        <v>5</v>
      </c>
      <c r="I65" s="21">
        <v>4.5205479452054789</v>
      </c>
      <c r="J65" s="21">
        <v>4.609375</v>
      </c>
      <c r="K65" s="76">
        <v>4.6114649681528679</v>
      </c>
      <c r="L65" s="21">
        <v>4.6153846153846159</v>
      </c>
      <c r="M65" s="21">
        <v>4.6481481481481479</v>
      </c>
      <c r="N65" s="21">
        <v>4.3888888888888902</v>
      </c>
      <c r="O65" s="62" t="s">
        <v>65</v>
      </c>
      <c r="P65" s="23">
        <v>4.625</v>
      </c>
    </row>
    <row r="66" spans="1:16" ht="24" customHeight="1" thickBot="1">
      <c r="A66" s="90" t="s">
        <v>88</v>
      </c>
      <c r="B66" s="21">
        <v>4.5862068965517242</v>
      </c>
      <c r="C66" s="32">
        <v>4.1842105263157903</v>
      </c>
      <c r="D66" s="21">
        <v>4.5357142857142856</v>
      </c>
      <c r="E66" s="21">
        <v>5</v>
      </c>
      <c r="F66" s="21">
        <v>4.7272727272727275</v>
      </c>
      <c r="G66" s="21">
        <v>4.428571428571427</v>
      </c>
      <c r="H66" s="76">
        <v>5</v>
      </c>
      <c r="I66" s="21">
        <v>4.5479452054794534</v>
      </c>
      <c r="J66" s="21">
        <v>4.6718750000000009</v>
      </c>
      <c r="K66" s="76">
        <v>4.6687898089171966</v>
      </c>
      <c r="L66" s="21">
        <v>4.7435897435897454</v>
      </c>
      <c r="M66" s="21">
        <v>4.7222222222222223</v>
      </c>
      <c r="N66" s="21">
        <v>4.5185185185185173</v>
      </c>
      <c r="O66" s="62" t="s">
        <v>65</v>
      </c>
      <c r="P66" s="23">
        <v>4.5937499999999991</v>
      </c>
    </row>
    <row r="67" spans="1:16" ht="24" customHeight="1">
      <c r="A67" s="8" t="s">
        <v>9</v>
      </c>
      <c r="B67" s="21">
        <v>4.7133620689655178</v>
      </c>
      <c r="C67" s="75">
        <v>4.1776315789473673</v>
      </c>
      <c r="D67" s="21">
        <v>4.4040178571428577</v>
      </c>
      <c r="E67" s="21">
        <v>4.9553571428571432</v>
      </c>
      <c r="F67" s="21">
        <v>4.6221590909090899</v>
      </c>
      <c r="G67" s="21">
        <v>4.3898809523809526</v>
      </c>
      <c r="H67" s="76">
        <v>5</v>
      </c>
      <c r="I67" s="21">
        <v>4.4212328767123283</v>
      </c>
      <c r="J67" s="21">
        <v>4.5673828125000018</v>
      </c>
      <c r="K67" s="76">
        <v>4.6082802547770703</v>
      </c>
      <c r="L67" s="21">
        <v>4.6009615384615374</v>
      </c>
      <c r="M67" s="21">
        <v>4.6215277777777777</v>
      </c>
      <c r="N67" s="21">
        <v>4.362268518518519</v>
      </c>
      <c r="O67" s="62" t="s">
        <v>65</v>
      </c>
      <c r="P67" s="23">
        <v>4.5937499999999991</v>
      </c>
    </row>
    <row r="68" spans="1:16">
      <c r="A68" s="8" t="s">
        <v>10</v>
      </c>
      <c r="B68" s="64">
        <f t="shared" ref="B68:D68" si="4">B67*20</f>
        <v>94.267241379310349</v>
      </c>
      <c r="C68" s="64">
        <f t="shared" si="4"/>
        <v>83.552631578947341</v>
      </c>
      <c r="D68" s="64">
        <f t="shared" si="4"/>
        <v>88.080357142857153</v>
      </c>
      <c r="E68" s="64">
        <f t="shared" ref="E68" si="5">E67*20</f>
        <v>99.107142857142861</v>
      </c>
      <c r="F68" s="64">
        <f t="shared" ref="F68:N68" si="6">F67*20</f>
        <v>92.443181818181799</v>
      </c>
      <c r="G68" s="64">
        <f t="shared" si="6"/>
        <v>87.797619047619051</v>
      </c>
      <c r="H68" s="64">
        <f t="shared" si="6"/>
        <v>100</v>
      </c>
      <c r="I68" s="64">
        <f t="shared" si="6"/>
        <v>88.424657534246563</v>
      </c>
      <c r="J68" s="64">
        <f t="shared" si="6"/>
        <v>91.347656250000028</v>
      </c>
      <c r="K68" s="64">
        <f t="shared" si="6"/>
        <v>92.165605095541409</v>
      </c>
      <c r="L68" s="64">
        <f t="shared" si="6"/>
        <v>92.019230769230745</v>
      </c>
      <c r="M68" s="64">
        <f t="shared" si="6"/>
        <v>92.430555555555557</v>
      </c>
      <c r="N68" s="64">
        <f t="shared" si="6"/>
        <v>87.245370370370381</v>
      </c>
      <c r="O68" s="62" t="s">
        <v>65</v>
      </c>
      <c r="P68" s="64">
        <f>P67*20</f>
        <v>91.874999999999986</v>
      </c>
    </row>
    <row r="69" spans="1:16">
      <c r="A69" s="16" t="s">
        <v>44</v>
      </c>
      <c r="B69" s="63">
        <v>100</v>
      </c>
      <c r="C69" s="63">
        <v>100</v>
      </c>
      <c r="D69" s="63">
        <v>96.428571428571431</v>
      </c>
      <c r="E69" s="63">
        <v>100</v>
      </c>
      <c r="F69" s="63">
        <v>100</v>
      </c>
      <c r="G69" s="63">
        <v>95.238095238095241</v>
      </c>
      <c r="H69" s="63">
        <v>100</v>
      </c>
      <c r="I69" s="63">
        <v>100</v>
      </c>
      <c r="J69" s="65">
        <v>92.1875</v>
      </c>
      <c r="K69" s="22">
        <v>99.363057324840767</v>
      </c>
      <c r="L69" s="63">
        <v>89.743589743589737</v>
      </c>
      <c r="M69" s="63">
        <v>94.444444444444443</v>
      </c>
      <c r="N69" s="63">
        <v>83.333333333333329</v>
      </c>
      <c r="O69" s="80" t="s">
        <v>66</v>
      </c>
      <c r="P69" s="63">
        <v>90.625</v>
      </c>
    </row>
    <row r="71" spans="1:16" ht="24" customHeight="1"/>
    <row r="72" spans="1:16" s="14" customFormat="1" ht="24" customHeight="1">
      <c r="A72" s="7" t="s">
        <v>0</v>
      </c>
      <c r="B72" s="5" t="s">
        <v>90</v>
      </c>
      <c r="C72" s="5" t="s">
        <v>91</v>
      </c>
      <c r="D72" s="5" t="s">
        <v>22</v>
      </c>
      <c r="E72" s="5" t="s">
        <v>23</v>
      </c>
      <c r="F72" s="5" t="s">
        <v>99</v>
      </c>
      <c r="G72" s="5" t="s">
        <v>24</v>
      </c>
      <c r="H72" s="9" t="s">
        <v>25</v>
      </c>
      <c r="I72" s="5" t="s">
        <v>26</v>
      </c>
      <c r="J72" s="5" t="s">
        <v>27</v>
      </c>
      <c r="K72" s="5" t="s">
        <v>28</v>
      </c>
      <c r="L72" s="5" t="s">
        <v>29</v>
      </c>
      <c r="M72" s="5" t="s">
        <v>30</v>
      </c>
      <c r="N72" s="5" t="s">
        <v>31</v>
      </c>
      <c r="O72" s="5" t="s">
        <v>32</v>
      </c>
      <c r="P72" s="5" t="s">
        <v>13</v>
      </c>
    </row>
    <row r="73" spans="1:16" s="26" customFormat="1" ht="24" customHeight="1" thickBot="1">
      <c r="A73" s="8" t="s">
        <v>8</v>
      </c>
      <c r="B73" s="25">
        <v>17</v>
      </c>
      <c r="C73" s="25">
        <v>64</v>
      </c>
      <c r="D73" s="25">
        <v>23</v>
      </c>
      <c r="E73" s="25">
        <v>58</v>
      </c>
      <c r="F73" s="25">
        <v>6</v>
      </c>
      <c r="G73" s="25">
        <v>46</v>
      </c>
      <c r="H73" s="25">
        <v>63</v>
      </c>
      <c r="I73" s="25">
        <v>85</v>
      </c>
      <c r="J73" s="25">
        <v>102</v>
      </c>
      <c r="K73" s="25">
        <v>56</v>
      </c>
      <c r="L73" s="25">
        <v>71</v>
      </c>
      <c r="M73" s="25">
        <v>25</v>
      </c>
      <c r="N73" s="62" t="s">
        <v>65</v>
      </c>
      <c r="O73" s="62">
        <v>101</v>
      </c>
      <c r="P73" s="19">
        <v>37</v>
      </c>
    </row>
    <row r="74" spans="1:16" ht="24" customHeight="1" thickBot="1">
      <c r="A74" s="89" t="s">
        <v>73</v>
      </c>
      <c r="B74" s="21">
        <v>4.5294117647058814</v>
      </c>
      <c r="C74" s="21">
        <v>4.4999999999999991</v>
      </c>
      <c r="D74" s="21">
        <v>4.6086956521739122</v>
      </c>
      <c r="E74" s="21">
        <v>4.6206896551724119</v>
      </c>
      <c r="F74" s="21">
        <v>4.5</v>
      </c>
      <c r="G74" s="21">
        <v>4.5869565217391299</v>
      </c>
      <c r="H74" s="21">
        <v>4.4444444444444455</v>
      </c>
      <c r="I74" s="21">
        <v>4.6823529411764691</v>
      </c>
      <c r="J74" s="21">
        <v>4.4607843137254886</v>
      </c>
      <c r="K74" s="21">
        <v>4.6607142857142856</v>
      </c>
      <c r="L74" s="21">
        <v>4.802816901408451</v>
      </c>
      <c r="M74" s="21">
        <v>4.879999999999999</v>
      </c>
      <c r="N74" s="62" t="s">
        <v>65</v>
      </c>
      <c r="O74" s="21">
        <v>4.7425742574257415</v>
      </c>
      <c r="P74" s="21">
        <v>4.4864864864864851</v>
      </c>
    </row>
    <row r="75" spans="1:16" ht="24" customHeight="1" thickBot="1">
      <c r="A75" s="90" t="s">
        <v>74</v>
      </c>
      <c r="B75" s="21">
        <v>4.3529411764705879</v>
      </c>
      <c r="C75" s="21">
        <v>4.4999999999999991</v>
      </c>
      <c r="D75" s="21">
        <v>4.6521739130434767</v>
      </c>
      <c r="E75" s="21">
        <v>4.6379310344827589</v>
      </c>
      <c r="F75" s="21">
        <v>4.5</v>
      </c>
      <c r="G75" s="21">
        <v>4.6739130434782608</v>
      </c>
      <c r="H75" s="21">
        <v>4.5079365079365079</v>
      </c>
      <c r="I75" s="21">
        <v>4.6823529411764682</v>
      </c>
      <c r="J75" s="21">
        <v>4.5294117647058831</v>
      </c>
      <c r="K75" s="21">
        <v>4.625</v>
      </c>
      <c r="L75" s="21">
        <v>4.7887323943661988</v>
      </c>
      <c r="M75" s="21">
        <v>4.879999999999999</v>
      </c>
      <c r="N75" s="62" t="s">
        <v>65</v>
      </c>
      <c r="O75" s="21">
        <v>4.6930693069306901</v>
      </c>
      <c r="P75" s="21">
        <v>4.4594594594594579</v>
      </c>
    </row>
    <row r="76" spans="1:16" ht="24" customHeight="1" thickBot="1">
      <c r="A76" s="90" t="s">
        <v>75</v>
      </c>
      <c r="B76" s="21">
        <v>4.4705882352941169</v>
      </c>
      <c r="C76" s="21">
        <v>4.4218750000000018</v>
      </c>
      <c r="D76" s="21">
        <v>4.478260869565216</v>
      </c>
      <c r="E76" s="21">
        <v>4.5517241379310329</v>
      </c>
      <c r="F76" s="21">
        <v>4.5</v>
      </c>
      <c r="G76" s="21">
        <v>4.5869565217391299</v>
      </c>
      <c r="H76" s="21">
        <v>4.5873015873015861</v>
      </c>
      <c r="I76" s="21">
        <v>4.6117647058823508</v>
      </c>
      <c r="J76" s="21">
        <v>4.4803921568627469</v>
      </c>
      <c r="K76" s="21">
        <v>4.6607142857142856</v>
      </c>
      <c r="L76" s="21">
        <v>4.7887323943661988</v>
      </c>
      <c r="M76" s="21">
        <v>4.7600000000000007</v>
      </c>
      <c r="N76" s="62" t="s">
        <v>65</v>
      </c>
      <c r="O76" s="21">
        <v>4.693069306930691</v>
      </c>
      <c r="P76" s="21">
        <v>4.3783783783783772</v>
      </c>
    </row>
    <row r="77" spans="1:16" ht="24" customHeight="1" thickBot="1">
      <c r="A77" s="90" t="s">
        <v>76</v>
      </c>
      <c r="B77" s="21">
        <v>4.4117647058823541</v>
      </c>
      <c r="C77" s="21">
        <v>4.4375</v>
      </c>
      <c r="D77" s="21">
        <v>4.6086956521739131</v>
      </c>
      <c r="E77" s="21">
        <v>4.5</v>
      </c>
      <c r="F77" s="21">
        <v>4.3333333333333339</v>
      </c>
      <c r="G77" s="21">
        <v>4.5869565217391299</v>
      </c>
      <c r="H77" s="21">
        <v>4.5555555555555562</v>
      </c>
      <c r="I77" s="21">
        <v>4.6352941176470575</v>
      </c>
      <c r="J77" s="21">
        <v>4.4607843137254886</v>
      </c>
      <c r="K77" s="21">
        <v>4.678571428571427</v>
      </c>
      <c r="L77" s="21">
        <v>4.7746478873239449</v>
      </c>
      <c r="M77" s="21">
        <v>4.879999999999999</v>
      </c>
      <c r="N77" s="62" t="s">
        <v>65</v>
      </c>
      <c r="O77" s="21">
        <v>4.7029702970297036</v>
      </c>
      <c r="P77" s="21">
        <v>4.5675675675675684</v>
      </c>
    </row>
    <row r="78" spans="1:16" ht="24" customHeight="1" thickBot="1">
      <c r="A78" s="90" t="s">
        <v>77</v>
      </c>
      <c r="B78" s="21">
        <v>4.4705882352941178</v>
      </c>
      <c r="C78" s="21">
        <v>4.4375</v>
      </c>
      <c r="D78" s="21">
        <v>4.6521739130434767</v>
      </c>
      <c r="E78" s="21">
        <v>4.4482758620689653</v>
      </c>
      <c r="F78" s="21">
        <v>4.3333333333333339</v>
      </c>
      <c r="G78" s="21">
        <v>4.5869565217391299</v>
      </c>
      <c r="H78" s="21">
        <v>4.5714285714285712</v>
      </c>
      <c r="I78" s="21">
        <v>4.552941176470588</v>
      </c>
      <c r="J78" s="21">
        <v>4.5196078431372531</v>
      </c>
      <c r="K78" s="21">
        <v>4.625</v>
      </c>
      <c r="L78" s="21">
        <v>4.704225352112676</v>
      </c>
      <c r="M78" s="21">
        <v>4.68</v>
      </c>
      <c r="N78" s="62" t="s">
        <v>65</v>
      </c>
      <c r="O78" s="21">
        <v>4.7029702970297036</v>
      </c>
      <c r="P78" s="21">
        <v>4.5135135135135123</v>
      </c>
    </row>
    <row r="79" spans="1:16" ht="24" customHeight="1" thickBot="1">
      <c r="A79" s="90" t="s">
        <v>78</v>
      </c>
      <c r="B79" s="21">
        <v>4.4705882352941178</v>
      </c>
      <c r="C79" s="21">
        <v>4.4687499999999991</v>
      </c>
      <c r="D79" s="21">
        <v>4.6521739130434776</v>
      </c>
      <c r="E79" s="21">
        <v>4.5172413793103443</v>
      </c>
      <c r="F79" s="21">
        <v>4.3333333333333339</v>
      </c>
      <c r="G79" s="21">
        <v>4.6086956521739131</v>
      </c>
      <c r="H79" s="21">
        <v>4.5873015873015861</v>
      </c>
      <c r="I79" s="21">
        <v>4.6117647058823525</v>
      </c>
      <c r="J79" s="21">
        <v>4.5686274509803901</v>
      </c>
      <c r="K79" s="21">
        <v>4.5357142857142847</v>
      </c>
      <c r="L79" s="21">
        <v>4.746478873239437</v>
      </c>
      <c r="M79" s="21">
        <v>4.72</v>
      </c>
      <c r="N79" s="62" t="s">
        <v>65</v>
      </c>
      <c r="O79" s="21">
        <v>4.6732673267326721</v>
      </c>
      <c r="P79" s="21">
        <v>4.5405405405405403</v>
      </c>
    </row>
    <row r="80" spans="1:16" ht="24" customHeight="1" thickBot="1">
      <c r="A80" s="90" t="s">
        <v>79</v>
      </c>
      <c r="B80" s="21">
        <v>4.647058823529413</v>
      </c>
      <c r="C80" s="21">
        <v>4.4687499999999991</v>
      </c>
      <c r="D80" s="21">
        <v>4.695652173913043</v>
      </c>
      <c r="E80" s="21">
        <v>4.6034482758620685</v>
      </c>
      <c r="F80" s="21">
        <v>4.3333333333333339</v>
      </c>
      <c r="G80" s="21">
        <v>4.6739130434782608</v>
      </c>
      <c r="H80" s="21">
        <v>4.6349206349206336</v>
      </c>
      <c r="I80" s="21">
        <v>4.6352941176470575</v>
      </c>
      <c r="J80" s="21">
        <v>4.5294117647058831</v>
      </c>
      <c r="K80" s="21">
        <v>4.7142857142857153</v>
      </c>
      <c r="L80" s="21">
        <v>4.816901408450704</v>
      </c>
      <c r="M80" s="21">
        <v>4.7600000000000007</v>
      </c>
      <c r="N80" s="62" t="s">
        <v>65</v>
      </c>
      <c r="O80" s="21">
        <v>4.7425742574257415</v>
      </c>
      <c r="P80" s="21">
        <v>4.6756756756756754</v>
      </c>
    </row>
    <row r="81" spans="1:16" ht="24" customHeight="1" thickBot="1">
      <c r="A81" s="90" t="s">
        <v>80</v>
      </c>
      <c r="B81" s="21">
        <v>4.117647058823529</v>
      </c>
      <c r="C81" s="21">
        <v>4.2812499999999991</v>
      </c>
      <c r="D81" s="21">
        <v>4.6086956521739131</v>
      </c>
      <c r="E81" s="21">
        <v>4.5172413793103434</v>
      </c>
      <c r="F81" s="21">
        <v>4.3333333333333339</v>
      </c>
      <c r="G81" s="21">
        <v>4.5217391304347814</v>
      </c>
      <c r="H81" s="21">
        <v>4.4603174603174596</v>
      </c>
      <c r="I81" s="21">
        <v>4.4823529411764698</v>
      </c>
      <c r="J81" s="21">
        <v>4.4117647058823533</v>
      </c>
      <c r="K81" s="21">
        <v>4.625</v>
      </c>
      <c r="L81" s="21">
        <v>4.7746478873239449</v>
      </c>
      <c r="M81" s="21">
        <v>4.8400000000000007</v>
      </c>
      <c r="N81" s="62" t="s">
        <v>65</v>
      </c>
      <c r="O81" s="21">
        <v>4.752475247524754</v>
      </c>
      <c r="P81" s="21">
        <v>4.5405405405405403</v>
      </c>
    </row>
    <row r="82" spans="1:16" ht="24" customHeight="1" thickBot="1">
      <c r="A82" s="90" t="s">
        <v>81</v>
      </c>
      <c r="B82" s="21">
        <v>4.647058823529413</v>
      </c>
      <c r="C82" s="21">
        <v>4.5156249999999991</v>
      </c>
      <c r="D82" s="21">
        <v>4.6521739130434776</v>
      </c>
      <c r="E82" s="21">
        <v>4.5689655172413799</v>
      </c>
      <c r="F82" s="21">
        <v>4.5</v>
      </c>
      <c r="G82" s="21">
        <v>4.6304347826086962</v>
      </c>
      <c r="H82" s="21">
        <v>4.5873015873015861</v>
      </c>
      <c r="I82" s="21">
        <v>4.5999999999999988</v>
      </c>
      <c r="J82" s="21">
        <v>4.5294117647058822</v>
      </c>
      <c r="K82" s="21">
        <v>4.6964285714285721</v>
      </c>
      <c r="L82" s="21">
        <v>4.7887323943661988</v>
      </c>
      <c r="M82" s="21">
        <v>4.8000000000000007</v>
      </c>
      <c r="N82" s="62" t="s">
        <v>65</v>
      </c>
      <c r="O82" s="21">
        <v>4.7920792079207928</v>
      </c>
      <c r="P82" s="21">
        <v>4.5675675675675684</v>
      </c>
    </row>
    <row r="83" spans="1:16" ht="24" customHeight="1" thickBot="1">
      <c r="A83" s="90" t="s">
        <v>82</v>
      </c>
      <c r="B83" s="21">
        <v>4.4117647058823524</v>
      </c>
      <c r="C83" s="21">
        <v>4.484375</v>
      </c>
      <c r="D83" s="21">
        <v>4.6086956521739131</v>
      </c>
      <c r="E83" s="21">
        <v>4.5344827586206895</v>
      </c>
      <c r="F83" s="21">
        <v>4.166666666666667</v>
      </c>
      <c r="G83" s="21">
        <v>4.6521739130434785</v>
      </c>
      <c r="H83" s="21">
        <v>4.6349206349206336</v>
      </c>
      <c r="I83" s="21">
        <v>4.6352941176470575</v>
      </c>
      <c r="J83" s="21">
        <v>4.4803921568627478</v>
      </c>
      <c r="K83" s="21">
        <v>4.678571428571427</v>
      </c>
      <c r="L83" s="21">
        <v>4.7464788732394361</v>
      </c>
      <c r="M83" s="21">
        <v>4.6800000000000006</v>
      </c>
      <c r="N83" s="62" t="s">
        <v>65</v>
      </c>
      <c r="O83" s="21">
        <v>4.7326732673267324</v>
      </c>
      <c r="P83" s="21">
        <v>4.5675675675675684</v>
      </c>
    </row>
    <row r="84" spans="1:16" ht="24" customHeight="1" thickBot="1">
      <c r="A84" s="90" t="s">
        <v>83</v>
      </c>
      <c r="B84" s="21">
        <v>4.3529411764705879</v>
      </c>
      <c r="C84" s="21">
        <v>4.5312500000000009</v>
      </c>
      <c r="D84" s="21">
        <v>4.6086956521739131</v>
      </c>
      <c r="E84" s="21">
        <v>4.5689655172413799</v>
      </c>
      <c r="F84" s="21">
        <v>4.5</v>
      </c>
      <c r="G84" s="21">
        <v>4.6521739130434785</v>
      </c>
      <c r="H84" s="21">
        <v>4.5714285714285712</v>
      </c>
      <c r="I84" s="21">
        <v>4.647058823529413</v>
      </c>
      <c r="J84" s="21">
        <v>4.5098039215686274</v>
      </c>
      <c r="K84" s="21">
        <v>4.678571428571427</v>
      </c>
      <c r="L84" s="21">
        <v>4.7887323943661988</v>
      </c>
      <c r="M84" s="21">
        <v>4.7600000000000007</v>
      </c>
      <c r="N84" s="62" t="s">
        <v>65</v>
      </c>
      <c r="O84" s="21">
        <v>4.7821782178217855</v>
      </c>
      <c r="P84" s="21">
        <v>4.5675675675675684</v>
      </c>
    </row>
    <row r="85" spans="1:16" ht="24" customHeight="1" thickBot="1">
      <c r="A85" s="90" t="s">
        <v>84</v>
      </c>
      <c r="B85" s="21">
        <v>4.2941176470588234</v>
      </c>
      <c r="C85" s="21">
        <v>4.4375</v>
      </c>
      <c r="D85" s="21">
        <v>4.5652173913043477</v>
      </c>
      <c r="E85" s="21">
        <v>4.4137931034482767</v>
      </c>
      <c r="F85" s="21">
        <v>4.3333333333333339</v>
      </c>
      <c r="G85" s="21">
        <v>4.5434782608695654</v>
      </c>
      <c r="H85" s="21">
        <v>4.5555555555555562</v>
      </c>
      <c r="I85" s="21">
        <v>4.647058823529413</v>
      </c>
      <c r="J85" s="21">
        <v>4.4803921568627461</v>
      </c>
      <c r="K85" s="21">
        <v>4.6607142857142856</v>
      </c>
      <c r="L85" s="21">
        <v>4.7887323943661988</v>
      </c>
      <c r="M85" s="21">
        <v>4.8400000000000007</v>
      </c>
      <c r="N85" s="62" t="s">
        <v>65</v>
      </c>
      <c r="O85" s="21">
        <v>4.7524752475247531</v>
      </c>
      <c r="P85" s="21">
        <v>4.5675675675675684</v>
      </c>
    </row>
    <row r="86" spans="1:16" ht="24" customHeight="1" thickBot="1">
      <c r="A86" s="90" t="s">
        <v>85</v>
      </c>
      <c r="B86" s="21">
        <v>4.4705882352941169</v>
      </c>
      <c r="C86" s="21">
        <v>4.4999999999999991</v>
      </c>
      <c r="D86" s="21">
        <v>4.5652173913043477</v>
      </c>
      <c r="E86" s="21">
        <v>4.4827586206896557</v>
      </c>
      <c r="F86" s="21">
        <v>4.166666666666667</v>
      </c>
      <c r="G86" s="21">
        <v>4.5652173913043477</v>
      </c>
      <c r="H86" s="21">
        <v>4.6190476190476177</v>
      </c>
      <c r="I86" s="21">
        <v>4.6117647058823508</v>
      </c>
      <c r="J86" s="21">
        <v>4.5588235294117645</v>
      </c>
      <c r="K86" s="21">
        <v>4.6428571428571432</v>
      </c>
      <c r="L86" s="21">
        <v>4.7887323943661988</v>
      </c>
      <c r="M86" s="21">
        <v>4.7600000000000007</v>
      </c>
      <c r="N86" s="62" t="s">
        <v>65</v>
      </c>
      <c r="O86" s="21">
        <v>4.7524752475247523</v>
      </c>
      <c r="P86" s="21">
        <v>4.5945945945945947</v>
      </c>
    </row>
    <row r="87" spans="1:16" ht="24" customHeight="1" thickBot="1">
      <c r="A87" s="90" t="s">
        <v>86</v>
      </c>
      <c r="B87" s="21">
        <v>4.3529411764705888</v>
      </c>
      <c r="C87" s="21">
        <v>4.4687499999999991</v>
      </c>
      <c r="D87" s="21">
        <v>4.5652173913043486</v>
      </c>
      <c r="E87" s="21">
        <v>4.5</v>
      </c>
      <c r="F87" s="21">
        <v>4.3333333333333339</v>
      </c>
      <c r="G87" s="21">
        <v>4.5434782608695654</v>
      </c>
      <c r="H87" s="21">
        <v>4.6190476190476177</v>
      </c>
      <c r="I87" s="21">
        <v>4.6117647058823508</v>
      </c>
      <c r="J87" s="21">
        <v>4.5</v>
      </c>
      <c r="K87" s="21">
        <v>4.5892857142857117</v>
      </c>
      <c r="L87" s="21">
        <v>4.732394366197183</v>
      </c>
      <c r="M87" s="21">
        <v>4.7600000000000007</v>
      </c>
      <c r="N87" s="62" t="s">
        <v>65</v>
      </c>
      <c r="O87" s="21">
        <v>4.7920792079207928</v>
      </c>
      <c r="P87" s="21">
        <v>4.5405405405405403</v>
      </c>
    </row>
    <row r="88" spans="1:16" ht="24" customHeight="1" thickBot="1">
      <c r="A88" s="90" t="s">
        <v>87</v>
      </c>
      <c r="B88" s="21">
        <v>4.4705882352941178</v>
      </c>
      <c r="C88" s="21">
        <v>4.4375</v>
      </c>
      <c r="D88" s="21">
        <v>4.6086956521739122</v>
      </c>
      <c r="E88" s="21">
        <v>4.5862068965517224</v>
      </c>
      <c r="F88" s="21">
        <v>4.5</v>
      </c>
      <c r="G88" s="21">
        <v>4.5869565217391299</v>
      </c>
      <c r="H88" s="21">
        <v>4.5555555555555554</v>
      </c>
      <c r="I88" s="21">
        <v>4.647058823529413</v>
      </c>
      <c r="J88" s="21">
        <v>4.5588235294117645</v>
      </c>
      <c r="K88" s="21">
        <v>4.5892857142857126</v>
      </c>
      <c r="L88" s="21">
        <v>4.7746478873239449</v>
      </c>
      <c r="M88" s="21">
        <v>4.8000000000000007</v>
      </c>
      <c r="N88" s="62" t="s">
        <v>65</v>
      </c>
      <c r="O88" s="21">
        <v>4.7623762376237631</v>
      </c>
      <c r="P88" s="21">
        <v>4.5675675675675684</v>
      </c>
    </row>
    <row r="89" spans="1:16" ht="24" customHeight="1" thickBot="1">
      <c r="A89" s="90" t="s">
        <v>88</v>
      </c>
      <c r="B89" s="21">
        <v>4.6470588235294121</v>
      </c>
      <c r="C89" s="21">
        <v>4.5156249999999982</v>
      </c>
      <c r="D89" s="21">
        <v>4.6521739130434776</v>
      </c>
      <c r="E89" s="21">
        <v>4.5689655172413799</v>
      </c>
      <c r="F89" s="21">
        <v>4.6666666666666661</v>
      </c>
      <c r="G89" s="21">
        <v>4.6521739130434785</v>
      </c>
      <c r="H89" s="21">
        <v>4.666666666666667</v>
      </c>
      <c r="I89" s="21">
        <v>4.764705882352942</v>
      </c>
      <c r="J89" s="21">
        <v>4.598039215686275</v>
      </c>
      <c r="K89" s="21">
        <v>4.7142857142857153</v>
      </c>
      <c r="L89" s="21">
        <v>4.76056338028169</v>
      </c>
      <c r="M89" s="21">
        <v>4.8000000000000007</v>
      </c>
      <c r="N89" s="62" t="s">
        <v>65</v>
      </c>
      <c r="O89" s="21">
        <v>4.8217821782178216</v>
      </c>
      <c r="P89" s="21">
        <v>4.729729729729728</v>
      </c>
    </row>
    <row r="90" spans="1:16" ht="24" customHeight="1">
      <c r="A90" s="8" t="s">
        <v>9</v>
      </c>
      <c r="B90" s="21">
        <v>4.444852941176471</v>
      </c>
      <c r="C90" s="21">
        <v>4.4628906250000009</v>
      </c>
      <c r="D90" s="21">
        <v>4.6114130434782599</v>
      </c>
      <c r="E90" s="21">
        <v>4.5387931034482776</v>
      </c>
      <c r="F90" s="21">
        <v>4.395833333333333</v>
      </c>
      <c r="G90" s="21">
        <v>4.6032608695652186</v>
      </c>
      <c r="H90" s="21">
        <v>4.5724206349206344</v>
      </c>
      <c r="I90" s="21">
        <v>4.6286764705882337</v>
      </c>
      <c r="J90" s="21">
        <v>4.5110294117647056</v>
      </c>
      <c r="K90" s="21">
        <v>4.6484375000000018</v>
      </c>
      <c r="L90" s="21">
        <v>4.772887323943662</v>
      </c>
      <c r="M90" s="21">
        <v>4.7874999999999996</v>
      </c>
      <c r="N90" s="62" t="s">
        <v>65</v>
      </c>
      <c r="O90" s="21">
        <v>4.7431930693069297</v>
      </c>
      <c r="P90" s="21">
        <v>4.5540540540540553</v>
      </c>
    </row>
    <row r="91" spans="1:16" s="67" customFormat="1">
      <c r="A91" s="66" t="s">
        <v>10</v>
      </c>
      <c r="B91" s="69">
        <f t="shared" ref="B91:C91" si="7">B90*20</f>
        <v>88.89705882352942</v>
      </c>
      <c r="C91" s="69">
        <f t="shared" si="7"/>
        <v>89.257812500000014</v>
      </c>
      <c r="D91" s="69">
        <f>D90*20</f>
        <v>92.22826086956519</v>
      </c>
      <c r="E91" s="64">
        <f>E90*20</f>
        <v>90.775862068965552</v>
      </c>
      <c r="F91" s="64">
        <f>F90*20</f>
        <v>87.916666666666657</v>
      </c>
      <c r="G91" s="64">
        <f>G90*20</f>
        <v>92.065217391304373</v>
      </c>
      <c r="H91" s="64">
        <f t="shared" ref="H91:P91" si="8">H90*20</f>
        <v>91.448412698412682</v>
      </c>
      <c r="I91" s="64">
        <f t="shared" si="8"/>
        <v>92.573529411764667</v>
      </c>
      <c r="J91" s="64">
        <f t="shared" si="8"/>
        <v>90.220588235294116</v>
      </c>
      <c r="K91" s="64">
        <f t="shared" si="8"/>
        <v>92.968750000000028</v>
      </c>
      <c r="L91" s="64">
        <f t="shared" si="8"/>
        <v>95.457746478873247</v>
      </c>
      <c r="M91" s="64">
        <f t="shared" si="8"/>
        <v>95.75</v>
      </c>
      <c r="N91" s="62" t="s">
        <v>65</v>
      </c>
      <c r="O91" s="64">
        <f t="shared" ref="O91" si="9">O90*20</f>
        <v>94.863861386138595</v>
      </c>
      <c r="P91" s="64">
        <f t="shared" si="8"/>
        <v>91.081081081081109</v>
      </c>
    </row>
    <row r="92" spans="1:16">
      <c r="A92" s="16" t="s">
        <v>44</v>
      </c>
      <c r="B92" s="63">
        <v>94.117647058823493</v>
      </c>
      <c r="C92" s="63">
        <v>87.5</v>
      </c>
      <c r="D92" s="63">
        <v>95.652173913043484</v>
      </c>
      <c r="E92" s="63">
        <v>91.379310344827587</v>
      </c>
      <c r="F92" s="63">
        <v>100</v>
      </c>
      <c r="G92" s="63">
        <v>84.782608695652172</v>
      </c>
      <c r="H92" s="63">
        <v>100</v>
      </c>
      <c r="I92" s="63">
        <v>100</v>
      </c>
      <c r="J92" s="63">
        <v>100</v>
      </c>
      <c r="K92" s="63">
        <v>100</v>
      </c>
      <c r="L92" s="63">
        <v>97.183098591549296</v>
      </c>
      <c r="M92" s="63">
        <v>100</v>
      </c>
      <c r="N92" s="80" t="s">
        <v>66</v>
      </c>
      <c r="O92" s="22">
        <v>100</v>
      </c>
      <c r="P92" s="63">
        <v>100</v>
      </c>
    </row>
    <row r="93" spans="1:16" ht="24" customHeight="1"/>
    <row r="94" spans="1:16" ht="24" customHeight="1"/>
    <row r="95" spans="1:16">
      <c r="B95" s="3"/>
      <c r="E95" s="10"/>
      <c r="F95" s="10"/>
    </row>
    <row r="96" spans="1:16">
      <c r="B96" s="3"/>
      <c r="E96" s="11"/>
      <c r="F96" s="11"/>
    </row>
    <row r="97" spans="2:6">
      <c r="B97" s="3"/>
      <c r="E97" s="11"/>
      <c r="F97" s="11"/>
    </row>
    <row r="98" spans="2:6">
      <c r="B98" s="3"/>
      <c r="E98" s="11"/>
      <c r="F98" s="11"/>
    </row>
    <row r="99" spans="2:6">
      <c r="B99" s="3"/>
      <c r="E99" s="11"/>
      <c r="F99" s="11"/>
    </row>
    <row r="100" spans="2:6">
      <c r="B100" s="3"/>
      <c r="E100" s="11"/>
      <c r="F100" s="11"/>
    </row>
    <row r="101" spans="2:6">
      <c r="B101" s="3"/>
      <c r="E101" s="11"/>
      <c r="F101" s="11"/>
    </row>
    <row r="102" spans="2:6">
      <c r="B102" s="3"/>
      <c r="E102" s="11"/>
      <c r="F102" s="11"/>
    </row>
    <row r="103" spans="2:6" ht="24" customHeight="1">
      <c r="B103" s="3"/>
      <c r="E103" s="11"/>
      <c r="F103" s="11"/>
    </row>
    <row r="104" spans="2:6" ht="24" customHeight="1">
      <c r="B104" s="3"/>
      <c r="E104" s="11"/>
      <c r="F104" s="11"/>
    </row>
    <row r="105" spans="2:6">
      <c r="B105" s="3"/>
      <c r="E105" s="11"/>
      <c r="F105" s="11"/>
    </row>
    <row r="106" spans="2:6">
      <c r="B106" s="3"/>
      <c r="E106" s="11"/>
      <c r="F106" s="11"/>
    </row>
    <row r="107" spans="2:6">
      <c r="B107" s="3"/>
      <c r="E107" s="11"/>
      <c r="F107" s="11"/>
    </row>
    <row r="108" spans="2:6">
      <c r="B108" s="3"/>
      <c r="E108" s="11"/>
      <c r="F108" s="11"/>
    </row>
    <row r="109" spans="2:6">
      <c r="B109" s="3"/>
      <c r="E109" s="11"/>
      <c r="F109" s="11"/>
    </row>
    <row r="110" spans="2:6">
      <c r="B110" s="3"/>
      <c r="E110" s="11"/>
      <c r="F110" s="11"/>
    </row>
    <row r="111" spans="2:6" ht="24" customHeight="1">
      <c r="B111" s="3"/>
      <c r="E111" s="11"/>
      <c r="F111" s="11"/>
    </row>
    <row r="112" spans="2:6" ht="24" customHeight="1">
      <c r="B112" s="3"/>
      <c r="E112" s="11"/>
      <c r="F112" s="11"/>
    </row>
    <row r="113" spans="2:6">
      <c r="B113" s="3"/>
      <c r="E113" s="12"/>
      <c r="F113" s="12"/>
    </row>
    <row r="114" spans="2:6">
      <c r="B114" s="3"/>
      <c r="E114" s="12"/>
      <c r="F114" s="12"/>
    </row>
    <row r="115" spans="2:6">
      <c r="B115" s="3"/>
    </row>
  </sheetData>
  <mergeCells count="1">
    <mergeCell ref="A1:P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4" max="16383" man="1"/>
    <brk id="47" max="16383" man="1"/>
    <brk id="70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0"/>
  <sheetViews>
    <sheetView zoomScaleNormal="100" zoomScaleSheetLayoutView="120" workbookViewId="0">
      <selection activeCell="H12" sqref="H12"/>
    </sheetView>
  </sheetViews>
  <sheetFormatPr defaultColWidth="9" defaultRowHeight="21"/>
  <cols>
    <col min="1" max="1" width="4.75" style="34" customWidth="1"/>
    <col min="2" max="2" width="27.625" style="34" customWidth="1"/>
    <col min="3" max="7" width="12" style="34" customWidth="1"/>
    <col min="8" max="8" width="60.625" style="34" customWidth="1"/>
    <col min="9" max="9" width="14.75" style="34" customWidth="1"/>
    <col min="10" max="10" width="7.25" style="34" customWidth="1"/>
    <col min="11" max="16384" width="9" style="34"/>
  </cols>
  <sheetData>
    <row r="1" spans="1:9" s="49" customFormat="1" ht="43.5" customHeight="1">
      <c r="A1" s="96" t="s">
        <v>96</v>
      </c>
      <c r="B1" s="97"/>
      <c r="C1" s="97"/>
      <c r="D1" s="97"/>
      <c r="E1" s="97"/>
      <c r="F1" s="97"/>
      <c r="G1" s="97"/>
      <c r="H1" s="97"/>
      <c r="I1" s="97"/>
    </row>
    <row r="2" spans="1:9" s="49" customFormat="1">
      <c r="A2" s="95" t="s">
        <v>102</v>
      </c>
      <c r="B2" s="95"/>
      <c r="C2" s="95"/>
      <c r="D2" s="95"/>
      <c r="E2" s="95"/>
      <c r="F2" s="95"/>
      <c r="G2" s="95"/>
      <c r="H2" s="95"/>
    </row>
    <row r="3" spans="1:9" s="36" customFormat="1">
      <c r="A3" s="95" t="s">
        <v>103</v>
      </c>
      <c r="B3" s="95"/>
      <c r="C3" s="95"/>
      <c r="D3" s="95"/>
      <c r="E3" s="95"/>
      <c r="F3" s="95"/>
      <c r="G3" s="95"/>
      <c r="H3" s="95"/>
      <c r="I3" s="49"/>
    </row>
    <row r="4" spans="1:9" s="49" customFormat="1">
      <c r="A4" s="51" t="s">
        <v>53</v>
      </c>
      <c r="B4" s="51"/>
      <c r="C4" s="51"/>
      <c r="D4" s="51"/>
      <c r="E4" s="51"/>
      <c r="F4" s="52"/>
      <c r="G4" s="52"/>
      <c r="H4" s="52"/>
      <c r="I4" s="36"/>
    </row>
    <row r="5" spans="1:9" s="49" customFormat="1">
      <c r="B5" s="99" t="s">
        <v>211</v>
      </c>
      <c r="C5" s="99"/>
      <c r="D5" s="99"/>
      <c r="E5" s="99"/>
      <c r="F5" s="99"/>
      <c r="G5" s="99"/>
      <c r="H5" s="99"/>
    </row>
    <row r="6" spans="1:9" s="87" customFormat="1">
      <c r="A6" s="49"/>
      <c r="B6" s="99" t="s">
        <v>234</v>
      </c>
      <c r="C6" s="99"/>
      <c r="D6" s="99"/>
      <c r="E6" s="99"/>
      <c r="F6" s="99"/>
      <c r="G6" s="99"/>
      <c r="H6" s="99"/>
      <c r="I6" s="49"/>
    </row>
    <row r="7" spans="1:9" s="36" customFormat="1" ht="21.75" customHeight="1">
      <c r="A7" s="87"/>
      <c r="B7" s="100" t="s">
        <v>212</v>
      </c>
      <c r="C7" s="100"/>
      <c r="D7" s="100"/>
      <c r="E7" s="100"/>
      <c r="F7" s="100"/>
      <c r="G7" s="100"/>
      <c r="H7" s="100"/>
      <c r="I7" s="87"/>
    </row>
    <row r="8" spans="1:9" s="36" customFormat="1" ht="21.75" customHeight="1">
      <c r="B8" s="53" t="s">
        <v>0</v>
      </c>
      <c r="C8" s="54" t="s">
        <v>33</v>
      </c>
      <c r="D8" s="54" t="s">
        <v>34</v>
      </c>
      <c r="E8" s="54" t="s">
        <v>35</v>
      </c>
      <c r="F8" s="54" t="s">
        <v>36</v>
      </c>
      <c r="G8" s="54" t="s">
        <v>37</v>
      </c>
    </row>
    <row r="9" spans="1:9" s="36" customFormat="1" ht="21.75" customHeight="1">
      <c r="B9" s="55" t="s">
        <v>8</v>
      </c>
      <c r="C9" s="56" t="s">
        <v>97</v>
      </c>
      <c r="D9" s="56">
        <v>1372</v>
      </c>
      <c r="E9" s="68">
        <v>46</v>
      </c>
      <c r="F9" s="57" t="s">
        <v>101</v>
      </c>
      <c r="G9" s="57" t="s">
        <v>98</v>
      </c>
    </row>
    <row r="10" spans="1:9" s="36" customFormat="1" ht="21.75" customHeight="1">
      <c r="B10" s="55" t="s">
        <v>9</v>
      </c>
      <c r="C10" s="29">
        <v>4.360156960873522</v>
      </c>
      <c r="D10" s="29">
        <v>4.5729774052478138</v>
      </c>
      <c r="E10" s="18">
        <v>4.2690217391304364</v>
      </c>
      <c r="F10" s="85">
        <v>4.91</v>
      </c>
      <c r="G10" s="85">
        <v>4.8014705882352935</v>
      </c>
    </row>
    <row r="11" spans="1:9" s="36" customFormat="1" ht="21.75" customHeight="1">
      <c r="B11" s="55" t="s">
        <v>10</v>
      </c>
      <c r="C11" s="29">
        <v>87.203139217470437</v>
      </c>
      <c r="D11" s="29">
        <v>91.459548104956269</v>
      </c>
      <c r="E11" s="29">
        <v>85.380434782608731</v>
      </c>
      <c r="F11" s="86">
        <v>98.27</v>
      </c>
      <c r="G11" s="86">
        <v>96.02941176470587</v>
      </c>
    </row>
    <row r="12" spans="1:9" s="36" customFormat="1" ht="24" customHeight="1">
      <c r="B12" s="59"/>
      <c r="C12" s="60"/>
      <c r="D12" s="60"/>
      <c r="E12" s="60"/>
      <c r="F12" s="73"/>
      <c r="G12" s="73"/>
    </row>
    <row r="13" spans="1:9" s="36" customFormat="1" ht="24" customHeight="1">
      <c r="A13" s="98" t="s">
        <v>38</v>
      </c>
      <c r="B13" s="98"/>
      <c r="H13" s="36" t="s">
        <v>51</v>
      </c>
    </row>
    <row r="14" spans="1:9" s="36" customFormat="1" ht="24" customHeight="1">
      <c r="B14" s="39" t="s">
        <v>39</v>
      </c>
    </row>
    <row r="15" spans="1:9" s="72" customFormat="1" ht="24" customHeight="1">
      <c r="A15" s="34"/>
      <c r="B15" s="72" t="s">
        <v>152</v>
      </c>
      <c r="C15" s="37"/>
      <c r="D15" s="37"/>
      <c r="E15" s="37"/>
      <c r="F15" s="37"/>
      <c r="G15" s="37"/>
      <c r="H15" s="37"/>
      <c r="I15" s="34"/>
    </row>
    <row r="16" spans="1:9" s="72" customFormat="1" ht="24" customHeight="1">
      <c r="A16" s="34"/>
      <c r="B16" s="72" t="s">
        <v>153</v>
      </c>
      <c r="C16" s="37"/>
      <c r="D16" s="37"/>
      <c r="E16" s="37"/>
      <c r="F16" s="37"/>
      <c r="G16" s="37"/>
      <c r="H16" s="37"/>
      <c r="I16" s="34"/>
    </row>
    <row r="17" spans="1:9" s="72" customFormat="1" ht="24" customHeight="1">
      <c r="A17" s="34"/>
      <c r="B17" s="72" t="s">
        <v>154</v>
      </c>
      <c r="C17" s="37"/>
      <c r="D17" s="37"/>
      <c r="E17" s="37"/>
      <c r="F17" s="37"/>
      <c r="G17" s="37"/>
      <c r="H17" s="37"/>
      <c r="I17" s="34"/>
    </row>
    <row r="18" spans="1:9" s="72" customFormat="1" ht="24" customHeight="1">
      <c r="A18" s="34"/>
      <c r="B18" s="72" t="s">
        <v>156</v>
      </c>
      <c r="C18" s="37"/>
      <c r="D18" s="37"/>
      <c r="E18" s="37"/>
      <c r="F18" s="37"/>
      <c r="G18" s="37"/>
      <c r="H18" s="37"/>
      <c r="I18" s="34"/>
    </row>
    <row r="19" spans="1:9" s="72" customFormat="1" ht="24" customHeight="1">
      <c r="A19" s="34"/>
      <c r="B19" s="72" t="s">
        <v>129</v>
      </c>
      <c r="C19" s="37"/>
      <c r="D19" s="37"/>
      <c r="E19" s="37"/>
      <c r="F19" s="37"/>
      <c r="G19" s="37"/>
      <c r="H19" s="37"/>
      <c r="I19" s="34"/>
    </row>
    <row r="20" spans="1:9" s="72" customFormat="1" ht="24" customHeight="1">
      <c r="A20" s="34"/>
      <c r="B20" s="72" t="s">
        <v>111</v>
      </c>
      <c r="C20" s="37"/>
      <c r="D20" s="37"/>
      <c r="E20" s="37"/>
      <c r="F20" s="37"/>
      <c r="G20" s="37"/>
      <c r="H20" s="37"/>
      <c r="I20" s="34"/>
    </row>
    <row r="21" spans="1:9" s="72" customFormat="1" ht="24" customHeight="1">
      <c r="A21" s="34"/>
      <c r="B21" s="72" t="s">
        <v>144</v>
      </c>
      <c r="C21" s="37"/>
      <c r="D21" s="37"/>
      <c r="E21" s="37"/>
      <c r="F21" s="37"/>
      <c r="G21" s="37"/>
      <c r="H21" s="37"/>
      <c r="I21" s="34"/>
    </row>
    <row r="22" spans="1:9" s="72" customFormat="1" ht="24" customHeight="1">
      <c r="A22" s="34"/>
      <c r="B22" s="72" t="s">
        <v>159</v>
      </c>
      <c r="C22" s="37"/>
      <c r="D22" s="37"/>
      <c r="E22" s="37"/>
      <c r="F22" s="37"/>
      <c r="G22" s="37"/>
      <c r="H22" s="37"/>
      <c r="I22" s="34"/>
    </row>
    <row r="23" spans="1:9" s="72" customFormat="1" ht="24" customHeight="1">
      <c r="A23" s="34"/>
      <c r="B23" s="72" t="s">
        <v>130</v>
      </c>
      <c r="C23" s="37"/>
      <c r="D23" s="37"/>
      <c r="E23" s="37"/>
      <c r="F23" s="37"/>
      <c r="G23" s="37"/>
      <c r="H23" s="37"/>
      <c r="I23" s="34"/>
    </row>
    <row r="24" spans="1:9" s="72" customFormat="1" ht="24" customHeight="1">
      <c r="A24" s="34"/>
      <c r="B24" s="72" t="s">
        <v>112</v>
      </c>
      <c r="C24" s="37"/>
      <c r="D24" s="37"/>
      <c r="E24" s="37"/>
      <c r="F24" s="37"/>
      <c r="G24" s="37"/>
      <c r="H24" s="37"/>
      <c r="I24" s="34"/>
    </row>
    <row r="25" spans="1:9" s="72" customFormat="1" ht="24" customHeight="1">
      <c r="A25" s="34"/>
      <c r="B25" s="72" t="s">
        <v>118</v>
      </c>
      <c r="C25" s="37"/>
      <c r="D25" s="37"/>
      <c r="E25" s="37"/>
      <c r="F25" s="37"/>
      <c r="G25" s="37"/>
      <c r="H25" s="37"/>
      <c r="I25" s="34"/>
    </row>
    <row r="26" spans="1:9" s="72" customFormat="1" ht="24" customHeight="1">
      <c r="A26" s="34"/>
      <c r="B26" s="72" t="s">
        <v>222</v>
      </c>
      <c r="C26" s="37"/>
      <c r="D26" s="37"/>
      <c r="E26" s="37"/>
      <c r="F26" s="37"/>
      <c r="G26" s="37"/>
      <c r="H26" s="37"/>
      <c r="I26" s="34"/>
    </row>
    <row r="27" spans="1:9" s="72" customFormat="1" ht="24" customHeight="1">
      <c r="A27" s="34"/>
      <c r="B27" s="72" t="s">
        <v>114</v>
      </c>
      <c r="C27" s="37"/>
      <c r="D27" s="37"/>
      <c r="E27" s="37"/>
      <c r="F27" s="37"/>
      <c r="G27" s="37"/>
      <c r="H27" s="37"/>
      <c r="I27" s="34"/>
    </row>
    <row r="28" spans="1:9" s="72" customFormat="1" ht="24" customHeight="1">
      <c r="A28" s="34"/>
      <c r="B28" s="72" t="s">
        <v>216</v>
      </c>
      <c r="C28" s="37"/>
      <c r="D28" s="37"/>
      <c r="E28" s="37"/>
      <c r="F28" s="37"/>
      <c r="G28" s="37"/>
      <c r="H28" s="37"/>
      <c r="I28" s="34"/>
    </row>
    <row r="29" spans="1:9" s="72" customFormat="1" ht="24" customHeight="1">
      <c r="A29" s="34"/>
      <c r="B29" s="72" t="s">
        <v>223</v>
      </c>
      <c r="C29" s="37"/>
      <c r="D29" s="37"/>
      <c r="E29" s="37"/>
      <c r="F29" s="37"/>
      <c r="G29" s="37"/>
      <c r="H29" s="37"/>
      <c r="I29" s="34"/>
    </row>
    <row r="30" spans="1:9" s="72" customFormat="1" ht="24" customHeight="1">
      <c r="A30" s="34"/>
      <c r="B30" s="72" t="s">
        <v>115</v>
      </c>
      <c r="C30" s="37"/>
      <c r="D30" s="37"/>
      <c r="E30" s="37"/>
      <c r="F30" s="37"/>
      <c r="G30" s="37"/>
      <c r="H30" s="37"/>
      <c r="I30" s="34"/>
    </row>
    <row r="31" spans="1:9" s="72" customFormat="1" ht="24" customHeight="1">
      <c r="A31" s="34"/>
      <c r="B31" s="72" t="s">
        <v>224</v>
      </c>
      <c r="C31" s="37"/>
      <c r="D31" s="37"/>
      <c r="E31" s="37"/>
      <c r="F31" s="37"/>
      <c r="G31" s="37"/>
      <c r="H31" s="37"/>
      <c r="I31" s="34"/>
    </row>
    <row r="32" spans="1:9" s="72" customFormat="1" ht="24" customHeight="1">
      <c r="A32" s="34"/>
      <c r="B32" s="72" t="s">
        <v>217</v>
      </c>
      <c r="C32" s="37"/>
      <c r="D32" s="37"/>
      <c r="E32" s="37"/>
      <c r="F32" s="37"/>
      <c r="G32" s="37"/>
      <c r="H32" s="37"/>
      <c r="I32" s="34"/>
    </row>
    <row r="33" spans="1:9" s="72" customFormat="1" ht="24" customHeight="1">
      <c r="A33" s="34"/>
      <c r="B33" s="72" t="s">
        <v>141</v>
      </c>
      <c r="C33" s="37"/>
      <c r="D33" s="37"/>
      <c r="E33" s="37"/>
      <c r="F33" s="37"/>
      <c r="G33" s="37"/>
      <c r="H33" s="37"/>
      <c r="I33" s="34"/>
    </row>
    <row r="34" spans="1:9" s="72" customFormat="1" ht="24" customHeight="1">
      <c r="A34" s="34"/>
      <c r="B34" s="72" t="s">
        <v>160</v>
      </c>
      <c r="C34" s="37"/>
      <c r="D34" s="37"/>
      <c r="E34" s="37"/>
      <c r="F34" s="37"/>
      <c r="G34" s="37"/>
      <c r="H34" s="37"/>
      <c r="I34" s="34"/>
    </row>
    <row r="35" spans="1:9" s="72" customFormat="1" ht="24" customHeight="1">
      <c r="A35" s="34"/>
      <c r="B35" s="72" t="s">
        <v>161</v>
      </c>
      <c r="C35" s="37"/>
      <c r="D35" s="37"/>
      <c r="E35" s="37"/>
      <c r="F35" s="37"/>
      <c r="G35" s="37"/>
      <c r="H35" s="37"/>
      <c r="I35" s="34"/>
    </row>
    <row r="36" spans="1:9" s="72" customFormat="1" ht="24" customHeight="1">
      <c r="A36" s="34"/>
      <c r="B36" s="72" t="s">
        <v>225</v>
      </c>
      <c r="C36" s="37"/>
      <c r="D36" s="37"/>
      <c r="E36" s="37"/>
      <c r="F36" s="37"/>
      <c r="G36" s="37"/>
      <c r="H36" s="37"/>
      <c r="I36" s="34"/>
    </row>
    <row r="37" spans="1:9" s="72" customFormat="1" ht="24" customHeight="1">
      <c r="A37" s="34"/>
      <c r="B37" s="33" t="s">
        <v>164</v>
      </c>
      <c r="C37" s="37"/>
      <c r="D37" s="37"/>
      <c r="E37" s="37"/>
      <c r="F37" s="37"/>
      <c r="G37" s="37"/>
      <c r="H37" s="37"/>
      <c r="I37" s="34"/>
    </row>
    <row r="38" spans="1:9" s="72" customFormat="1" ht="24" customHeight="1">
      <c r="A38" s="34"/>
      <c r="B38" s="72" t="s">
        <v>131</v>
      </c>
      <c r="C38" s="37"/>
      <c r="D38" s="37"/>
      <c r="E38" s="37"/>
      <c r="F38" s="37"/>
      <c r="G38" s="37"/>
      <c r="H38" s="37"/>
      <c r="I38" s="34"/>
    </row>
    <row r="39" spans="1:9" s="72" customFormat="1" ht="24" customHeight="1">
      <c r="A39" s="34"/>
      <c r="B39" s="72" t="s">
        <v>108</v>
      </c>
      <c r="C39" s="37"/>
      <c r="D39" s="37"/>
      <c r="E39" s="37"/>
      <c r="F39" s="37"/>
      <c r="G39" s="37"/>
      <c r="H39" s="37"/>
      <c r="I39" s="34"/>
    </row>
    <row r="40" spans="1:9" s="72" customFormat="1" ht="24" customHeight="1">
      <c r="A40" s="34"/>
      <c r="B40" s="33" t="s">
        <v>106</v>
      </c>
      <c r="C40" s="37"/>
      <c r="D40" s="37"/>
      <c r="E40" s="37"/>
      <c r="F40" s="37"/>
      <c r="G40" s="37"/>
      <c r="H40" s="37"/>
      <c r="I40" s="34"/>
    </row>
    <row r="41" spans="1:9" s="72" customFormat="1" ht="24" customHeight="1">
      <c r="A41" s="34"/>
      <c r="B41" s="33" t="s">
        <v>126</v>
      </c>
      <c r="C41" s="37"/>
      <c r="D41" s="37"/>
      <c r="E41" s="37"/>
      <c r="F41" s="37"/>
      <c r="G41" s="37"/>
      <c r="H41" s="37"/>
      <c r="I41" s="34"/>
    </row>
    <row r="42" spans="1:9" s="72" customFormat="1" ht="24" customHeight="1">
      <c r="A42" s="34"/>
      <c r="B42" s="33" t="s">
        <v>132</v>
      </c>
      <c r="C42" s="37"/>
      <c r="D42" s="37"/>
      <c r="E42" s="37"/>
      <c r="F42" s="37"/>
      <c r="G42" s="37"/>
      <c r="H42" s="37"/>
      <c r="I42" s="34"/>
    </row>
    <row r="43" spans="1:9" s="72" customFormat="1" ht="24" customHeight="1">
      <c r="A43" s="34"/>
      <c r="B43" s="33" t="s">
        <v>226</v>
      </c>
      <c r="C43" s="37"/>
      <c r="D43" s="37"/>
      <c r="E43" s="37"/>
      <c r="F43" s="37"/>
      <c r="G43" s="37"/>
      <c r="H43" s="37"/>
      <c r="I43" s="34"/>
    </row>
    <row r="44" spans="1:9" s="72" customFormat="1" ht="24" customHeight="1">
      <c r="A44" s="34"/>
      <c r="B44" s="33" t="s">
        <v>141</v>
      </c>
      <c r="C44" s="37"/>
      <c r="D44" s="37"/>
      <c r="E44" s="37"/>
      <c r="F44" s="37"/>
      <c r="G44" s="37"/>
      <c r="H44" s="37"/>
      <c r="I44" s="34"/>
    </row>
    <row r="45" spans="1:9" s="72" customFormat="1" ht="24" customHeight="1">
      <c r="A45" s="34"/>
      <c r="B45" s="33" t="s">
        <v>218</v>
      </c>
      <c r="C45" s="37"/>
      <c r="D45" s="37"/>
      <c r="E45" s="37"/>
      <c r="F45" s="37"/>
      <c r="G45" s="37"/>
      <c r="H45" s="37"/>
      <c r="I45" s="34"/>
    </row>
    <row r="46" spans="1:9" s="72" customFormat="1" ht="24" customHeight="1">
      <c r="A46" s="34"/>
      <c r="B46" s="33" t="s">
        <v>148</v>
      </c>
      <c r="C46" s="37"/>
      <c r="D46" s="37"/>
      <c r="E46" s="37"/>
      <c r="F46" s="37"/>
      <c r="G46" s="37"/>
      <c r="H46" s="37"/>
      <c r="I46" s="34"/>
    </row>
    <row r="47" spans="1:9" s="72" customFormat="1" ht="24" customHeight="1">
      <c r="A47" s="34"/>
      <c r="B47" s="33" t="s">
        <v>149</v>
      </c>
      <c r="C47" s="37"/>
      <c r="D47" s="37"/>
      <c r="E47" s="37"/>
      <c r="F47" s="37"/>
      <c r="G47" s="37"/>
      <c r="H47" s="37"/>
      <c r="I47" s="34"/>
    </row>
    <row r="48" spans="1:9" s="72" customFormat="1" ht="24" customHeight="1">
      <c r="A48" s="34"/>
      <c r="B48" s="33" t="s">
        <v>163</v>
      </c>
      <c r="C48" s="37"/>
      <c r="D48" s="37"/>
      <c r="E48" s="37"/>
      <c r="F48" s="37"/>
      <c r="G48" s="37"/>
      <c r="H48" s="37"/>
      <c r="I48" s="34"/>
    </row>
    <row r="49" spans="1:9" s="72" customFormat="1" ht="24" customHeight="1">
      <c r="A49" s="34"/>
      <c r="B49" s="33" t="s">
        <v>133</v>
      </c>
      <c r="C49" s="37"/>
      <c r="D49" s="37"/>
      <c r="E49" s="37"/>
      <c r="F49" s="37"/>
      <c r="G49" s="37"/>
      <c r="H49" s="37"/>
      <c r="I49" s="34"/>
    </row>
    <row r="50" spans="1:9" s="72" customFormat="1" ht="24" customHeight="1">
      <c r="A50" s="34"/>
      <c r="B50" s="33" t="s">
        <v>122</v>
      </c>
      <c r="C50" s="37"/>
      <c r="D50" s="37"/>
      <c r="E50" s="37"/>
      <c r="F50" s="37"/>
      <c r="G50" s="37"/>
      <c r="H50" s="37"/>
      <c r="I50" s="34"/>
    </row>
    <row r="51" spans="1:9" s="72" customFormat="1" ht="24" customHeight="1">
      <c r="A51" s="34"/>
      <c r="B51" s="33" t="s">
        <v>121</v>
      </c>
      <c r="C51" s="37"/>
      <c r="D51" s="37"/>
      <c r="E51" s="37"/>
      <c r="F51" s="37"/>
      <c r="G51" s="37"/>
      <c r="H51" s="37"/>
      <c r="I51" s="34"/>
    </row>
    <row r="52" spans="1:9" s="72" customFormat="1" ht="24" customHeight="1">
      <c r="A52" s="34"/>
      <c r="B52" s="33" t="s">
        <v>119</v>
      </c>
      <c r="C52" s="37"/>
      <c r="D52" s="37"/>
      <c r="E52" s="37"/>
      <c r="F52" s="37"/>
      <c r="G52" s="37"/>
      <c r="H52" s="37"/>
      <c r="I52" s="34"/>
    </row>
    <row r="53" spans="1:9" s="72" customFormat="1" ht="24" customHeight="1">
      <c r="A53" s="34"/>
      <c r="B53" s="33" t="s">
        <v>227</v>
      </c>
      <c r="C53" s="37"/>
      <c r="D53" s="37"/>
      <c r="E53" s="37"/>
      <c r="F53" s="37"/>
      <c r="G53" s="37"/>
      <c r="H53" s="37"/>
      <c r="I53" s="34"/>
    </row>
    <row r="54" spans="1:9" s="72" customFormat="1" ht="24" customHeight="1">
      <c r="A54" s="34"/>
      <c r="B54" s="33" t="s">
        <v>147</v>
      </c>
      <c r="C54" s="37"/>
      <c r="D54" s="37"/>
      <c r="E54" s="37"/>
      <c r="F54" s="37"/>
      <c r="G54" s="37"/>
      <c r="H54" s="37"/>
      <c r="I54" s="34"/>
    </row>
    <row r="55" spans="1:9" s="72" customFormat="1" ht="24" customHeight="1">
      <c r="A55" s="34"/>
      <c r="B55" s="33" t="s">
        <v>104</v>
      </c>
      <c r="C55" s="37"/>
      <c r="D55" s="37"/>
      <c r="E55" s="37"/>
      <c r="F55" s="37"/>
      <c r="G55" s="37"/>
      <c r="H55" s="37"/>
      <c r="I55" s="34"/>
    </row>
    <row r="56" spans="1:9" s="72" customFormat="1" ht="24" customHeight="1">
      <c r="A56" s="34"/>
      <c r="B56" s="72" t="s">
        <v>109</v>
      </c>
      <c r="C56" s="37"/>
      <c r="D56" s="37"/>
      <c r="E56" s="37"/>
      <c r="F56" s="37"/>
      <c r="G56" s="37"/>
      <c r="H56" s="37"/>
      <c r="I56" s="34"/>
    </row>
    <row r="57" spans="1:9" s="72" customFormat="1" ht="24" customHeight="1">
      <c r="A57" s="34"/>
      <c r="B57" s="33" t="s">
        <v>213</v>
      </c>
      <c r="C57" s="37"/>
      <c r="D57" s="37"/>
      <c r="E57" s="37"/>
      <c r="F57" s="37"/>
      <c r="G57" s="37"/>
      <c r="H57" s="37"/>
      <c r="I57" s="34"/>
    </row>
    <row r="58" spans="1:9" s="72" customFormat="1" ht="24" customHeight="1">
      <c r="A58" s="34"/>
      <c r="B58" s="33" t="s">
        <v>110</v>
      </c>
      <c r="C58" s="37"/>
      <c r="D58" s="37"/>
      <c r="E58" s="37"/>
      <c r="F58" s="37"/>
      <c r="G58" s="37"/>
      <c r="H58" s="37"/>
      <c r="I58" s="34"/>
    </row>
    <row r="59" spans="1:9" s="72" customFormat="1" ht="24" customHeight="1">
      <c r="A59" s="34"/>
      <c r="B59" s="33" t="s">
        <v>214</v>
      </c>
      <c r="C59" s="37"/>
      <c r="D59" s="37"/>
      <c r="E59" s="37"/>
      <c r="F59" s="37"/>
      <c r="G59" s="37"/>
      <c r="H59" s="37"/>
      <c r="I59" s="34"/>
    </row>
    <row r="60" spans="1:9" s="72" customFormat="1" ht="24" customHeight="1">
      <c r="A60" s="34"/>
      <c r="B60" s="33" t="s">
        <v>116</v>
      </c>
      <c r="C60" s="37"/>
      <c r="D60" s="37"/>
      <c r="E60" s="37"/>
      <c r="F60" s="37"/>
      <c r="G60" s="37"/>
      <c r="H60" s="37"/>
      <c r="I60" s="34"/>
    </row>
    <row r="61" spans="1:9" s="72" customFormat="1" ht="24" customHeight="1">
      <c r="A61" s="34"/>
      <c r="B61" s="33" t="s">
        <v>120</v>
      </c>
      <c r="C61" s="37"/>
      <c r="D61" s="37"/>
      <c r="E61" s="37"/>
      <c r="F61" s="37"/>
      <c r="G61" s="37"/>
      <c r="H61" s="37"/>
      <c r="I61" s="34"/>
    </row>
    <row r="62" spans="1:9" s="72" customFormat="1" ht="24" customHeight="1">
      <c r="A62" s="34"/>
      <c r="B62" s="33" t="s">
        <v>124</v>
      </c>
      <c r="C62" s="37"/>
      <c r="D62" s="37"/>
      <c r="E62" s="37"/>
      <c r="F62" s="37"/>
      <c r="G62" s="37"/>
      <c r="H62" s="37"/>
      <c r="I62" s="34"/>
    </row>
    <row r="63" spans="1:9" s="72" customFormat="1" ht="24" customHeight="1">
      <c r="A63" s="34"/>
      <c r="B63" s="33" t="s">
        <v>228</v>
      </c>
      <c r="C63" s="37"/>
      <c r="D63" s="37"/>
      <c r="E63" s="37"/>
      <c r="F63" s="37"/>
      <c r="G63" s="37"/>
      <c r="H63" s="37"/>
      <c r="I63" s="34"/>
    </row>
    <row r="64" spans="1:9" s="72" customFormat="1" ht="24" customHeight="1">
      <c r="A64" s="34"/>
      <c r="B64" s="33" t="s">
        <v>155</v>
      </c>
      <c r="C64" s="37"/>
      <c r="D64" s="37"/>
      <c r="E64" s="37"/>
      <c r="F64" s="37"/>
      <c r="G64" s="37"/>
      <c r="H64" s="37"/>
      <c r="I64" s="34"/>
    </row>
    <row r="65" spans="1:9" s="72" customFormat="1" ht="24" customHeight="1">
      <c r="A65" s="34"/>
      <c r="B65" s="33" t="s">
        <v>157</v>
      </c>
      <c r="C65" s="37"/>
      <c r="D65" s="37"/>
      <c r="E65" s="37"/>
      <c r="F65" s="37"/>
      <c r="G65" s="37"/>
      <c r="H65" s="37"/>
      <c r="I65" s="34"/>
    </row>
    <row r="66" spans="1:9" s="72" customFormat="1" ht="24" customHeight="1">
      <c r="A66" s="34"/>
      <c r="B66" s="33" t="s">
        <v>215</v>
      </c>
      <c r="C66" s="37"/>
      <c r="D66" s="37"/>
      <c r="E66" s="37"/>
      <c r="F66" s="37"/>
      <c r="G66" s="37"/>
      <c r="H66" s="37"/>
      <c r="I66" s="34"/>
    </row>
    <row r="67" spans="1:9" s="72" customFormat="1" ht="24" customHeight="1">
      <c r="A67" s="34"/>
      <c r="B67" s="33"/>
      <c r="C67" s="37"/>
      <c r="D67" s="37"/>
      <c r="E67" s="37"/>
      <c r="F67" s="37"/>
      <c r="G67" s="37"/>
      <c r="H67" s="37"/>
      <c r="I67" s="34"/>
    </row>
    <row r="68" spans="1:9" s="72" customFormat="1" ht="24" customHeight="1">
      <c r="A68" s="74"/>
      <c r="B68" s="39" t="s">
        <v>40</v>
      </c>
      <c r="C68" s="38"/>
      <c r="D68" s="38"/>
      <c r="E68" s="38"/>
      <c r="F68" s="38"/>
      <c r="G68" s="38"/>
      <c r="H68" s="38"/>
    </row>
    <row r="69" spans="1:9" s="72" customFormat="1" ht="24" customHeight="1">
      <c r="A69" s="74"/>
      <c r="B69" s="92" t="s">
        <v>139</v>
      </c>
      <c r="C69" s="38"/>
      <c r="D69" s="38"/>
      <c r="E69" s="38"/>
      <c r="F69" s="38"/>
      <c r="G69" s="38"/>
      <c r="H69" s="38"/>
    </row>
    <row r="70" spans="1:9" s="72" customFormat="1" ht="24" customHeight="1">
      <c r="A70" s="74"/>
      <c r="B70" s="101" t="s">
        <v>150</v>
      </c>
      <c r="C70" s="101"/>
      <c r="D70" s="101"/>
      <c r="E70" s="101"/>
      <c r="F70" s="38"/>
      <c r="G70" s="38"/>
      <c r="H70" s="38"/>
    </row>
    <row r="71" spans="1:9" s="72" customFormat="1" ht="24" customHeight="1">
      <c r="A71" s="74"/>
      <c r="B71" s="101" t="s">
        <v>125</v>
      </c>
      <c r="C71" s="101"/>
      <c r="D71" s="101"/>
      <c r="E71" s="38"/>
      <c r="F71" s="38"/>
      <c r="G71" s="38"/>
      <c r="H71" s="38"/>
    </row>
    <row r="72" spans="1:9" s="42" customFormat="1" ht="24" customHeight="1">
      <c r="A72" s="34"/>
      <c r="B72" s="72" t="s">
        <v>117</v>
      </c>
      <c r="C72" s="37"/>
      <c r="D72" s="37"/>
      <c r="E72" s="37"/>
      <c r="F72" s="37"/>
      <c r="G72" s="37"/>
      <c r="H72" s="37"/>
      <c r="I72" s="34"/>
    </row>
    <row r="73" spans="1:9" s="42" customFormat="1" ht="24" customHeight="1">
      <c r="A73" s="34"/>
      <c r="B73" s="72" t="s">
        <v>142</v>
      </c>
      <c r="C73" s="37"/>
      <c r="D73" s="37"/>
      <c r="E73" s="37"/>
      <c r="F73" s="37"/>
      <c r="G73" s="37"/>
      <c r="H73" s="37"/>
      <c r="I73" s="34"/>
    </row>
    <row r="74" spans="1:9" s="42" customFormat="1" ht="24" customHeight="1">
      <c r="A74" s="34"/>
      <c r="B74" s="34" t="s">
        <v>123</v>
      </c>
      <c r="C74" s="37"/>
      <c r="D74" s="37"/>
      <c r="E74" s="37"/>
      <c r="F74" s="37"/>
      <c r="G74" s="37"/>
      <c r="H74" s="37"/>
      <c r="I74" s="34"/>
    </row>
    <row r="75" spans="1:9" s="42" customFormat="1" ht="24" customHeight="1">
      <c r="A75" s="34"/>
      <c r="B75" s="34" t="s">
        <v>107</v>
      </c>
      <c r="C75" s="37"/>
      <c r="D75" s="37"/>
      <c r="E75" s="37"/>
      <c r="F75" s="37"/>
      <c r="G75" s="37"/>
      <c r="H75" s="37"/>
      <c r="I75" s="34"/>
    </row>
    <row r="76" spans="1:9" s="42" customFormat="1" ht="24" customHeight="1">
      <c r="A76" s="34"/>
      <c r="B76" s="34"/>
      <c r="C76" s="37"/>
      <c r="D76" s="37"/>
      <c r="E76" s="37"/>
      <c r="F76" s="37"/>
      <c r="G76" s="37"/>
      <c r="H76" s="37"/>
      <c r="I76" s="34"/>
    </row>
    <row r="77" spans="1:9" ht="24" customHeight="1">
      <c r="A77" s="58"/>
      <c r="B77" s="50" t="s">
        <v>41</v>
      </c>
      <c r="C77" s="50"/>
      <c r="D77" s="50"/>
      <c r="E77" s="50"/>
      <c r="F77" s="36"/>
      <c r="G77" s="36"/>
      <c r="H77" s="36"/>
      <c r="I77" s="42"/>
    </row>
    <row r="78" spans="1:9" ht="24" customHeight="1">
      <c r="A78" s="58"/>
      <c r="B78" s="59" t="s">
        <v>162</v>
      </c>
      <c r="C78" s="50"/>
      <c r="D78" s="50"/>
      <c r="E78" s="50"/>
      <c r="F78" s="36"/>
      <c r="G78" s="36"/>
      <c r="H78" s="36"/>
      <c r="I78" s="42"/>
    </row>
    <row r="79" spans="1:9" ht="24" customHeight="1">
      <c r="A79" s="58"/>
      <c r="B79" s="59" t="s">
        <v>151</v>
      </c>
      <c r="C79" s="50"/>
      <c r="D79" s="50"/>
      <c r="E79" s="50"/>
      <c r="F79" s="36"/>
      <c r="G79" s="36"/>
      <c r="H79" s="36"/>
      <c r="I79" s="42"/>
    </row>
    <row r="80" spans="1:9" ht="24" customHeight="1">
      <c r="A80" s="58"/>
      <c r="B80" s="101" t="s">
        <v>145</v>
      </c>
      <c r="C80" s="101"/>
      <c r="D80" s="101"/>
      <c r="E80" s="59"/>
      <c r="F80" s="36"/>
      <c r="G80" s="36"/>
      <c r="H80" s="36"/>
      <c r="I80" s="42"/>
    </row>
    <row r="81" spans="1:10" ht="24" customHeight="1">
      <c r="A81" s="58"/>
      <c r="B81" s="101" t="s">
        <v>137</v>
      </c>
      <c r="C81" s="101"/>
      <c r="D81" s="101"/>
      <c r="E81" s="101"/>
      <c r="F81" s="36"/>
      <c r="G81" s="36"/>
      <c r="H81" s="36"/>
      <c r="I81" s="42"/>
    </row>
    <row r="82" spans="1:10" ht="24" customHeight="1">
      <c r="A82" s="58"/>
      <c r="B82" s="101" t="s">
        <v>158</v>
      </c>
      <c r="C82" s="101"/>
      <c r="D82" s="101"/>
      <c r="E82" s="101"/>
      <c r="F82" s="101"/>
      <c r="G82" s="101"/>
      <c r="H82" s="101"/>
      <c r="I82" s="101"/>
      <c r="J82" s="101"/>
    </row>
    <row r="83" spans="1:10" ht="24" customHeight="1">
      <c r="A83" s="58"/>
      <c r="B83" s="101" t="s">
        <v>220</v>
      </c>
      <c r="C83" s="101"/>
      <c r="D83" s="101"/>
      <c r="E83" s="101"/>
      <c r="F83" s="36"/>
      <c r="G83" s="36"/>
      <c r="H83" s="36"/>
      <c r="I83" s="42"/>
    </row>
    <row r="84" spans="1:10" ht="24" customHeight="1">
      <c r="A84" s="72"/>
      <c r="B84" s="33" t="s">
        <v>105</v>
      </c>
      <c r="C84" s="33"/>
      <c r="D84" s="38"/>
      <c r="E84" s="40"/>
      <c r="F84" s="40"/>
      <c r="G84" s="40"/>
      <c r="H84" s="40"/>
      <c r="I84" s="72"/>
    </row>
    <row r="85" spans="1:10" ht="24" customHeight="1">
      <c r="A85" s="72"/>
      <c r="B85" s="33" t="s">
        <v>113</v>
      </c>
      <c r="C85" s="33"/>
      <c r="D85" s="38"/>
      <c r="E85" s="40"/>
      <c r="F85" s="40"/>
      <c r="G85" s="40"/>
      <c r="H85" s="40"/>
      <c r="I85" s="72"/>
    </row>
    <row r="86" spans="1:10" ht="24" customHeight="1">
      <c r="A86" s="72"/>
      <c r="B86" s="33" t="s">
        <v>127</v>
      </c>
      <c r="C86" s="33"/>
      <c r="D86" s="38"/>
      <c r="E86" s="40"/>
      <c r="F86" s="40"/>
      <c r="G86" s="40"/>
      <c r="H86" s="40"/>
      <c r="I86" s="72"/>
    </row>
    <row r="87" spans="1:10" ht="24" customHeight="1">
      <c r="A87" s="72"/>
      <c r="B87" s="33" t="s">
        <v>128</v>
      </c>
      <c r="C87" s="33"/>
      <c r="D87" s="38"/>
      <c r="E87" s="40"/>
      <c r="F87" s="40"/>
      <c r="G87" s="40"/>
      <c r="H87" s="40"/>
      <c r="I87" s="72"/>
    </row>
    <row r="88" spans="1:10" ht="24" customHeight="1">
      <c r="A88" s="72"/>
      <c r="B88" s="33" t="s">
        <v>134</v>
      </c>
      <c r="C88" s="33"/>
      <c r="D88" s="38"/>
      <c r="E88" s="40"/>
      <c r="F88" s="40"/>
      <c r="G88" s="40"/>
      <c r="H88" s="40"/>
      <c r="I88" s="72"/>
    </row>
    <row r="89" spans="1:10" ht="24" customHeight="1">
      <c r="A89" s="72"/>
      <c r="B89" s="33" t="s">
        <v>135</v>
      </c>
      <c r="C89" s="33"/>
      <c r="D89" s="38"/>
      <c r="E89" s="40"/>
      <c r="F89" s="40"/>
      <c r="G89" s="40"/>
      <c r="H89" s="40"/>
      <c r="I89" s="72"/>
    </row>
    <row r="90" spans="1:10" ht="24" customHeight="1">
      <c r="A90" s="72"/>
      <c r="B90" s="33" t="s">
        <v>136</v>
      </c>
      <c r="C90" s="33"/>
      <c r="D90" s="38"/>
      <c r="E90" s="40"/>
      <c r="F90" s="40"/>
      <c r="G90" s="40"/>
      <c r="H90" s="40"/>
      <c r="I90" s="72"/>
    </row>
    <row r="91" spans="1:10" ht="24" customHeight="1">
      <c r="A91" s="72"/>
      <c r="B91" s="33" t="s">
        <v>138</v>
      </c>
      <c r="C91" s="33"/>
      <c r="D91" s="38"/>
      <c r="E91" s="40"/>
      <c r="F91" s="40"/>
      <c r="G91" s="40"/>
      <c r="H91" s="40"/>
      <c r="I91" s="72"/>
    </row>
    <row r="92" spans="1:10" ht="24" customHeight="1">
      <c r="A92" s="72"/>
      <c r="B92" s="33" t="s">
        <v>140</v>
      </c>
      <c r="C92" s="33"/>
      <c r="D92" s="38"/>
      <c r="E92" s="40"/>
      <c r="F92" s="40"/>
      <c r="G92" s="40"/>
      <c r="H92" s="40"/>
      <c r="I92" s="72"/>
    </row>
    <row r="93" spans="1:10" ht="24" customHeight="1">
      <c r="A93" s="72"/>
      <c r="B93" s="33" t="s">
        <v>143</v>
      </c>
      <c r="C93" s="33"/>
      <c r="D93" s="38"/>
      <c r="E93" s="40"/>
      <c r="F93" s="40"/>
      <c r="G93" s="40"/>
      <c r="H93" s="40"/>
      <c r="I93" s="72"/>
    </row>
    <row r="94" spans="1:10" ht="24" customHeight="1">
      <c r="A94" s="72"/>
      <c r="B94" s="33" t="s">
        <v>146</v>
      </c>
      <c r="C94" s="33"/>
      <c r="D94" s="38"/>
      <c r="E94" s="40"/>
      <c r="F94" s="40"/>
      <c r="G94" s="40"/>
      <c r="H94" s="40"/>
      <c r="I94" s="72"/>
    </row>
    <row r="95" spans="1:10" ht="24" customHeight="1">
      <c r="A95" s="72"/>
      <c r="B95" s="33" t="s">
        <v>165</v>
      </c>
      <c r="C95" s="33"/>
      <c r="D95" s="38"/>
      <c r="E95" s="40"/>
      <c r="F95" s="40"/>
      <c r="G95" s="40"/>
      <c r="H95" s="40"/>
      <c r="I95" s="72"/>
    </row>
    <row r="96" spans="1:10" ht="24" customHeight="1">
      <c r="A96" s="72"/>
      <c r="B96" s="33" t="s">
        <v>166</v>
      </c>
      <c r="C96" s="33"/>
      <c r="D96" s="38"/>
      <c r="E96" s="40"/>
      <c r="F96" s="40"/>
      <c r="G96" s="40"/>
      <c r="H96" s="40"/>
      <c r="I96" s="72"/>
    </row>
    <row r="97" spans="1:9" ht="24" customHeight="1">
      <c r="A97" s="72"/>
      <c r="B97" s="33" t="s">
        <v>167</v>
      </c>
      <c r="C97" s="33"/>
      <c r="D97" s="38"/>
      <c r="E97" s="40"/>
      <c r="F97" s="40"/>
      <c r="G97" s="40"/>
      <c r="H97" s="40"/>
      <c r="I97" s="72"/>
    </row>
    <row r="98" spans="1:9" ht="24" customHeight="1">
      <c r="A98" s="72"/>
      <c r="B98" s="33" t="s">
        <v>168</v>
      </c>
      <c r="C98" s="33"/>
      <c r="D98" s="38"/>
      <c r="E98" s="40"/>
      <c r="F98" s="40"/>
      <c r="G98" s="40"/>
      <c r="H98" s="40"/>
      <c r="I98" s="72"/>
    </row>
    <row r="99" spans="1:9" ht="24" customHeight="1">
      <c r="A99" s="72"/>
      <c r="B99" s="33" t="s">
        <v>169</v>
      </c>
      <c r="C99" s="33"/>
      <c r="D99" s="38"/>
      <c r="E99" s="40"/>
      <c r="F99" s="40"/>
      <c r="G99" s="40"/>
      <c r="H99" s="40"/>
      <c r="I99" s="72"/>
    </row>
    <row r="100" spans="1:9" ht="24" customHeight="1">
      <c r="A100" s="72"/>
      <c r="B100" s="33" t="s">
        <v>170</v>
      </c>
      <c r="C100" s="33"/>
      <c r="D100" s="38"/>
      <c r="E100" s="40"/>
      <c r="F100" s="40"/>
      <c r="G100" s="40"/>
      <c r="H100" s="40"/>
      <c r="I100" s="72"/>
    </row>
    <row r="101" spans="1:9" ht="24" customHeight="1">
      <c r="A101" s="72"/>
      <c r="B101" s="33"/>
      <c r="C101" s="33"/>
      <c r="D101" s="38"/>
      <c r="E101" s="40"/>
      <c r="F101" s="40"/>
      <c r="G101" s="40"/>
      <c r="H101" s="40"/>
      <c r="I101" s="72"/>
    </row>
    <row r="102" spans="1:9" ht="24" customHeight="1">
      <c r="A102" s="70" t="s">
        <v>42</v>
      </c>
      <c r="C102" s="36"/>
      <c r="D102" s="36"/>
      <c r="E102" s="36"/>
      <c r="F102" s="36"/>
      <c r="G102" s="36"/>
      <c r="H102" s="36"/>
    </row>
    <row r="103" spans="1:9" ht="24" customHeight="1">
      <c r="B103" s="39" t="s">
        <v>39</v>
      </c>
      <c r="C103" s="41"/>
      <c r="D103" s="41"/>
      <c r="E103" s="41"/>
      <c r="F103" s="41"/>
      <c r="G103" s="41"/>
      <c r="H103" s="41"/>
    </row>
    <row r="104" spans="1:9" ht="24" customHeight="1">
      <c r="B104" s="72" t="s">
        <v>183</v>
      </c>
      <c r="C104" s="41"/>
      <c r="D104" s="41"/>
      <c r="E104" s="41"/>
      <c r="F104" s="41"/>
      <c r="G104" s="41"/>
      <c r="H104" s="41"/>
    </row>
    <row r="105" spans="1:9" ht="24" customHeight="1">
      <c r="B105" s="72" t="s">
        <v>184</v>
      </c>
      <c r="C105" s="41"/>
      <c r="D105" s="41"/>
      <c r="E105" s="41"/>
      <c r="F105" s="41"/>
      <c r="G105" s="41"/>
      <c r="H105" s="41"/>
    </row>
    <row r="106" spans="1:9" ht="24" customHeight="1">
      <c r="B106" s="72" t="s">
        <v>185</v>
      </c>
      <c r="C106" s="41"/>
      <c r="D106" s="41"/>
      <c r="E106" s="41"/>
      <c r="F106" s="41"/>
      <c r="G106" s="41"/>
      <c r="H106" s="41"/>
    </row>
    <row r="107" spans="1:9" ht="24" customHeight="1">
      <c r="B107" s="72" t="s">
        <v>229</v>
      </c>
      <c r="C107" s="41"/>
      <c r="D107" s="41"/>
      <c r="E107" s="41"/>
      <c r="F107" s="41"/>
      <c r="G107" s="41"/>
      <c r="H107" s="41"/>
    </row>
    <row r="108" spans="1:9" ht="24" customHeight="1">
      <c r="B108" s="72" t="s">
        <v>171</v>
      </c>
      <c r="C108" s="41"/>
      <c r="D108" s="41"/>
      <c r="E108" s="41"/>
      <c r="F108" s="41"/>
      <c r="G108" s="41"/>
      <c r="H108" s="41"/>
    </row>
    <row r="109" spans="1:9" ht="24" customHeight="1">
      <c r="B109" s="72" t="s">
        <v>178</v>
      </c>
      <c r="C109" s="41"/>
      <c r="D109" s="41"/>
      <c r="E109" s="41"/>
      <c r="F109" s="41"/>
      <c r="G109" s="41"/>
      <c r="H109" s="41"/>
    </row>
    <row r="110" spans="1:9" s="72" customFormat="1" ht="24" customHeight="1">
      <c r="B110" s="72" t="s">
        <v>198</v>
      </c>
    </row>
    <row r="111" spans="1:9" s="72" customFormat="1" ht="24" customHeight="1">
      <c r="B111" s="72" t="s">
        <v>207</v>
      </c>
    </row>
    <row r="112" spans="1:9" s="72" customFormat="1" ht="24" customHeight="1">
      <c r="B112" s="72" t="s">
        <v>177</v>
      </c>
    </row>
    <row r="113" spans="2:2" s="72" customFormat="1" ht="24" customHeight="1">
      <c r="B113" s="72" t="s">
        <v>209</v>
      </c>
    </row>
    <row r="114" spans="2:2" s="72" customFormat="1" ht="24" customHeight="1">
      <c r="B114" s="72" t="s">
        <v>175</v>
      </c>
    </row>
    <row r="115" spans="2:2" s="72" customFormat="1" ht="24" customHeight="1">
      <c r="B115" s="72" t="s">
        <v>176</v>
      </c>
    </row>
    <row r="116" spans="2:2" s="72" customFormat="1" ht="24" customHeight="1">
      <c r="B116" s="72" t="s">
        <v>179</v>
      </c>
    </row>
    <row r="117" spans="2:2" s="72" customFormat="1" ht="24" customHeight="1">
      <c r="B117" s="72" t="s">
        <v>180</v>
      </c>
    </row>
    <row r="118" spans="2:2" s="72" customFormat="1" ht="24" customHeight="1">
      <c r="B118" s="72" t="s">
        <v>181</v>
      </c>
    </row>
    <row r="119" spans="2:2" s="72" customFormat="1" ht="24" customHeight="1">
      <c r="B119" s="72" t="s">
        <v>182</v>
      </c>
    </row>
    <row r="120" spans="2:2" s="72" customFormat="1" ht="24" customHeight="1">
      <c r="B120" s="72" t="s">
        <v>186</v>
      </c>
    </row>
    <row r="121" spans="2:2" s="72" customFormat="1" ht="24" customHeight="1">
      <c r="B121" s="72" t="s">
        <v>202</v>
      </c>
    </row>
    <row r="122" spans="2:2" s="72" customFormat="1" ht="24" customHeight="1">
      <c r="B122" s="93" t="s">
        <v>188</v>
      </c>
    </row>
    <row r="123" spans="2:2" s="72" customFormat="1" ht="24" customHeight="1">
      <c r="B123" s="93" t="s">
        <v>189</v>
      </c>
    </row>
    <row r="124" spans="2:2" s="72" customFormat="1" ht="24" customHeight="1">
      <c r="B124" s="72" t="s">
        <v>190</v>
      </c>
    </row>
    <row r="125" spans="2:2" s="72" customFormat="1" ht="24" customHeight="1">
      <c r="B125" s="72" t="s">
        <v>192</v>
      </c>
    </row>
    <row r="126" spans="2:2" s="72" customFormat="1" ht="24" customHeight="1">
      <c r="B126" s="72" t="s">
        <v>196</v>
      </c>
    </row>
    <row r="127" spans="2:2" s="72" customFormat="1" ht="24" customHeight="1">
      <c r="B127" s="72" t="s">
        <v>205</v>
      </c>
    </row>
    <row r="128" spans="2:2" s="72" customFormat="1" ht="24" customHeight="1">
      <c r="B128" s="72" t="s">
        <v>206</v>
      </c>
    </row>
    <row r="129" spans="1:9" s="72" customFormat="1" ht="24" customHeight="1"/>
    <row r="130" spans="1:9" ht="24" customHeight="1">
      <c r="A130" s="72"/>
      <c r="B130" s="44" t="s">
        <v>40</v>
      </c>
      <c r="C130" s="40"/>
      <c r="D130" s="40"/>
      <c r="E130" s="40"/>
      <c r="F130" s="40"/>
      <c r="G130" s="40"/>
      <c r="H130" s="40"/>
      <c r="I130" s="72"/>
    </row>
    <row r="131" spans="1:9" s="74" customFormat="1" ht="24" customHeight="1">
      <c r="B131" s="33" t="s">
        <v>191</v>
      </c>
      <c r="C131" s="71"/>
      <c r="D131" s="71"/>
      <c r="E131" s="40"/>
      <c r="F131" s="40"/>
      <c r="G131" s="40"/>
      <c r="H131" s="40"/>
      <c r="I131" s="71"/>
    </row>
    <row r="132" spans="1:9" s="74" customFormat="1" ht="24" customHeight="1">
      <c r="B132" s="33" t="s">
        <v>195</v>
      </c>
      <c r="C132" s="71"/>
      <c r="D132" s="71"/>
      <c r="E132" s="40"/>
      <c r="F132" s="40"/>
      <c r="G132" s="40"/>
      <c r="H132" s="40"/>
      <c r="I132" s="71"/>
    </row>
    <row r="133" spans="1:9" s="74" customFormat="1" ht="24" customHeight="1">
      <c r="B133" s="33" t="s">
        <v>197</v>
      </c>
      <c r="C133" s="71"/>
      <c r="D133" s="71"/>
      <c r="E133" s="40"/>
      <c r="F133" s="40"/>
      <c r="G133" s="40"/>
      <c r="H133" s="40"/>
      <c r="I133" s="71"/>
    </row>
    <row r="134" spans="1:9" s="74" customFormat="1" ht="24" customHeight="1">
      <c r="B134" s="33" t="s">
        <v>208</v>
      </c>
      <c r="C134" s="71"/>
      <c r="D134" s="71"/>
      <c r="E134" s="40"/>
      <c r="F134" s="40"/>
      <c r="G134" s="40"/>
      <c r="H134" s="40"/>
      <c r="I134" s="71"/>
    </row>
    <row r="135" spans="1:9" s="74" customFormat="1" ht="24" customHeight="1">
      <c r="B135" s="33"/>
      <c r="C135" s="71"/>
      <c r="D135" s="71"/>
      <c r="E135" s="40"/>
      <c r="F135" s="40"/>
      <c r="G135" s="40"/>
      <c r="H135" s="40"/>
      <c r="I135" s="71"/>
    </row>
    <row r="136" spans="1:9" s="74" customFormat="1" ht="24" customHeight="1">
      <c r="B136" s="47" t="s">
        <v>41</v>
      </c>
      <c r="C136" s="38"/>
      <c r="D136" s="38"/>
      <c r="E136" s="38"/>
      <c r="F136" s="38"/>
      <c r="G136" s="38"/>
      <c r="H136" s="38"/>
    </row>
    <row r="137" spans="1:9" s="74" customFormat="1" ht="24" customHeight="1">
      <c r="B137" s="33" t="s">
        <v>200</v>
      </c>
      <c r="C137" s="35"/>
      <c r="D137" s="35"/>
      <c r="E137" s="35"/>
      <c r="F137" s="35"/>
      <c r="G137" s="35"/>
      <c r="H137" s="35"/>
    </row>
    <row r="138" spans="1:9" s="74" customFormat="1" ht="24" customHeight="1">
      <c r="B138" s="49" t="s">
        <v>172</v>
      </c>
      <c r="C138" s="35"/>
      <c r="D138" s="35"/>
      <c r="E138" s="35"/>
      <c r="F138" s="35"/>
      <c r="G138" s="35"/>
      <c r="H138" s="35"/>
    </row>
    <row r="139" spans="1:9" s="74" customFormat="1" ht="24" customHeight="1">
      <c r="B139" s="49" t="s">
        <v>173</v>
      </c>
      <c r="C139" s="38"/>
      <c r="D139" s="38"/>
      <c r="E139" s="38"/>
      <c r="F139" s="38"/>
      <c r="G139" s="38"/>
      <c r="H139" s="38"/>
    </row>
    <row r="140" spans="1:9" s="74" customFormat="1" ht="24" customHeight="1">
      <c r="B140" s="49" t="s">
        <v>174</v>
      </c>
      <c r="C140" s="38"/>
      <c r="D140" s="38"/>
      <c r="E140" s="38"/>
      <c r="F140" s="38"/>
      <c r="G140" s="38"/>
      <c r="H140" s="38"/>
    </row>
    <row r="141" spans="1:9" s="74" customFormat="1" ht="24" customHeight="1">
      <c r="A141" s="72"/>
      <c r="B141" s="49" t="s">
        <v>187</v>
      </c>
      <c r="C141" s="38"/>
      <c r="D141" s="38"/>
      <c r="E141" s="38"/>
      <c r="F141" s="38"/>
      <c r="G141" s="38"/>
      <c r="H141" s="38"/>
    </row>
    <row r="142" spans="1:9" s="74" customFormat="1" ht="24" customHeight="1">
      <c r="A142" s="72"/>
      <c r="B142" s="72" t="s">
        <v>219</v>
      </c>
      <c r="C142" s="38"/>
      <c r="D142" s="38"/>
      <c r="E142" s="38"/>
      <c r="F142" s="38"/>
      <c r="G142" s="38"/>
      <c r="H142" s="38"/>
    </row>
    <row r="143" spans="1:9" s="72" customFormat="1" ht="24" customHeight="1">
      <c r="B143" s="72" t="s">
        <v>193</v>
      </c>
      <c r="C143" s="45"/>
      <c r="D143" s="45"/>
      <c r="E143" s="48"/>
      <c r="F143" s="48"/>
      <c r="G143" s="48"/>
      <c r="H143" s="45"/>
      <c r="I143" s="34"/>
    </row>
    <row r="144" spans="1:9" s="72" customFormat="1" ht="24" customHeight="1">
      <c r="A144" s="74"/>
      <c r="B144" s="72" t="s">
        <v>194</v>
      </c>
      <c r="C144" s="40"/>
      <c r="D144" s="40"/>
      <c r="E144" s="40"/>
      <c r="F144" s="40"/>
      <c r="G144" s="40"/>
      <c r="H144" s="40"/>
    </row>
    <row r="145" spans="1:9" s="72" customFormat="1" ht="24" customHeight="1">
      <c r="A145" s="74"/>
      <c r="B145" s="72" t="s">
        <v>230</v>
      </c>
      <c r="C145" s="40"/>
      <c r="D145" s="40"/>
      <c r="E145" s="40"/>
      <c r="F145" s="40"/>
      <c r="G145" s="40"/>
      <c r="H145" s="40"/>
    </row>
    <row r="146" spans="1:9" s="72" customFormat="1" ht="24" customHeight="1">
      <c r="A146" s="74"/>
      <c r="B146" s="72" t="s">
        <v>231</v>
      </c>
      <c r="C146" s="40"/>
      <c r="D146" s="40"/>
      <c r="E146" s="40"/>
      <c r="F146" s="40"/>
      <c r="G146" s="40"/>
      <c r="H146" s="40"/>
    </row>
    <row r="147" spans="1:9" s="72" customFormat="1" ht="24" customHeight="1">
      <c r="A147" s="74"/>
      <c r="B147" s="72" t="s">
        <v>233</v>
      </c>
      <c r="C147" s="40"/>
      <c r="D147" s="40"/>
      <c r="E147" s="40"/>
      <c r="F147" s="40"/>
      <c r="G147" s="40"/>
      <c r="H147" s="40"/>
    </row>
    <row r="148" spans="1:9" s="72" customFormat="1" ht="24" customHeight="1">
      <c r="A148" s="74"/>
      <c r="B148" s="72" t="s">
        <v>232</v>
      </c>
      <c r="C148" s="40"/>
      <c r="D148" s="40"/>
      <c r="E148" s="40"/>
      <c r="F148" s="40"/>
      <c r="G148" s="40"/>
      <c r="H148" s="40"/>
    </row>
    <row r="149" spans="1:9" s="74" customFormat="1" ht="24" customHeight="1">
      <c r="A149" s="72"/>
      <c r="B149" s="72" t="s">
        <v>199</v>
      </c>
      <c r="C149" s="40"/>
      <c r="D149" s="40"/>
      <c r="E149" s="40"/>
      <c r="F149" s="40"/>
      <c r="G149" s="40"/>
      <c r="H149" s="40"/>
      <c r="I149" s="72"/>
    </row>
    <row r="150" spans="1:9" s="74" customFormat="1" ht="24" customHeight="1">
      <c r="A150" s="72"/>
      <c r="B150" s="72" t="s">
        <v>221</v>
      </c>
      <c r="C150" s="40"/>
      <c r="D150" s="40"/>
      <c r="E150" s="40"/>
      <c r="F150" s="40"/>
      <c r="G150" s="40"/>
      <c r="H150" s="40"/>
      <c r="I150" s="72"/>
    </row>
    <row r="151" spans="1:9" s="74" customFormat="1" ht="24" customHeight="1">
      <c r="A151" s="72"/>
      <c r="B151" s="72" t="s">
        <v>201</v>
      </c>
      <c r="C151" s="40"/>
      <c r="D151" s="40"/>
      <c r="E151" s="40"/>
      <c r="F151" s="40"/>
      <c r="G151" s="40"/>
      <c r="H151" s="40"/>
      <c r="I151" s="72"/>
    </row>
    <row r="152" spans="1:9" s="74" customFormat="1" ht="24" customHeight="1">
      <c r="A152" s="72"/>
      <c r="B152" s="72" t="s">
        <v>203</v>
      </c>
      <c r="C152" s="40"/>
      <c r="D152" s="40"/>
      <c r="E152" s="40"/>
      <c r="F152" s="40"/>
      <c r="G152" s="40"/>
      <c r="H152" s="40"/>
      <c r="I152" s="72"/>
    </row>
    <row r="153" spans="1:9" s="74" customFormat="1" ht="24" customHeight="1">
      <c r="A153" s="72"/>
      <c r="B153" s="72" t="s">
        <v>204</v>
      </c>
      <c r="C153" s="40"/>
      <c r="D153" s="40"/>
      <c r="E153" s="40"/>
      <c r="F153" s="40"/>
      <c r="G153" s="40"/>
      <c r="H153" s="40"/>
      <c r="I153" s="72"/>
    </row>
    <row r="154" spans="1:9" s="74" customFormat="1" ht="24" customHeight="1">
      <c r="A154" s="72"/>
      <c r="B154" s="72" t="s">
        <v>210</v>
      </c>
      <c r="C154" s="38"/>
      <c r="D154" s="38"/>
      <c r="E154" s="38"/>
      <c r="F154" s="38"/>
      <c r="G154" s="38"/>
      <c r="H154" s="38"/>
    </row>
    <row r="155" spans="1:9" s="72" customFormat="1" ht="24" customHeight="1">
      <c r="B155" s="46"/>
      <c r="C155" s="40"/>
      <c r="D155" s="40"/>
      <c r="E155" s="40"/>
      <c r="F155" s="40"/>
      <c r="G155" s="40"/>
      <c r="H155" s="40"/>
    </row>
    <row r="156" spans="1:9" s="72" customFormat="1" ht="24" customHeight="1">
      <c r="A156" s="74"/>
      <c r="B156" s="46"/>
      <c r="C156" s="40"/>
      <c r="D156" s="40"/>
      <c r="E156" s="40"/>
      <c r="F156" s="40"/>
      <c r="G156" s="40"/>
      <c r="H156" s="40"/>
    </row>
    <row r="157" spans="1:9" s="72" customFormat="1" ht="24" customHeight="1">
      <c r="B157" s="46"/>
      <c r="C157" s="40"/>
      <c r="D157" s="40"/>
      <c r="E157" s="40"/>
      <c r="F157" s="40"/>
      <c r="G157" s="40"/>
      <c r="H157" s="40"/>
    </row>
    <row r="158" spans="1:9" s="74" customFormat="1" ht="24" customHeight="1">
      <c r="A158" s="72"/>
      <c r="B158" s="46"/>
      <c r="C158" s="40"/>
      <c r="D158" s="40"/>
      <c r="E158" s="40"/>
      <c r="F158" s="40"/>
      <c r="G158" s="40"/>
      <c r="H158" s="40"/>
      <c r="I158" s="72"/>
    </row>
    <row r="159" spans="1:9" s="72" customFormat="1" ht="24" customHeight="1">
      <c r="B159" s="46"/>
      <c r="C159" s="38"/>
      <c r="D159" s="38"/>
      <c r="E159" s="38"/>
      <c r="F159" s="38"/>
      <c r="G159" s="38"/>
      <c r="H159" s="38"/>
      <c r="I159" s="74"/>
    </row>
    <row r="160" spans="1:9" s="72" customFormat="1" ht="24" customHeight="1">
      <c r="B160" s="46"/>
      <c r="C160" s="40"/>
      <c r="D160" s="40"/>
      <c r="E160" s="40"/>
      <c r="F160" s="40"/>
      <c r="G160" s="40"/>
      <c r="H160" s="40"/>
    </row>
    <row r="161" spans="2:8" s="72" customFormat="1" ht="24" customHeight="1">
      <c r="B161" s="46"/>
      <c r="C161" s="40"/>
      <c r="D161" s="40"/>
      <c r="E161" s="40"/>
      <c r="F161" s="40"/>
      <c r="G161" s="40"/>
      <c r="H161" s="40"/>
    </row>
    <row r="162" spans="2:8" s="72" customFormat="1" ht="24" customHeight="1">
      <c r="B162" s="43"/>
      <c r="C162" s="40"/>
      <c r="D162" s="40"/>
      <c r="E162" s="40"/>
      <c r="F162" s="40"/>
      <c r="G162" s="40"/>
      <c r="H162" s="40"/>
    </row>
    <row r="163" spans="2:8" s="72" customFormat="1" ht="24" customHeight="1">
      <c r="B163" s="46"/>
      <c r="C163" s="40"/>
      <c r="D163" s="40"/>
      <c r="E163" s="40"/>
      <c r="F163" s="40"/>
      <c r="G163" s="40"/>
      <c r="H163" s="40"/>
    </row>
    <row r="164" spans="2:8" s="72" customFormat="1" ht="24" customHeight="1">
      <c r="B164" s="46"/>
      <c r="C164" s="40"/>
      <c r="D164" s="40"/>
      <c r="E164" s="40"/>
      <c r="F164" s="40"/>
      <c r="G164" s="40"/>
      <c r="H164" s="40"/>
    </row>
    <row r="165" spans="2:8" s="72" customFormat="1" ht="24" customHeight="1">
      <c r="B165" s="46"/>
      <c r="C165" s="40"/>
      <c r="D165" s="40"/>
      <c r="E165" s="40"/>
      <c r="F165" s="40"/>
      <c r="G165" s="40"/>
      <c r="H165" s="40"/>
    </row>
    <row r="166" spans="2:8" s="72" customFormat="1" ht="24" customHeight="1">
      <c r="B166" s="46"/>
      <c r="C166" s="40"/>
      <c r="D166" s="40"/>
      <c r="E166" s="40"/>
      <c r="F166" s="40"/>
      <c r="G166" s="40"/>
      <c r="H166" s="40"/>
    </row>
    <row r="167" spans="2:8" s="72" customFormat="1" ht="24" customHeight="1">
      <c r="B167" s="46"/>
      <c r="C167" s="40"/>
      <c r="D167" s="40"/>
      <c r="E167" s="40"/>
      <c r="F167" s="40"/>
      <c r="G167" s="40"/>
      <c r="H167" s="40"/>
    </row>
    <row r="168" spans="2:8" s="72" customFormat="1" ht="24" customHeight="1">
      <c r="B168" s="46"/>
      <c r="C168" s="40"/>
      <c r="D168" s="40"/>
      <c r="E168" s="40"/>
      <c r="F168" s="40"/>
      <c r="G168" s="40"/>
      <c r="H168" s="40"/>
    </row>
    <row r="169" spans="2:8" s="72" customFormat="1" ht="24" customHeight="1">
      <c r="B169" s="46"/>
      <c r="C169" s="40"/>
      <c r="D169" s="40"/>
      <c r="E169" s="40"/>
      <c r="F169" s="40"/>
      <c r="G169" s="40"/>
      <c r="H169" s="40"/>
    </row>
    <row r="170" spans="2:8" s="72" customFormat="1" ht="24" customHeight="1">
      <c r="B170" s="46"/>
      <c r="C170" s="40"/>
      <c r="D170" s="40"/>
      <c r="E170" s="40"/>
      <c r="F170" s="40"/>
      <c r="G170" s="40"/>
      <c r="H170" s="40"/>
    </row>
    <row r="171" spans="2:8" s="72" customFormat="1" ht="24" customHeight="1">
      <c r="B171" s="46"/>
      <c r="C171" s="40"/>
      <c r="D171" s="40"/>
      <c r="E171" s="40"/>
      <c r="F171" s="40"/>
      <c r="G171" s="40"/>
      <c r="H171" s="40"/>
    </row>
    <row r="172" spans="2:8" s="72" customFormat="1" ht="24" customHeight="1">
      <c r="B172" s="46"/>
      <c r="C172" s="40"/>
      <c r="D172" s="40"/>
      <c r="E172" s="40"/>
      <c r="F172" s="40"/>
      <c r="G172" s="40"/>
      <c r="H172" s="40"/>
    </row>
    <row r="173" spans="2:8" s="72" customFormat="1" ht="24" customHeight="1">
      <c r="B173" s="46"/>
      <c r="C173" s="40"/>
      <c r="D173" s="40"/>
      <c r="E173" s="40"/>
      <c r="F173" s="40"/>
      <c r="G173" s="40"/>
      <c r="H173" s="40"/>
    </row>
    <row r="174" spans="2:8" s="72" customFormat="1" ht="24" customHeight="1">
      <c r="B174" s="34"/>
      <c r="C174" s="40"/>
      <c r="D174" s="40"/>
      <c r="E174" s="40"/>
      <c r="F174" s="40"/>
      <c r="G174" s="40"/>
      <c r="H174" s="40"/>
    </row>
    <row r="175" spans="2:8" s="72" customFormat="1" ht="24" customHeight="1">
      <c r="B175" s="34"/>
      <c r="C175" s="40"/>
      <c r="D175" s="40"/>
      <c r="E175" s="40"/>
      <c r="F175" s="40"/>
      <c r="G175" s="40"/>
      <c r="H175" s="40"/>
    </row>
    <row r="176" spans="2:8" s="72" customFormat="1" ht="24" customHeight="1">
      <c r="B176" s="34"/>
      <c r="C176" s="40"/>
      <c r="D176" s="40"/>
      <c r="E176" s="40"/>
      <c r="F176" s="40"/>
      <c r="G176" s="40"/>
      <c r="H176" s="40"/>
    </row>
    <row r="177" spans="1:9" s="72" customFormat="1" ht="24" customHeight="1">
      <c r="B177" s="34"/>
      <c r="C177" s="40"/>
      <c r="D177" s="40"/>
      <c r="E177" s="40"/>
      <c r="F177" s="40"/>
      <c r="G177" s="40"/>
      <c r="H177" s="40"/>
    </row>
    <row r="178" spans="1:9" s="72" customFormat="1" ht="24" customHeight="1">
      <c r="A178" s="34"/>
      <c r="B178" s="34"/>
      <c r="C178" s="40"/>
      <c r="D178" s="40"/>
      <c r="E178" s="40"/>
      <c r="F178" s="40"/>
      <c r="G178" s="40"/>
      <c r="H178" s="40"/>
    </row>
    <row r="179" spans="1:9" s="72" customFormat="1" ht="24" customHeight="1">
      <c r="A179" s="34"/>
      <c r="B179" s="34"/>
      <c r="C179" s="40"/>
      <c r="D179" s="40"/>
      <c r="E179" s="40"/>
      <c r="F179" s="40"/>
      <c r="G179" s="40"/>
      <c r="H179" s="40"/>
    </row>
    <row r="180" spans="1:9">
      <c r="C180" s="40"/>
      <c r="D180" s="40"/>
      <c r="E180" s="40"/>
      <c r="F180" s="40"/>
      <c r="G180" s="40"/>
      <c r="H180" s="40"/>
      <c r="I180" s="72"/>
    </row>
  </sheetData>
  <mergeCells count="13">
    <mergeCell ref="B71:D71"/>
    <mergeCell ref="B83:E83"/>
    <mergeCell ref="B81:E81"/>
    <mergeCell ref="B80:D80"/>
    <mergeCell ref="B70:E70"/>
    <mergeCell ref="B82:J82"/>
    <mergeCell ref="A3:H3"/>
    <mergeCell ref="A1:I1"/>
    <mergeCell ref="A13:B13"/>
    <mergeCell ref="A2:H2"/>
    <mergeCell ref="B5:H5"/>
    <mergeCell ref="B7:H7"/>
    <mergeCell ref="B6:H6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 Table</vt:lpstr>
      <vt:lpstr>Summary</vt:lpstr>
      <vt:lpstr>'Total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maneerat nerwong</cp:lastModifiedBy>
  <cp:lastPrinted>2024-05-20T07:51:08Z</cp:lastPrinted>
  <dcterms:created xsi:type="dcterms:W3CDTF">2023-02-02T03:43:01Z</dcterms:created>
  <dcterms:modified xsi:type="dcterms:W3CDTF">2025-08-08T09:24:13Z</dcterms:modified>
</cp:coreProperties>
</file>