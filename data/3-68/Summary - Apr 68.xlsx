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66925"/>
  <mc:AlternateContent xmlns:mc="http://schemas.openxmlformats.org/markup-compatibility/2006">
    <mc:Choice Requires="x15">
      <x15ac:absPath xmlns:x15ac="http://schemas.microsoft.com/office/spreadsheetml/2010/11/ac" url="\\10.10.45.246\Quality\Aaa\ESB\2568\4. Apr 68\"/>
    </mc:Choice>
  </mc:AlternateContent>
  <xr:revisionPtr revIDLastSave="0" documentId="13_ncr:1_{58A32206-F63A-4B96-9A84-EB7CD9E99C5A}" xr6:coauthVersionLast="47" xr6:coauthVersionMax="47" xr10:uidLastSave="{00000000-0000-0000-0000-000000000000}"/>
  <bookViews>
    <workbookView xWindow="-120" yWindow="-120" windowWidth="29040" windowHeight="15840" activeTab="1" xr2:uid="{00000000-000D-0000-FFFF-FFFF00000000}"/>
  </bookViews>
  <sheets>
    <sheet name="Total Table" sheetId="1" r:id="rId1"/>
    <sheet name="Summary" sheetId="2" r:id="rId2"/>
  </sheets>
  <definedNames>
    <definedName name="OLE_LINK1" localSheetId="1">Summary!#REF!</definedName>
    <definedName name="_xlnm.Print_Area" localSheetId="0">'Total Table'!$A$1:$N$115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1" i="1" l="1"/>
  <c r="D90" i="1"/>
  <c r="F90" i="1"/>
  <c r="K67" i="1"/>
  <c r="O44" i="1"/>
  <c r="N44" i="1"/>
  <c r="L44" i="1"/>
  <c r="J44" i="1"/>
  <c r="G44" i="1"/>
  <c r="F44" i="1"/>
  <c r="E44" i="1"/>
  <c r="D44" i="1"/>
  <c r="C44" i="1"/>
  <c r="B44" i="1"/>
  <c r="Q21" i="1"/>
  <c r="P21" i="1"/>
  <c r="O21" i="1"/>
  <c r="N21" i="1"/>
  <c r="M21" i="1"/>
  <c r="L21" i="1"/>
  <c r="K21" i="1"/>
  <c r="I21" i="1"/>
  <c r="G21" i="1"/>
  <c r="F21" i="1"/>
  <c r="E21" i="1"/>
  <c r="D21" i="1"/>
  <c r="C21" i="1"/>
  <c r="B21" i="1"/>
  <c r="G67" i="1"/>
  <c r="C90" i="1"/>
  <c r="B90" i="1"/>
  <c r="E67" i="1"/>
  <c r="O90" i="1" l="1"/>
  <c r="L67" i="1" l="1"/>
  <c r="M67" i="1"/>
  <c r="N67" i="1"/>
  <c r="P67" i="1"/>
  <c r="P90" i="1"/>
  <c r="E90" i="1"/>
  <c r="G90" i="1"/>
  <c r="H90" i="1"/>
  <c r="I90" i="1"/>
  <c r="J90" i="1"/>
  <c r="K90" i="1"/>
  <c r="L90" i="1"/>
  <c r="M90" i="1"/>
  <c r="B67" i="1"/>
  <c r="C67" i="1"/>
  <c r="D67" i="1"/>
  <c r="F67" i="1"/>
  <c r="I67" i="1"/>
  <c r="J67" i="1"/>
</calcChain>
</file>

<file path=xl/sharedStrings.xml><?xml version="1.0" encoding="utf-8"?>
<sst xmlns="http://schemas.openxmlformats.org/spreadsheetml/2006/main" count="486" uniqueCount="194">
  <si>
    <t>หัวข้อ</t>
  </si>
  <si>
    <t>ทันตกรรม</t>
  </si>
  <si>
    <t>ORTHO</t>
  </si>
  <si>
    <t>ศัลยกรรม</t>
  </si>
  <si>
    <t>พัฒนาการเด็ก</t>
  </si>
  <si>
    <t>ANC</t>
  </si>
  <si>
    <t>เบาหวาน</t>
  </si>
  <si>
    <t>จักษุ</t>
  </si>
  <si>
    <t>จำนวนใบประเมิน</t>
  </si>
  <si>
    <t>ระดับคะแนนเฉลี่ย</t>
  </si>
  <si>
    <t>คิดเป็นร้อยละ</t>
  </si>
  <si>
    <t>ไตเทียม</t>
  </si>
  <si>
    <t>ห้องคลอด</t>
  </si>
  <si>
    <t>ตึกสว่าง</t>
  </si>
  <si>
    <t>MICU</t>
  </si>
  <si>
    <t>18A</t>
  </si>
  <si>
    <t>18B</t>
  </si>
  <si>
    <t>18C</t>
  </si>
  <si>
    <t>18D</t>
  </si>
  <si>
    <t>19A</t>
  </si>
  <si>
    <t>19C</t>
  </si>
  <si>
    <t>19D</t>
  </si>
  <si>
    <t>21D</t>
  </si>
  <si>
    <t>22A</t>
  </si>
  <si>
    <t>22B</t>
  </si>
  <si>
    <t>22C</t>
  </si>
  <si>
    <t>22D</t>
  </si>
  <si>
    <t>23A</t>
  </si>
  <si>
    <t>24A</t>
  </si>
  <si>
    <t>25A</t>
  </si>
  <si>
    <t>25B</t>
  </si>
  <si>
    <t>26A</t>
  </si>
  <si>
    <t>26B</t>
  </si>
  <si>
    <t>OPD</t>
  </si>
  <si>
    <t>IPD</t>
  </si>
  <si>
    <t>ER</t>
  </si>
  <si>
    <t>BLD</t>
  </si>
  <si>
    <t>OR</t>
  </si>
  <si>
    <t>ข้อเสนอแนะ OPD</t>
  </si>
  <si>
    <t>1. ด้านบริการ</t>
  </si>
  <si>
    <t>2. ด้านบุคลากร</t>
  </si>
  <si>
    <t>3. ด้านอุปกรณ์ เครื่องมือ สถานที่</t>
  </si>
  <si>
    <t>ข้อเสนอแนะ IPD</t>
  </si>
  <si>
    <t>OB-GYN</t>
  </si>
  <si>
    <t>การแนะนำญาติหรือคนรู้จักให้มาใช้บริการที่โรงพยาบาล (ร้อยละ)</t>
  </si>
  <si>
    <t>21A</t>
  </si>
  <si>
    <t>SICU</t>
  </si>
  <si>
    <t>19B</t>
  </si>
  <si>
    <t>NICU</t>
  </si>
  <si>
    <t>PED</t>
  </si>
  <si>
    <t>จิตเวช</t>
  </si>
  <si>
    <t xml:space="preserve"> </t>
  </si>
  <si>
    <t>Burn U.</t>
  </si>
  <si>
    <t xml:space="preserve">สรุปผล ข้อเสนอแนะที่ต้องได้รับการปรับปรุง คือ </t>
  </si>
  <si>
    <t>ฝังเข็ม</t>
  </si>
  <si>
    <t>ปฐมภูมิ</t>
  </si>
  <si>
    <t>ENT</t>
  </si>
  <si>
    <t>นอกเวลา</t>
  </si>
  <si>
    <t>Meta</t>
  </si>
  <si>
    <t>ผ่าตัดวิสัญญี</t>
  </si>
  <si>
    <t>MED</t>
  </si>
  <si>
    <t>กายภาพ</t>
  </si>
  <si>
    <t>ส่องกล้อง</t>
  </si>
  <si>
    <t>คลินิกเวชปฏิบัติ</t>
  </si>
  <si>
    <t>ผิวหนัง</t>
  </si>
  <si>
    <t xml:space="preserve"> -</t>
  </si>
  <si>
    <t>-</t>
  </si>
  <si>
    <t>ศูนย์ประกันสุขภาพ</t>
  </si>
  <si>
    <t>เวชกรรม
ฟื้นฟู</t>
  </si>
  <si>
    <t>ชั้น 1
 อาคาร 
150 ปี</t>
  </si>
  <si>
    <t>หัตถการ</t>
  </si>
  <si>
    <t>ห้องบัตร ชั้น 1</t>
  </si>
  <si>
    <t>HBO</t>
  </si>
  <si>
    <t>1. แพทย์ให้ความสำคัญกับการตรวจร่างกายเพื่อวินิจฉัยโรค</t>
  </si>
  <si>
    <t>2. แพทย์ให้ข้อมูล/แนะนำวิธีการและทางเลือกในการรักษา</t>
  </si>
  <si>
    <t>3. คำถามและข้อสงสัย ได้รับคำตอบที่ชัดเจนจากแพทย์</t>
  </si>
  <si>
    <t>4. แพทย์รับฟัง/พูดคุยให้ท่านคลายความกังวลในอาการเจ็บป่วย</t>
  </si>
  <si>
    <t>5. ท่านได้มีโอกาสพูดคุยกับพยาบาลหรือเจ้าหน้าที่เรื่องอาการเจ็บป่วย</t>
  </si>
  <si>
    <t>6. พยาบาลเจ้าหน้าที่สามารถตอบข้อสงสัยได้ชัดเจน</t>
  </si>
  <si>
    <t>7. ท่านได้รับการดูแลเอาใจใส่</t>
  </si>
  <si>
    <t>8. ท่านมีส่วนร่วมในการตัดสินใจเรื่องการรักษาพยาบาล</t>
  </si>
  <si>
    <t>9. ท่านได้รับการดูแลอย่างเท่าเทียม ไม่เลือกปฏิบัติ</t>
  </si>
  <si>
    <t>10. ท่านได้รับคำแนะนำและขั้นตอนในการรับบริการโรงพยาบาล</t>
  </si>
  <si>
    <t>11. อาการเจ็บป่วยทางกายและใจได้รับการดูแลอย่างดี</t>
  </si>
  <si>
    <t>12. แพทย์เปิดโอกาสให้ผู้ป่วย/ญาติได้ซักถาม</t>
  </si>
  <si>
    <t>13. ผู้ป่วยและญาติได้รับข้อมูลการรักษาที่เป็นประโยชน์ สามารถดูแลตัวเองได้</t>
  </si>
  <si>
    <t>14. ท่านได้รับข้อมูลการใช้ยาและผลข้างเคียงอย่างชัดเจน</t>
  </si>
  <si>
    <t>15. ท่านได้รับคำแนะนำอย่างชัดเจนถึงอาการที่ควรกลับมาพบแพทย์</t>
  </si>
  <si>
    <t>16. ท่านพึงพอใจต่อการบริการของโรงพยาบาลโดยรวมในระดับใด</t>
  </si>
  <si>
    <t>PICU</t>
  </si>
  <si>
    <t>20B</t>
  </si>
  <si>
    <t>20C</t>
  </si>
  <si>
    <t>CCU</t>
  </si>
  <si>
    <t>เคมีบำบัด
และโรคเลือด</t>
  </si>
  <si>
    <t>ผ่าตัด 
นอกเวลา</t>
  </si>
  <si>
    <t>การเงิน 
และบัญชี</t>
  </si>
  <si>
    <t xml:space="preserve">สรุปการประเมินผล OP-IP VOICE เดือนเมษายน 2568 </t>
  </si>
  <si>
    <t xml:space="preserve"> -	คำพูด คำจา กริยา</t>
  </si>
  <si>
    <t xml:space="preserve"> -	รอนานมาก 3 ชั่วโมงถึงจะได้ตรวจ</t>
  </si>
  <si>
    <t xml:space="preserve"> -	อยากให้ปรับปรุงก็เข้าตรวจ ไปนั่งรอพบแพทย์ประมาณ 5 ชั่วโมง ทั้งที่คิวก่อนหน้าตัวเองไม่ถึง 20 คิว ทำงานกันช้ามาก ๆ บางทีไม่มีคนเข้าตรวจแต่ไม่เรียกคิว คืออะไร</t>
  </si>
  <si>
    <t xml:space="preserve"> -	อยากทราบจำนวนคิวที่รอพบแพทย์ โดยที่ไม่ต้องสอบถามผ่านพยาบาล ควรมีจอแสดงคิวเพื่อให้ผู้ป่วยทราบลำดับการรอพบแพทย์ค่ะ</t>
  </si>
  <si>
    <t xml:space="preserve"> -	รอคิวนาน </t>
  </si>
  <si>
    <t xml:space="preserve"> -	รอนาน เมื่อยื่นรับคิวแล้วควรมีระยะเวลารอคอยบอก</t>
  </si>
  <si>
    <t xml:space="preserve"> -	ไม่มีคิวให้ดูเหมือนเมื่อก่อน ต้องรอเรียกชื่อ</t>
  </si>
  <si>
    <t xml:space="preserve"> -	ประตูห้องหัตถการเปิดอยู่ตลอด มองเห็นการรักษาด้านในของผู้ป่วยท่านอื่น น่าตกใจมาก</t>
  </si>
  <si>
    <t xml:space="preserve"> -	ควรยิ้มแย้มแจ่มใสกว่านี้ ผู้ป่วยบางท่านไม่เข้าใจ ต้องการคำแนะนำที่ชัดเจน </t>
  </si>
  <si>
    <t xml:space="preserve"> -	ควรมีระบบการนัดหมายและเลื่อนนัดของผู้ป่วยโดยใช้ระบบอัตโนมัติช่วยในการทำงาน และอำนวยโดยไม่เปลืองกำลังคน เช่น ระบบการดูข้อมูลและการนัดหมายจากโรงพยาบาล การเลื่อนนัดด้วยตนเอง หรืออื่น ๆ ที่ไม่จำเป็นต้องใช้บุคลากรตอบ การแจ้งคิวในการเข้าตรวจเหมือนห้องยา เป็นต้น ซึ่งปัจจุบันไม่มีการลงเลื่อนนัดหากผู้ป่วยไม่สะดวกในวันที่นัดหมานให้ลองมาเอง โดยต้องรอนาน</t>
  </si>
  <si>
    <t xml:space="preserve"> -	ขั้นตอนการเจาะเลือดใช้เวลาค่อนข้างนานเป็นชั่วโมง อยากแนะนำให้เร่งระยะเวลาเจาะเลือด เนื่องจากผู้ป่วยบางท่านงดน้ำงดอาหารมา อาจก่อให้เกิดความเจ็บป่วยเพิ่มเติมได้</t>
  </si>
  <si>
    <t xml:space="preserve"> -	ญาติเจ้าหน้าที่ ที่มารับมารับการรักษาควรรอตามคิว ไม่ควรแทรกคิว</t>
  </si>
  <si>
    <t xml:space="preserve"> -	ขอให้ช่วยพิจารณาอนุญาติการใช้สิทธิ 30 บาทนอกเขต ทั้งผู้ป่วยในและนอก</t>
  </si>
  <si>
    <t xml:space="preserve"> -	อยากให้มีการรับสิทธิ 30 บาท แบบทั่วถึง ทั้งในและนอกเขตพื้นที่</t>
  </si>
  <si>
    <t xml:space="preserve"> -	บริการไม่ดี ควรปิดโรงพยาลไป</t>
  </si>
  <si>
    <t xml:space="preserve"> -	เตียงนอนทำแผลห้องหัตถการเล็กเกินไป ผู้ป่วยอาจตกเตียง (คลินิกอายุรกรรม)</t>
  </si>
  <si>
    <t xml:space="preserve"> -	รอคิวห้องจ่ายยาชั้น 6 นาน</t>
  </si>
  <si>
    <t xml:space="preserve"> -	สถานที่จอดรถแคบ (2)</t>
  </si>
  <si>
    <t xml:space="preserve"> -	รอห้องจ่ายยานานมาก ช้า (2)</t>
  </si>
  <si>
    <t xml:space="preserve"> -	จุดเจาะเลือด ส่งปัสสาวะ ควรอยู่ที่เดียวกันกับชั้นที่มารักษา ไม่ควรให้ผู้ป่วยเดินขึ้นลงเอง (คลินิกฝากครรภ์ ANC)</t>
  </si>
  <si>
    <t xml:space="preserve"> -	ขั้นตอนการรับบริการครั้งแรกซับซ้อน ต้องติดต่อหลายจุด</t>
  </si>
  <si>
    <t xml:space="preserve"> -	การมาทำประวัติครั้งแรกควรมีแถวแยกให้คนท้อง เพราะต้องยืนต่อแถวนาน  (คลินิกฝากครรภ์ ANC)</t>
  </si>
  <si>
    <t xml:space="preserve"> -	จุดลงทะเบียนไม่ชัดเจน (คลินิกฝากครรภ์ ANC)</t>
  </si>
  <si>
    <t xml:space="preserve"> -	รอคิวลงทะเบียนนาน</t>
  </si>
  <si>
    <t xml:space="preserve"> -	แบบฟอร์มนี้ยาวไปมาก คนส่วนใหญ่จะไม่ร่วมมือให้ข้อมูล</t>
  </si>
  <si>
    <t xml:space="preserve"> -	การแทรกคิวหลังห้องของผู้ป่วยอภิสิทธ์ เช่น เจ้าหน้าที่โรงพยาบาล ไม่ต้องรอ สามารถเข้าพบแพทย์ได้ก่อนผู้ป่วยที่มานั่งรอเป็นชั่วโมง 2 ชั่วโมง ก็รอต่อไป ระบบแบบนี้แย่เกินไป เจ้าหน้าที่จะมารักษาก็ควรมาต่อคิวตามผู้ป่วยที่มาจากข้างนอก</t>
  </si>
  <si>
    <t xml:space="preserve"> -	ไปรับยารอนานมากมีการรันคิว พอไปติดต่อบอกว่าให้รอ 1 ชั่วโมงถึงมาติดต่อได้ แล้วจะมีคิวทำไม</t>
  </si>
  <si>
    <t xml:space="preserve"> -	ปรับปรุงนโยบายที่ทำให้คลินิกนอกเวลาต้องเสียเงินเพิ่มขึ้น</t>
  </si>
  <si>
    <t xml:space="preserve"> -	ใช้น้ำเสียงที่ดีกว่านี้เวลาเรียกชื่อผู้ป่วย</t>
  </si>
  <si>
    <t xml:space="preserve"> -	รอแพทย์นาน</t>
  </si>
  <si>
    <t xml:space="preserve"> -	ความล่าช้า รอนาน (3)</t>
  </si>
  <si>
    <t xml:space="preserve"> -	รอผลเลือดนานมาก</t>
  </si>
  <si>
    <t xml:space="preserve"> -	น่าจะมีห้องจ่ายยาทุกชั้นช่วงรอยานานมาก ๆ </t>
  </si>
  <si>
    <t xml:space="preserve"> -	ห้องฉุกเฉินคนเยอะเกินไปการบริหารจัดการไม่ค่อยเหมาะสม รอนานมาก</t>
  </si>
  <si>
    <t xml:space="preserve"> -	หน้าห้องผ่าตัดชั้น 12 ควรจะมีเก้าอี้ให้นั่ง</t>
  </si>
  <si>
    <t xml:space="preserve"> -	ที่จอดรถหายากมาก</t>
  </si>
  <si>
    <t xml:space="preserve"> -	ไม่ค่อยมีเจ้าหน้าที่หรือบุคคลใดให้คำเเนะนำในการดำเนินการเรื่องเอกสารบางครั้งยืนงงเป็น 10 นาที</t>
  </si>
  <si>
    <t xml:space="preserve"> -	การพูดจาควรใช้น้ำเสียงที่ดีกว่านี้</t>
  </si>
  <si>
    <t xml:space="preserve"> -	การสื่อสารรายละเอียดข้อมูลเกี่ยวกับการรักษา ลำดับการทานยา การทานอาหาร เพราะบางครั้งการสื่อสารของแพทย์และพยาบาลไม่ตรงกัน</t>
  </si>
  <si>
    <t xml:space="preserve"> -	ปรับปรุงระบบบัตรคิว</t>
  </si>
  <si>
    <t xml:space="preserve"> -	เจ้าหน้าที่น้อยมาก ควรปรับปรุงเร่งด่วน ชั้น 6 เจาะเลือดแผนกสูติ คนเยอะมาก ทำงานช้ามาก รอเป็นชั่วโมงกว่าจะได้เจาะเลือด ควรเพิ่มเจ้าหน้าที่ให้าก กว่านี้ค่ะ รอเป็นชั่วโมง </t>
  </si>
  <si>
    <t xml:space="preserve"> -	เอกสารผู้ป่วยก่อนกลับบ้านน่าจะทำให้เป็นระบบและรวดเร็วกว่านี้</t>
  </si>
  <si>
    <t xml:space="preserve"> -	รอนาน</t>
  </si>
  <si>
    <t xml:space="preserve"> -	การพูดคุยเสียงดัง (20C)</t>
  </si>
  <si>
    <t xml:space="preserve"> -	อาหารควรมีรสชาติ และควรมีความอุ่นร้อน </t>
  </si>
  <si>
    <t xml:space="preserve"> -	อาหารไม่ดี มีกลิ่น และไม่ร้อน</t>
  </si>
  <si>
    <t xml:space="preserve"> -	อยากให้มีการแจ้งข้อมูลเกี่ยวกับการรักษากับญาติ ก่อนทำการรักษา</t>
  </si>
  <si>
    <t xml:space="preserve"> -	ได้พบและพูดคุยกับแพทย์เพียง 1 ครั้ง คือตอนขึ้นตึก นอกนั้นหากมีข้อสงสัยต้องถามผ่านพยาบาลอย่างเดียว </t>
  </si>
  <si>
    <t xml:space="preserve"> -	อยากให้มีมาตรฐานเดียวกันในการดูแลผู้ป่วยอย่างเท่าเทียม</t>
  </si>
  <si>
    <t xml:space="preserve"> -	ผู้ป่วยไม่สามารถลุกเข้าห้องน้ำเองได้ เวลาเรียกพยาบาลให้ช่วยพาเข้าห้องน้ำค่อนข้างช้า ทำให้ต้องกั้นการขับถ่าย </t>
  </si>
  <si>
    <t xml:space="preserve"> -	แพทย์ไม่เพียงพอ รอบพบแพทย์นานเกินไป</t>
  </si>
  <si>
    <t xml:space="preserve"> -	ไฟสว่างแยงตา (22B)</t>
  </si>
  <si>
    <t xml:space="preserve"> -	อยากให้มีพัดลม (22D)</t>
  </si>
  <si>
    <t xml:space="preserve"> -	แอร์เย็นเกินไป (2) (22D)</t>
  </si>
  <si>
    <t xml:space="preserve"> -	ญาติไม่ได้เจอแพทย์เลย ได้ทราบข้อมูลจากพยาบาลอย่างเดียว</t>
  </si>
  <si>
    <t xml:space="preserve"> -	ปรับปรุงเรื่องการติดต่อเอกสาร เพราะญาตฃิบางคนไม่เข้าใจ ทำให้ต้องไปติดต่อหลายที่</t>
  </si>
  <si>
    <t xml:space="preserve"> -	ทีวีในห้องนอนดูไม่ได้ กล่องที่ติดไว้ตรงทีวีไม่มีที่วางให้เรียบร้อย และอยากให้มีบริการ WiFi สำหรับการนอนห้องพิเศษ  (23A)</t>
  </si>
  <si>
    <t xml:space="preserve"> -	ที่นอนที่ให้ญาติมานอนเฝ้าควรดีกว่านี้ ให้เหมาะสมกับราคา เพราะที่ให้มาเป็นแค่โซฟาตัวเล็ก ๆ นอนเฝ้าหลาย ๆ วันปวดหลัง (23A)</t>
  </si>
  <si>
    <t xml:space="preserve"> -	ห้องพิเศษควรมีการเปลี่ยนผ้าปู ผ้าห่ม (23A)</t>
  </si>
  <si>
    <t xml:space="preserve"> -	ในระหว่างการรักษา เจ้าหน้าที่มีการพูดคุยกัน อันนี้ใช้ยังไง, ไม่เคยใช้, ยากจัง, อันนี้ทำไม่เป็น, ลองกดดูสิ, ทำ ๆ ไปเถอะ ทำให้ผู้ป่วยเกิดความกังวลไม่มั่นใจ มีการพูดคุยหยอกล้อหัวเราะกันสนุกสนาน (อาจจะไม่เครียดแต่ผู้ป่วยเครียด) เจ้าหน้าที่อาวุโสบอกให้ทำเลย แต่อีกคนบอกเดี๋ยวมาทำ แต่เจ้าหน้าที่อาวุโสท่านนั้นบอกต้องทำเลย ความรู้สึกผู้ป่วยคือจะพูดว่าเดี๋ยวทำไม อาจจะเป็นการเรียนรู้เครื่องระหว่างการรักษา อยากให้เจ้าหน้าที่มีความเข้าใจและชำนาญในแต่ละเครื่อง การทำไปแก้ปัญหาไปผู้ป่วยขาดความมั่นใจ ขอชื่นชมเจ้าหน้าที่อาวุโส และเจ้าหน้าที่ที่เอาใจใส่ผู้ป่วยทุกท่าน</t>
  </si>
  <si>
    <t xml:space="preserve"> -	มีแมลงสาบตัวเล็ก (24A)</t>
  </si>
  <si>
    <t xml:space="preserve"> -	สายชำระในห้องน้ำผู้ป่วยแข็ง กดใช้ยาก (24A)</t>
  </si>
  <si>
    <t xml:space="preserve"> -	ตู้กดน้ำร้อนสูงเกินไป (24A)</t>
  </si>
  <si>
    <t xml:space="preserve"> -	การรับบริการจากรถเข็น ใช้เวลาในการรอนานมาก ควรปรับปรุง</t>
  </si>
  <si>
    <t xml:space="preserve"> -	การชี้แจงรายละเอียดส่วนเกินค่ารักษาโดยการโทรแจ้งรายละเอียดแบบไม่มีลายลักษณ์อักษรประกอบการชี้แจงลายการค่าใช้จ่าย ทำให้เกิดความเข้าใจที่คลาดเคลื่อนเกิดผลเสียทั้งร่างกายและจิตใจของผู้ป่วย ในปัจจุบันเทคโนโลยีมีการพัฒนาขึ้นแล้วทางหลายช่องทางไม่ว่าจะเป็นการสื่อสาร ทาง LINE OFFICIAL หรือการขออีเมล เพื่อส่งข้อความช่องทางใดช่องทางหนึ่งไว้เป็นหลักฐานให้ผู้ป่วยได้เห็นและพิจารณาตัดสินใจ เพื่อเตรียมพร้อมเข้ารับการรักษา</t>
  </si>
  <si>
    <t xml:space="preserve"> -	ในเรื่องของค่าใช้จ่าย ห้องประกันและห้องการเงินควรมาจัดการให้จบขบวนการไม่ใช่ให้พยาบาลที่ดูแลมาเป็นผู้จัดการ</t>
  </si>
  <si>
    <t xml:space="preserve"> -	ไม่เปลี่ยนผ้าปูที่นอน (25A)</t>
  </si>
  <si>
    <t xml:space="preserve"> -	อยากจะแนะนำเรื่องของผู้ป่วยที่ต้องผ่าตัด คิวในการผ่าตัดที่แน่นอน เนื่องจากผู้ป่วยเป็นเบาหวาน อายุ 80 ปี ต้องอดอาหารและน้ำนานกว่า 20 ชั่วโมง และยังต้องเลื่อนผ่าตัด ผู้ป่วยน้ำตาลตก อาเจียน เวียนหัว มีผลต่อร่างกายที่อดอาหารนานเกินไป และทำให้ต้องเริ่มงดน้ำและอาหารอีก 10 ชม  (ผู้ป่วยเป็นคนนับเวลาเอง) เพราะปกติอยู่บ้าน ดูแลเรื่องเวลาทานอาหารเคร่งครัด เรื่องของยาประจำ เช่น ยาความดัน เนื่องจากพอถึงห้องผ่าตัด แพทย์ต้องขอให้หยุดยาความดันก่อน ต้องรอไปอีก เป็นชั่วโมง กว่าจะได้ผ่าตัด อยากให้ละเอียดรอบครอบมากกว่านี้ หวังเป็นอย่างยิ่งว่าคำแนะนำนี้จะเป็นประโยชน์ ในการดูแลผู้ป่วยต่อไป</t>
  </si>
  <si>
    <t xml:space="preserve"> -	ปรับปรุงเรื่องรสชาติอาหาร (7)</t>
  </si>
  <si>
    <t xml:space="preserve"> -	อาหารเย็นชืดเกินไป ผู้ป่วยทานไม่ได้ </t>
  </si>
  <si>
    <t xml:space="preserve"> -	รอตรวจนาน</t>
  </si>
  <si>
    <t xml:space="preserve"> -	ของใช้ในห้องพักพิเศษไม่พอ (25B)</t>
  </si>
  <si>
    <t xml:space="preserve"> -	พื้นห้องน้ำควรมีการยกสูง แยกพื้นแห้งกับเปียก (25B)</t>
  </si>
  <si>
    <t xml:space="preserve"> -	อยากให้ทำความสะอาดห้องผู้ป่วยทุกวัน (25B)</t>
  </si>
  <si>
    <t xml:space="preserve"> -	อยากให้มีกาน้ำร้อน  (25B)</t>
  </si>
  <si>
    <t xml:space="preserve"> -	ปรับปรุงเรื่องการดำเนินการด้านเอกสารก่อนเข้า Admit มีหลายขั้นตอนเกินไป</t>
  </si>
  <si>
    <t xml:space="preserve"> -	การทำความสะอาดห้อง ยังมีหยากใย่ตามมุมต่าง ๆ ของห้อง  (24A)</t>
  </si>
  <si>
    <t xml:space="preserve"> -	ห้องพักมีแมลงสาบตัวเล็ก (25B)</t>
  </si>
  <si>
    <t xml:space="preserve"> -	เข้ารักษาในช่วงที่เป็นวันหยุดยาวจึงไม่ค่อยได้พบแพทย์ ไม่ได้พูดคุยกับแพทย์เรื่องอาการของลูก อยากให้มีแพทย์มาติดตามผลทุกวัน อัพเดทอาการของผู้ป่วยให้ญาติทราบ</t>
  </si>
  <si>
    <t xml:space="preserve"> -	ปรับปรุงเรื่องการเรียกคิว</t>
  </si>
  <si>
    <t>22 Stroke</t>
  </si>
  <si>
    <t>13</t>
  </si>
  <si>
    <t xml:space="preserve">ค่าเฉลี่ยความพึงพอใจการใช้บริการของโรงพยาบาล OPD = 88.20% IPD = 91.26%  </t>
  </si>
  <si>
    <t>ค่าเฉลี่ยการแนะนำญาติหรือคนรู้จักให้มาใช้บริการที่โรงพยาบาล  OPD = 93.46% IPD = 97.88%</t>
  </si>
  <si>
    <t>อันดับ 2 อุปกรณ์ เครื่องมือ และสถานที่ไม่สมบูรณ์ (OPD : 8 IPD : 25)</t>
  </si>
  <si>
    <t>อันดับ 1 การให้บริการโดยรวม (OPD : 31 IPD : 19)</t>
  </si>
  <si>
    <t xml:space="preserve"> -	ควรมีการสับเปลี่ยนเจ้าหน้าที่ที่จัดคิวหน้าทางเข้า เพื่อให้เจ้าหน้าที่ไม่เบื่อกับการพูดอธิบายในเรื่องเดิม ๆ ซ้ำ ๆ ทุกวัน และอาจจจะหงุดหงิดกับผู้ป่วยหรือญาติที่ไม่เข้าใจระบบของโรงพยาบาล</t>
  </si>
  <si>
    <t xml:space="preserve"> -	ห้องจ่ายยาชั้น 6 พื้นที่ไม่พอให้อยู่รอต้องมายืนออกันอยู่ด้านหน้า แออัดมาก ไม่มีระบบระเบียบเลย </t>
  </si>
  <si>
    <t>อันดับ 3 การทำงานและพฤติกรรมของบุคลากร (OPD : 2 IPD : 6)</t>
  </si>
  <si>
    <t xml:space="preserve"> -	อยากแนะนำเรื่องค่าจอดรถสำหรับห้องพิเศษ ควรให้จอดในตึกฟรี 1 คัน ต่อห้อง</t>
  </si>
  <si>
    <t xml:space="preserve"> -	ที่จอดรถเสียค่าใช้จ่ายเยอะจนเกินไป
</t>
  </si>
  <si>
    <t xml:space="preserve"> -	อยากให้ห้องคลอดมีที่สระผมบนเตียงได้ เพราะผู้ป่วยบางคนไม่สามารถยืนสระได้</t>
  </si>
  <si>
    <t xml:space="preserve"> -	อยากเสนอให้มีเตียงไฟฟ้าสำหรับผู้ป่วย ซึ่งสามารถปรับระดับได้ เพื่อให้ผู้ป่วยไม่ต้องรบกวนเจ้าหน้าที่ตลอด (ห้องคลอด)</t>
  </si>
  <si>
    <t xml:space="preserve"> -	สถานที่ให้ญาตินั่งรอเยี่ยมมีน้อยเกินไป  (19A)</t>
  </si>
  <si>
    <t xml:space="preserve"> -	Admit ทุกครั้งเสียค่าที่จอดรถเยอะมาก</t>
  </si>
  <si>
    <t xml:space="preserve"> -	การชำระเงินโดยวิธีการสแกน QR Code ในห้องพักผู้ป่วย ไม่ตรงกับห้องการเงิน ควรมีการแยกบัญชีให้ชัดเจนเกี่ยวกับการชำระเงิน หรือแจ้งให้ชัดเจนกว่านี้ (26B)</t>
  </si>
  <si>
    <t>194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</si>
</sst>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7" formatCode="###0.00"/>
  </numFmts>
  <fonts count="32">
    <font>
      <sz val="11"/>
      <color theme="1"/>
      <name val="Tahoma"/>
      <family val="2"/>
      <charset val="222"/>
      <scheme val="minor"/>
    </font>
    <font>
      <b/>
      <sz val="16"/>
      <color theme="1"/>
      <name val="TH SarabunPSK"/>
      <family val="2"/>
      <charset val="222"/>
    </font>
    <font>
      <b/>
      <sz val="16"/>
      <color rgb="FF000000"/>
      <name val="TH SarabunPSK"/>
      <family val="2"/>
      <charset val="222"/>
    </font>
    <font>
      <sz val="16"/>
      <color theme="1"/>
      <name val="TH SarabunPSK"/>
      <family val="2"/>
      <charset val="222"/>
    </font>
    <font>
      <b/>
      <sz val="16"/>
      <color theme="1"/>
      <name val="TH SarabunPSK"/>
      <family val="2"/>
    </font>
    <font>
      <sz val="16"/>
      <color theme="1"/>
      <name val="TH SarabunPSK"/>
      <family val="2"/>
    </font>
    <font>
      <b/>
      <sz val="16"/>
      <color rgb="FF000000"/>
      <name val="TH SarabunPSK"/>
      <family val="2"/>
    </font>
    <font>
      <b/>
      <sz val="20"/>
      <color theme="1"/>
      <name val="TH SarabunPSK"/>
      <family val="2"/>
      <charset val="222"/>
    </font>
    <font>
      <b/>
      <sz val="20"/>
      <color theme="1"/>
      <name val="TH SarabunPSK"/>
      <family val="2"/>
    </font>
    <font>
      <sz val="20"/>
      <color theme="1"/>
      <name val="TH SarabunPSK"/>
      <family val="2"/>
    </font>
    <font>
      <b/>
      <u/>
      <sz val="16"/>
      <color theme="1"/>
      <name val="TH SarabunPSK"/>
      <family val="2"/>
    </font>
    <font>
      <sz val="8"/>
      <name val="Tahoma"/>
      <family val="2"/>
      <charset val="222"/>
      <scheme val="minor"/>
    </font>
    <font>
      <sz val="11"/>
      <color theme="1"/>
      <name val="Tahoma"/>
      <family val="2"/>
      <scheme val="minor"/>
    </font>
    <font>
      <sz val="16"/>
      <color rgb="FFFF0000"/>
      <name val="TH SarabunPSK"/>
      <family val="2"/>
    </font>
    <font>
      <sz val="16"/>
      <name val="TH SarabunPSK"/>
      <family val="2"/>
    </font>
    <font>
      <b/>
      <sz val="16"/>
      <name val="TH SarabunPSK"/>
      <family val="2"/>
    </font>
    <font>
      <sz val="10"/>
      <name val="Arial"/>
      <family val="2"/>
    </font>
    <font>
      <b/>
      <sz val="16"/>
      <color rgb="FFFF0000"/>
      <name val="TH SarabunPSK"/>
      <family val="2"/>
    </font>
    <font>
      <sz val="9"/>
      <color indexed="8"/>
      <name val="Arial"/>
      <family val="2"/>
    </font>
    <font>
      <sz val="10"/>
      <color indexed="8"/>
      <name val="Arial"/>
      <family val="2"/>
    </font>
    <font>
      <b/>
      <sz val="10"/>
      <color theme="1"/>
      <name val="Arial"/>
      <family val="2"/>
    </font>
    <font>
      <sz val="10"/>
      <color theme="1"/>
      <name val="Arial"/>
      <family val="2"/>
    </font>
    <font>
      <sz val="11"/>
      <color rgb="FF000000"/>
      <name val="Calibri"/>
      <family val="2"/>
      <charset val="222"/>
    </font>
    <font>
      <sz val="11"/>
      <color rgb="FF000000"/>
      <name val="Calibri"/>
      <family val="2"/>
      <charset val="1"/>
    </font>
    <font>
      <b/>
      <sz val="10"/>
      <color theme="1"/>
      <name val="Arial"/>
      <family val="2"/>
      <charset val="222"/>
    </font>
    <font>
      <b/>
      <sz val="10"/>
      <name val="Arial"/>
      <family val="2"/>
      <charset val="222"/>
    </font>
    <font>
      <sz val="16"/>
      <color rgb="FF000000"/>
      <name val="TH SarabunPSK"/>
      <family val="2"/>
    </font>
    <font>
      <sz val="16"/>
      <color indexed="8"/>
      <name val="TH SarabunPSK"/>
      <family val="2"/>
    </font>
    <font>
      <b/>
      <sz val="12"/>
      <color rgb="FF000000"/>
      <name val="TH SarabunPSK"/>
      <family val="2"/>
      <charset val="222"/>
    </font>
    <font>
      <b/>
      <sz val="18"/>
      <color theme="1"/>
      <name val="TH SarabunPSK"/>
      <family val="2"/>
    </font>
    <font>
      <b/>
      <sz val="10"/>
      <name val="Arial"/>
      <family val="2"/>
    </font>
    <font>
      <b/>
      <sz val="10"/>
      <color indexed="8"/>
      <name val="Arial"/>
      <family val="2"/>
    </font>
  </fonts>
  <fills count="8">
    <fill>
      <patternFill patternType="none"/>
    </fill>
    <fill>
      <patternFill patternType="gray125"/>
    </fill>
    <fill>
      <patternFill patternType="solid">
        <fgColor rgb="FFFFC000"/>
        <bgColor indexed="64"/>
      </patternFill>
    </fill>
    <fill>
      <patternFill patternType="solid">
        <fgColor rgb="FF8EAADB"/>
        <bgColor indexed="64"/>
      </patternFill>
    </fill>
    <fill>
      <patternFill patternType="solid">
        <fgColor rgb="FFB8CCE4"/>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auto="1"/>
      </left>
      <right style="thin">
        <color auto="1"/>
      </right>
      <top style="hair">
        <color auto="1"/>
      </top>
      <bottom style="hair">
        <color auto="1"/>
      </bottom>
      <diagonal/>
    </border>
    <border>
      <left style="thin">
        <color auto="1"/>
      </left>
      <right style="thin">
        <color auto="1"/>
      </right>
      <top/>
      <bottom style="hair">
        <color auto="1"/>
      </bottom>
      <diagonal/>
    </border>
    <border>
      <left style="thin">
        <color indexed="64"/>
      </left>
      <right style="thin">
        <color indexed="64"/>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s>
  <cellStyleXfs count="18">
    <xf numFmtId="0" fontId="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6" fillId="0" borderId="0"/>
    <xf numFmtId="0" fontId="16" fillId="0" borderId="0"/>
    <xf numFmtId="0" fontId="16" fillId="0" borderId="0"/>
    <xf numFmtId="0" fontId="16" fillId="0" borderId="0"/>
    <xf numFmtId="0" fontId="16" fillId="0" borderId="0"/>
    <xf numFmtId="0" fontId="22" fillId="0" borderId="0"/>
    <xf numFmtId="0" fontId="23" fillId="0" borderId="0"/>
    <xf numFmtId="0" fontId="22" fillId="0" borderId="0"/>
  </cellStyleXfs>
  <cellXfs count="96">
    <xf numFmtId="0" fontId="0" fillId="0" borderId="0" xfId="0"/>
    <xf numFmtId="0" fontId="2" fillId="2" borderId="1" xfId="0" applyFont="1" applyFill="1" applyBorder="1" applyAlignment="1">
      <alignment horizontal="center" vertical="center" wrapText="1"/>
    </xf>
    <xf numFmtId="0" fontId="3" fillId="0" borderId="0" xfId="0" applyFont="1" applyAlignment="1">
      <alignment horizontal="center" vertical="center"/>
    </xf>
    <xf numFmtId="0" fontId="3" fillId="0" borderId="0" xfId="0" applyFont="1" applyAlignment="1">
      <alignment vertical="center"/>
    </xf>
    <xf numFmtId="0" fontId="3" fillId="0" borderId="0" xfId="0" applyFont="1" applyAlignment="1">
      <alignment horizontal="left" vertical="center"/>
    </xf>
    <xf numFmtId="0" fontId="6" fillId="3"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1" fillId="0" borderId="2" xfId="0" applyFont="1" applyBorder="1" applyAlignment="1">
      <alignment horizontal="center" vertical="center" wrapText="1"/>
    </xf>
    <xf numFmtId="0" fontId="6" fillId="3" borderId="2" xfId="0" applyFont="1" applyFill="1" applyBorder="1" applyAlignment="1">
      <alignment horizontal="center" vertical="center" wrapText="1"/>
    </xf>
    <xf numFmtId="0" fontId="6" fillId="0" borderId="0" xfId="0" applyFont="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horizontal="center" vertical="center" wrapText="1"/>
    </xf>
    <xf numFmtId="0" fontId="9" fillId="0" borderId="0" xfId="0" applyFont="1" applyAlignment="1">
      <alignment vertical="center"/>
    </xf>
    <xf numFmtId="0" fontId="4" fillId="0" borderId="0" xfId="0" applyFont="1" applyAlignment="1">
      <alignment vertical="center"/>
    </xf>
    <xf numFmtId="0" fontId="1" fillId="0" borderId="3" xfId="0" applyFont="1" applyBorder="1" applyAlignment="1">
      <alignment horizontal="center" vertical="center" wrapText="1"/>
    </xf>
    <xf numFmtId="0" fontId="4" fillId="0" borderId="2" xfId="0" applyFont="1" applyBorder="1" applyAlignment="1">
      <alignment horizontal="left" vertical="center"/>
    </xf>
    <xf numFmtId="0" fontId="6" fillId="5" borderId="1" xfId="0" applyFont="1" applyFill="1" applyBorder="1" applyAlignment="1">
      <alignment horizontal="center" vertical="center" wrapText="1"/>
    </xf>
    <xf numFmtId="2" fontId="14" fillId="0" borderId="1" xfId="0" applyNumberFormat="1" applyFont="1" applyBorder="1" applyAlignment="1">
      <alignment horizontal="center" vertical="center" wrapText="1"/>
    </xf>
    <xf numFmtId="0" fontId="20" fillId="0" borderId="1" xfId="0" applyFont="1" applyBorder="1" applyAlignment="1">
      <alignment horizontal="center" vertical="center" wrapText="1"/>
    </xf>
    <xf numFmtId="187" fontId="19" fillId="0" borderId="1" xfId="11" applyNumberFormat="1" applyFont="1" applyBorder="1" applyAlignment="1">
      <alignment horizontal="center" vertical="center"/>
    </xf>
    <xf numFmtId="187" fontId="19" fillId="0" borderId="1" xfId="13" applyNumberFormat="1" applyFont="1" applyBorder="1" applyAlignment="1">
      <alignment horizontal="center" vertical="center"/>
    </xf>
    <xf numFmtId="187" fontId="18" fillId="0" borderId="1" xfId="12" applyNumberFormat="1" applyFont="1" applyBorder="1" applyAlignment="1">
      <alignment horizontal="center" vertical="center"/>
    </xf>
    <xf numFmtId="2" fontId="21" fillId="0" borderId="1" xfId="0" applyNumberFormat="1" applyFont="1" applyBorder="1" applyAlignment="1">
      <alignment horizontal="center" vertical="center" wrapText="1"/>
    </xf>
    <xf numFmtId="0" fontId="24" fillId="0" borderId="1" xfId="0" applyFont="1" applyBorder="1" applyAlignment="1">
      <alignment horizontal="center" vertical="center" wrapText="1"/>
    </xf>
    <xf numFmtId="0" fontId="1" fillId="0" borderId="0" xfId="0" applyFont="1" applyAlignment="1">
      <alignment vertical="center"/>
    </xf>
    <xf numFmtId="0" fontId="25" fillId="0" borderId="7" xfId="16" applyFont="1" applyBorder="1" applyAlignment="1">
      <alignment horizontal="center" vertical="center"/>
    </xf>
    <xf numFmtId="0" fontId="25" fillId="0" borderId="6" xfId="16" applyFont="1" applyBorder="1" applyAlignment="1">
      <alignment horizontal="center" vertical="center"/>
    </xf>
    <xf numFmtId="2" fontId="14" fillId="7" borderId="1" xfId="0" applyNumberFormat="1" applyFont="1" applyFill="1" applyBorder="1" applyAlignment="1">
      <alignment horizontal="center" vertical="center" wrapText="1"/>
    </xf>
    <xf numFmtId="187" fontId="19" fillId="7" borderId="1" xfId="14" applyNumberFormat="1" applyFont="1" applyFill="1" applyBorder="1" applyAlignment="1">
      <alignment horizontal="center" vertical="center"/>
    </xf>
    <xf numFmtId="0" fontId="24" fillId="7" borderId="5" xfId="0" applyFont="1" applyFill="1" applyBorder="1" applyAlignment="1">
      <alignment horizontal="center" vertical="center" wrapText="1"/>
    </xf>
    <xf numFmtId="187" fontId="19" fillId="7" borderId="1" xfId="12" applyNumberFormat="1" applyFont="1" applyFill="1" applyBorder="1" applyAlignment="1">
      <alignment horizontal="center" vertical="center"/>
    </xf>
    <xf numFmtId="49" fontId="26" fillId="0" borderId="0" xfId="0" applyNumberFormat="1" applyFont="1" applyAlignment="1">
      <alignment vertical="center"/>
    </xf>
    <xf numFmtId="49" fontId="5" fillId="0" borderId="0" xfId="0" applyNumberFormat="1" applyFont="1"/>
    <xf numFmtId="49" fontId="5" fillId="0" borderId="0" xfId="0" applyNumberFormat="1" applyFont="1" applyAlignment="1">
      <alignment vertical="center"/>
    </xf>
    <xf numFmtId="49" fontId="5" fillId="0" borderId="0" xfId="0" applyNumberFormat="1" applyFont="1" applyAlignment="1">
      <alignment horizontal="left" vertical="center" indent="3"/>
    </xf>
    <xf numFmtId="49" fontId="13" fillId="0" borderId="0" xfId="0" applyNumberFormat="1" applyFont="1" applyAlignment="1">
      <alignment horizontal="left" vertical="center" indent="3"/>
    </xf>
    <xf numFmtId="49" fontId="4" fillId="0" borderId="0" xfId="0" applyNumberFormat="1" applyFont="1" applyAlignment="1">
      <alignment vertical="center" wrapText="1"/>
    </xf>
    <xf numFmtId="49" fontId="14" fillId="0" borderId="0" xfId="0" applyNumberFormat="1" applyFont="1" applyAlignment="1">
      <alignment horizontal="left" vertical="center" indent="3"/>
    </xf>
    <xf numFmtId="49" fontId="5" fillId="0" borderId="0" xfId="0" quotePrefix="1" applyNumberFormat="1" applyFont="1" applyAlignment="1">
      <alignment horizontal="left" vertical="center" wrapText="1" indent="1"/>
    </xf>
    <xf numFmtId="49" fontId="5" fillId="0" borderId="0" xfId="0" applyNumberFormat="1" applyFont="1" applyAlignment="1">
      <alignment horizontal="left" vertical="center"/>
    </xf>
    <xf numFmtId="49" fontId="13" fillId="0" borderId="0" xfId="0" quotePrefix="1" applyNumberFormat="1" applyFont="1" applyAlignment="1">
      <alignment horizontal="left" vertical="center" indent="3"/>
    </xf>
    <xf numFmtId="49" fontId="4" fillId="0" borderId="0" xfId="0" applyNumberFormat="1" applyFont="1" applyAlignment="1">
      <alignment wrapText="1"/>
    </xf>
    <xf numFmtId="49" fontId="5" fillId="0" borderId="0" xfId="0" quotePrefix="1" applyNumberFormat="1" applyFont="1" applyAlignment="1">
      <alignment horizontal="left" indent="1"/>
    </xf>
    <xf numFmtId="49" fontId="14" fillId="0" borderId="0" xfId="0" quotePrefix="1" applyNumberFormat="1" applyFont="1" applyAlignment="1">
      <alignment horizontal="left" vertical="center" indent="3"/>
    </xf>
    <xf numFmtId="49" fontId="15" fillId="0" borderId="0" xfId="0" applyNumberFormat="1" applyFont="1" applyAlignment="1">
      <alignment horizontal="left"/>
    </xf>
    <xf numFmtId="49" fontId="5" fillId="0" borderId="0" xfId="0" quotePrefix="1" applyNumberFormat="1" applyFont="1" applyAlignment="1">
      <alignment horizontal="left" vertical="center"/>
    </xf>
    <xf numFmtId="49" fontId="14" fillId="0" borderId="0" xfId="0" applyNumberFormat="1" applyFont="1" applyAlignment="1">
      <alignment vertical="center"/>
    </xf>
    <xf numFmtId="49" fontId="4" fillId="0" borderId="0" xfId="0" applyNumberFormat="1" applyFont="1" applyAlignment="1">
      <alignment horizontal="left" vertical="center" wrapText="1"/>
    </xf>
    <xf numFmtId="49" fontId="15" fillId="0" borderId="0" xfId="0" applyNumberFormat="1" applyFont="1" applyAlignment="1">
      <alignment vertical="center"/>
    </xf>
    <xf numFmtId="49" fontId="17" fillId="0" borderId="0" xfId="0" applyNumberFormat="1" applyFont="1" applyAlignment="1">
      <alignment vertical="center"/>
    </xf>
    <xf numFmtId="49" fontId="4" fillId="0" borderId="1" xfId="0" applyNumberFormat="1" applyFont="1" applyBorder="1" applyAlignment="1">
      <alignment horizontal="center" vertical="center" wrapText="1"/>
    </xf>
    <xf numFmtId="49" fontId="6" fillId="4" borderId="1" xfId="0" applyNumberFormat="1" applyFont="1" applyFill="1" applyBorder="1" applyAlignment="1">
      <alignment horizontal="center" vertical="center" wrapText="1"/>
    </xf>
    <xf numFmtId="49" fontId="5" fillId="0" borderId="1" xfId="0" applyNumberFormat="1" applyFont="1" applyBorder="1" applyAlignment="1">
      <alignment horizontal="left" vertical="center" wrapText="1"/>
    </xf>
    <xf numFmtId="49" fontId="14" fillId="7" borderId="1" xfId="0" applyNumberFormat="1" applyFont="1" applyFill="1" applyBorder="1" applyAlignment="1">
      <alignment horizontal="center" vertical="center" wrapText="1"/>
    </xf>
    <xf numFmtId="49" fontId="14" fillId="0" borderId="1" xfId="0" applyNumberFormat="1" applyFont="1" applyBorder="1" applyAlignment="1">
      <alignment horizontal="center" vertical="center" wrapText="1"/>
    </xf>
    <xf numFmtId="49" fontId="5" fillId="0" borderId="0" xfId="0" applyNumberFormat="1" applyFont="1" applyAlignment="1">
      <alignment horizontal="left" vertical="center" indent="4"/>
    </xf>
    <xf numFmtId="49" fontId="5" fillId="0" borderId="0" xfId="0" applyNumberFormat="1" applyFont="1" applyAlignment="1">
      <alignment horizontal="left" vertical="center" wrapText="1"/>
    </xf>
    <xf numFmtId="2" fontId="14" fillId="0" borderId="0" xfId="0" applyNumberFormat="1" applyFont="1" applyAlignment="1">
      <alignment horizontal="center" vertical="center" wrapText="1"/>
    </xf>
    <xf numFmtId="0" fontId="20" fillId="0" borderId="4" xfId="0" applyFont="1" applyBorder="1" applyAlignment="1">
      <alignment horizontal="center" vertical="center" wrapText="1"/>
    </xf>
    <xf numFmtId="0" fontId="1" fillId="7" borderId="2" xfId="0" applyFont="1" applyFill="1" applyBorder="1" applyAlignment="1">
      <alignment horizontal="center" vertical="center" wrapText="1"/>
    </xf>
    <xf numFmtId="0" fontId="3" fillId="7" borderId="0" xfId="0" applyFont="1" applyFill="1" applyAlignment="1">
      <alignment vertical="center"/>
    </xf>
    <xf numFmtId="0" fontId="14" fillId="0" borderId="1" xfId="0" applyFont="1" applyBorder="1" applyAlignment="1">
      <alignment horizontal="center" vertical="center" wrapText="1"/>
    </xf>
    <xf numFmtId="49" fontId="10" fillId="0" borderId="0" xfId="0" applyNumberFormat="1" applyFont="1" applyAlignment="1">
      <alignment horizontal="left" vertical="center"/>
    </xf>
    <xf numFmtId="49" fontId="14" fillId="0" borderId="0" xfId="0" applyNumberFormat="1" applyFont="1" applyAlignment="1">
      <alignment horizontal="left" vertical="center"/>
    </xf>
    <xf numFmtId="49" fontId="14" fillId="0" borderId="0" xfId="0" applyNumberFormat="1" applyFont="1"/>
    <xf numFmtId="2" fontId="27" fillId="0" borderId="0" xfId="11" applyNumberFormat="1" applyFont="1" applyAlignment="1">
      <alignment horizontal="center" vertical="center" wrapText="1"/>
    </xf>
    <xf numFmtId="49" fontId="13" fillId="0" borderId="0" xfId="0" applyNumberFormat="1" applyFont="1"/>
    <xf numFmtId="187" fontId="19" fillId="0" borderId="1" xfId="12" applyNumberFormat="1" applyFont="1" applyBorder="1" applyAlignment="1">
      <alignment horizontal="center" vertical="center"/>
    </xf>
    <xf numFmtId="2" fontId="21" fillId="0" borderId="4" xfId="0" applyNumberFormat="1" applyFont="1" applyBorder="1" applyAlignment="1">
      <alignment horizontal="center" vertical="center" wrapText="1"/>
    </xf>
    <xf numFmtId="0" fontId="3" fillId="0" borderId="2" xfId="0" applyFont="1" applyBorder="1" applyAlignment="1">
      <alignment horizontal="left" vertical="center"/>
    </xf>
    <xf numFmtId="0" fontId="1" fillId="0" borderId="4" xfId="0" applyFont="1" applyBorder="1" applyAlignment="1">
      <alignment horizontal="center" vertical="center" wrapText="1"/>
    </xf>
    <xf numFmtId="0" fontId="24" fillId="0" borderId="4" xfId="0" applyFont="1" applyBorder="1" applyAlignment="1">
      <alignment horizontal="center" vertical="center" wrapText="1"/>
    </xf>
    <xf numFmtId="0" fontId="24" fillId="7" borderId="8" xfId="0" applyFont="1" applyFill="1" applyBorder="1" applyAlignment="1">
      <alignment horizontal="center" vertical="center" wrapText="1"/>
    </xf>
    <xf numFmtId="0" fontId="1" fillId="0" borderId="0" xfId="0" applyFont="1" applyAlignment="1">
      <alignment horizontal="center" vertical="center"/>
    </xf>
    <xf numFmtId="187" fontId="27" fillId="0" borderId="1" xfId="11" applyNumberFormat="1" applyFont="1" applyBorder="1" applyAlignment="1">
      <alignment horizontal="center" vertical="center"/>
    </xf>
    <xf numFmtId="187" fontId="14" fillId="7" borderId="4" xfId="10" applyNumberFormat="1" applyFont="1" applyFill="1" applyBorder="1" applyAlignment="1">
      <alignment horizontal="center" vertical="center"/>
    </xf>
    <xf numFmtId="49" fontId="14" fillId="7" borderId="0" xfId="0" applyNumberFormat="1" applyFont="1" applyFill="1" applyAlignment="1">
      <alignment vertical="center"/>
    </xf>
    <xf numFmtId="0" fontId="28" fillId="2" borderId="1" xfId="0" applyFont="1" applyFill="1" applyBorder="1" applyAlignment="1">
      <alignment horizontal="center" vertical="center" wrapText="1"/>
    </xf>
    <xf numFmtId="0" fontId="5" fillId="0" borderId="9" xfId="0" applyFont="1" applyBorder="1" applyAlignment="1">
      <alignment vertical="center" wrapText="1"/>
    </xf>
    <xf numFmtId="0" fontId="5" fillId="0" borderId="10" xfId="0" applyFont="1" applyBorder="1" applyAlignment="1">
      <alignment vertical="center" wrapText="1"/>
    </xf>
    <xf numFmtId="0" fontId="21" fillId="0" borderId="4" xfId="0" applyFont="1" applyBorder="1" applyAlignment="1">
      <alignment horizontal="center" vertical="center" wrapText="1"/>
    </xf>
    <xf numFmtId="2" fontId="20" fillId="6" borderId="1" xfId="0" applyNumberFormat="1" applyFont="1" applyFill="1" applyBorder="1" applyAlignment="1">
      <alignment horizontal="center" vertical="center" wrapText="1"/>
    </xf>
    <xf numFmtId="49" fontId="26" fillId="0" borderId="0" xfId="0" applyNumberFormat="1" applyFont="1" applyAlignment="1">
      <alignment vertical="top" wrapText="1"/>
    </xf>
    <xf numFmtId="187" fontId="30" fillId="0" borderId="4" xfId="10" applyNumberFormat="1" applyFont="1" applyBorder="1" applyAlignment="1">
      <alignment horizontal="center" vertical="center"/>
    </xf>
    <xf numFmtId="187" fontId="30" fillId="7" borderId="4" xfId="10" applyNumberFormat="1" applyFont="1" applyFill="1" applyBorder="1" applyAlignment="1">
      <alignment horizontal="center" vertical="center"/>
    </xf>
    <xf numFmtId="2" fontId="31" fillId="6" borderId="1" xfId="14" applyNumberFormat="1" applyFont="1" applyFill="1" applyBorder="1" applyAlignment="1">
      <alignment horizontal="center" vertical="center" wrapText="1"/>
    </xf>
    <xf numFmtId="0" fontId="20" fillId="6" borderId="1" xfId="0" applyFont="1" applyFill="1" applyBorder="1" applyAlignment="1">
      <alignment horizontal="center" vertical="center" wrapText="1"/>
    </xf>
    <xf numFmtId="2" fontId="31" fillId="6" borderId="4" xfId="13" applyNumberFormat="1" applyFont="1" applyFill="1" applyBorder="1" applyAlignment="1">
      <alignment horizontal="center" vertical="center" wrapText="1"/>
    </xf>
    <xf numFmtId="0" fontId="8" fillId="0" borderId="2" xfId="0" applyFont="1" applyBorder="1" applyAlignment="1">
      <alignment horizontal="center" vertical="center" wrapText="1"/>
    </xf>
    <xf numFmtId="0" fontId="8" fillId="0" borderId="0" xfId="0" applyFont="1" applyAlignment="1">
      <alignment horizontal="center" vertical="center"/>
    </xf>
    <xf numFmtId="49" fontId="15" fillId="0" borderId="0" xfId="0" applyNumberFormat="1" applyFont="1" applyAlignment="1">
      <alignment horizontal="left" vertical="center"/>
    </xf>
    <xf numFmtId="49" fontId="8" fillId="0" borderId="0" xfId="0" applyNumberFormat="1" applyFont="1" applyAlignment="1">
      <alignment horizontal="center" vertical="center"/>
    </xf>
    <xf numFmtId="49" fontId="29" fillId="0" borderId="0" xfId="0" applyNumberFormat="1" applyFont="1" applyAlignment="1">
      <alignment horizontal="center" vertical="center"/>
    </xf>
    <xf numFmtId="49" fontId="10" fillId="0" borderId="0" xfId="0" applyNumberFormat="1" applyFont="1" applyAlignment="1">
      <alignment horizontal="left" vertical="center"/>
    </xf>
    <xf numFmtId="49" fontId="14" fillId="0" borderId="0" xfId="0" applyNumberFormat="1" applyFont="1" applyAlignment="1">
      <alignment horizontal="left" vertical="center"/>
    </xf>
    <xf numFmtId="49" fontId="14" fillId="7" borderId="0" xfId="0" applyNumberFormat="1" applyFont="1" applyFill="1" applyAlignment="1">
      <alignment horizontal="left" vertical="center"/>
    </xf>
  </cellXfs>
  <cellStyles count="18">
    <cellStyle name="Normal" xfId="0" builtinId="0"/>
    <cellStyle name="Normal_IPD November" xfId="12" xr:uid="{00000000-0005-0000-0000-000001000000}"/>
    <cellStyle name="Normal_IPD_1" xfId="13" xr:uid="{00000000-0005-0000-0000-000002000000}"/>
    <cellStyle name="Normal_OPD August" xfId="11" xr:uid="{00000000-0005-0000-0000-000003000000}"/>
    <cellStyle name="Normal_OPD July" xfId="10" xr:uid="{00000000-0005-0000-0000-000004000000}"/>
    <cellStyle name="Normal_OPD_1" xfId="14" xr:uid="{00000000-0005-0000-0000-000005000000}"/>
    <cellStyle name="style1683707694983" xfId="1" xr:uid="{00000000-0005-0000-0000-000006000000}"/>
    <cellStyle name="style1683707695268" xfId="2" xr:uid="{00000000-0005-0000-0000-000007000000}"/>
    <cellStyle name="style1683707695497" xfId="3" xr:uid="{00000000-0005-0000-0000-000008000000}"/>
    <cellStyle name="style1683873781043" xfId="4" xr:uid="{00000000-0005-0000-0000-000009000000}"/>
    <cellStyle name="style1683873781293" xfId="5" xr:uid="{00000000-0005-0000-0000-00000A000000}"/>
    <cellStyle name="style1683873781509" xfId="6" xr:uid="{00000000-0005-0000-0000-00000B000000}"/>
    <cellStyle name="style1690951585398" xfId="8" xr:uid="{00000000-0005-0000-0000-00000C000000}"/>
    <cellStyle name="style1690951585625" xfId="9" xr:uid="{00000000-0005-0000-0000-00000D000000}"/>
    <cellStyle name="style1690951585802" xfId="7" xr:uid="{00000000-0005-0000-0000-00000E000000}"/>
    <cellStyle name="ปกติ 2" xfId="16" xr:uid="{00000000-0005-0000-0000-00000F000000}"/>
    <cellStyle name="ปกติ 3" xfId="17" xr:uid="{00000000-0005-0000-0000-000010000000}"/>
    <cellStyle name="ปกติ 4" xfId="15" xr:uid="{00000000-0005-0000-0000-000011000000}"/>
  </cellStyles>
  <dxfs count="0"/>
  <tableStyles count="0" defaultTableStyle="TableStyleMedium2" defaultPivotStyle="PivotStyleLight16"/>
  <colors>
    <mruColors>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4"/>
  <sheetViews>
    <sheetView topLeftCell="A22" zoomScale="85" zoomScaleNormal="85" zoomScaleSheetLayoutView="80" workbookViewId="0">
      <selection activeCell="O43" sqref="O43:O44"/>
    </sheetView>
  </sheetViews>
  <sheetFormatPr defaultColWidth="9" defaultRowHeight="21"/>
  <cols>
    <col min="1" max="1" width="62.625" style="4" customWidth="1"/>
    <col min="2" max="2" width="10.75" style="4" customWidth="1"/>
    <col min="3" max="18" width="10.75" style="3" customWidth="1"/>
    <col min="19" max="16384" width="9" style="3"/>
  </cols>
  <sheetData>
    <row r="1" spans="1:18" s="12" customFormat="1" ht="49.7" customHeight="1">
      <c r="A1" s="89" t="s">
        <v>96</v>
      </c>
      <c r="B1" s="89"/>
      <c r="C1" s="89"/>
      <c r="D1" s="89"/>
      <c r="E1" s="89"/>
      <c r="F1" s="89"/>
      <c r="G1" s="89"/>
      <c r="H1" s="89"/>
      <c r="I1" s="89"/>
      <c r="J1" s="89"/>
      <c r="K1" s="89"/>
      <c r="L1" s="89"/>
      <c r="M1" s="89"/>
      <c r="N1" s="89"/>
      <c r="O1" s="89"/>
      <c r="P1" s="89"/>
    </row>
    <row r="2" spans="1:18" s="2" customFormat="1" ht="54.75" customHeight="1">
      <c r="A2" s="6" t="s">
        <v>0</v>
      </c>
      <c r="B2" s="77" t="s">
        <v>69</v>
      </c>
      <c r="C2" s="77" t="s">
        <v>71</v>
      </c>
      <c r="D2" s="77" t="s">
        <v>67</v>
      </c>
      <c r="E2" s="1" t="s">
        <v>2</v>
      </c>
      <c r="F2" s="1" t="s">
        <v>57</v>
      </c>
      <c r="G2" s="1" t="s">
        <v>63</v>
      </c>
      <c r="H2" s="1" t="s">
        <v>58</v>
      </c>
      <c r="I2" s="1" t="s">
        <v>3</v>
      </c>
      <c r="J2" s="1" t="s">
        <v>4</v>
      </c>
      <c r="K2" s="1" t="s">
        <v>60</v>
      </c>
      <c r="L2" s="1" t="s">
        <v>49</v>
      </c>
      <c r="M2" s="1" t="s">
        <v>43</v>
      </c>
      <c r="N2" s="1" t="s">
        <v>5</v>
      </c>
      <c r="O2" s="1" t="s">
        <v>64</v>
      </c>
      <c r="P2" s="1" t="s">
        <v>61</v>
      </c>
      <c r="Q2" s="1" t="s">
        <v>68</v>
      </c>
      <c r="R2" s="1" t="s">
        <v>54</v>
      </c>
    </row>
    <row r="3" spans="1:18" s="73" customFormat="1" ht="24.75" customHeight="1" thickBot="1">
      <c r="A3" s="70" t="s">
        <v>8</v>
      </c>
      <c r="B3" s="23">
        <v>5</v>
      </c>
      <c r="C3" s="71">
        <v>3</v>
      </c>
      <c r="D3" s="58">
        <v>3</v>
      </c>
      <c r="E3" s="72">
        <v>4</v>
      </c>
      <c r="F3" s="80">
        <v>10</v>
      </c>
      <c r="G3" s="80">
        <v>4</v>
      </c>
      <c r="H3" s="58">
        <v>1</v>
      </c>
      <c r="I3" s="71">
        <v>109</v>
      </c>
      <c r="J3" s="58" t="s">
        <v>65</v>
      </c>
      <c r="K3" s="71">
        <v>33</v>
      </c>
      <c r="L3" s="71">
        <v>4</v>
      </c>
      <c r="M3" s="71">
        <v>80</v>
      </c>
      <c r="N3" s="71">
        <v>153</v>
      </c>
      <c r="O3" s="71">
        <v>10</v>
      </c>
      <c r="P3" s="71">
        <v>2</v>
      </c>
      <c r="Q3" s="71">
        <v>3</v>
      </c>
      <c r="R3" s="58" t="s">
        <v>65</v>
      </c>
    </row>
    <row r="4" spans="1:18" s="2" customFormat="1" ht="24" customHeight="1" thickBot="1">
      <c r="A4" s="78" t="s">
        <v>73</v>
      </c>
      <c r="B4" s="22">
        <v>4.5999999999999996</v>
      </c>
      <c r="C4" s="68">
        <v>4.333333333333333</v>
      </c>
      <c r="D4" s="68">
        <v>4.666666666666667</v>
      </c>
      <c r="E4" s="28">
        <v>4.5</v>
      </c>
      <c r="F4" s="68">
        <v>4.0999999999999996</v>
      </c>
      <c r="G4" s="22">
        <v>4.5</v>
      </c>
      <c r="H4" s="68">
        <v>5</v>
      </c>
      <c r="I4" s="19">
        <v>4.2844036697247718</v>
      </c>
      <c r="J4" s="58" t="s">
        <v>65</v>
      </c>
      <c r="K4" s="19">
        <v>4.4545454545454541</v>
      </c>
      <c r="L4" s="19">
        <v>4</v>
      </c>
      <c r="M4" s="19">
        <v>4.5624999999999991</v>
      </c>
      <c r="N4" s="19">
        <v>4.3333333333333348</v>
      </c>
      <c r="O4" s="22">
        <v>4.5</v>
      </c>
      <c r="P4" s="68">
        <v>5</v>
      </c>
      <c r="Q4" s="68">
        <v>4.666666666666667</v>
      </c>
      <c r="R4" s="58" t="s">
        <v>65</v>
      </c>
    </row>
    <row r="5" spans="1:18" s="2" customFormat="1" ht="24" customHeight="1" thickBot="1">
      <c r="A5" s="79" t="s">
        <v>74</v>
      </c>
      <c r="B5" s="22">
        <v>4.8</v>
      </c>
      <c r="C5" s="68">
        <v>4.666666666666667</v>
      </c>
      <c r="D5" s="68">
        <v>4.666666666666667</v>
      </c>
      <c r="E5" s="28">
        <v>4.5</v>
      </c>
      <c r="F5" s="68">
        <v>4</v>
      </c>
      <c r="G5" s="22">
        <v>4.75</v>
      </c>
      <c r="H5" s="68">
        <v>5</v>
      </c>
      <c r="I5" s="19">
        <v>4.2844036697247709</v>
      </c>
      <c r="J5" s="58" t="s">
        <v>65</v>
      </c>
      <c r="K5" s="19">
        <v>4.4242424242424239</v>
      </c>
      <c r="L5" s="19">
        <v>4</v>
      </c>
      <c r="M5" s="19">
        <v>4.5999999999999996</v>
      </c>
      <c r="N5" s="19">
        <v>4.4052287581699323</v>
      </c>
      <c r="O5" s="22">
        <v>4.5</v>
      </c>
      <c r="P5" s="68">
        <v>5</v>
      </c>
      <c r="Q5" s="68">
        <v>4.666666666666667</v>
      </c>
      <c r="R5" s="58" t="s">
        <v>65</v>
      </c>
    </row>
    <row r="6" spans="1:18" s="2" customFormat="1" ht="24" customHeight="1" thickBot="1">
      <c r="A6" s="79" t="s">
        <v>75</v>
      </c>
      <c r="B6" s="22">
        <v>4.5999999999999996</v>
      </c>
      <c r="C6" s="68">
        <v>4.333333333333333</v>
      </c>
      <c r="D6" s="68">
        <v>4.666666666666667</v>
      </c>
      <c r="E6" s="28">
        <v>4.75</v>
      </c>
      <c r="F6" s="68">
        <v>4.0999999999999996</v>
      </c>
      <c r="G6" s="22">
        <v>4.5</v>
      </c>
      <c r="H6" s="68">
        <v>5</v>
      </c>
      <c r="I6" s="19">
        <v>4.3302752293577988</v>
      </c>
      <c r="J6" s="58" t="s">
        <v>65</v>
      </c>
      <c r="K6" s="19">
        <v>4.5151515151515138</v>
      </c>
      <c r="L6" s="19">
        <v>4</v>
      </c>
      <c r="M6" s="19">
        <v>4.5374999999999988</v>
      </c>
      <c r="N6" s="19">
        <v>4.3398692810457504</v>
      </c>
      <c r="O6" s="22">
        <v>4.5</v>
      </c>
      <c r="P6" s="68">
        <v>5</v>
      </c>
      <c r="Q6" s="68">
        <v>4.666666666666667</v>
      </c>
      <c r="R6" s="58" t="s">
        <v>65</v>
      </c>
    </row>
    <row r="7" spans="1:18" s="2" customFormat="1" ht="24" customHeight="1" thickBot="1">
      <c r="A7" s="79" t="s">
        <v>76</v>
      </c>
      <c r="B7" s="22">
        <v>4.2</v>
      </c>
      <c r="C7" s="68">
        <v>4.333333333333333</v>
      </c>
      <c r="D7" s="68">
        <v>4.666666666666667</v>
      </c>
      <c r="E7" s="28">
        <v>4.75</v>
      </c>
      <c r="F7" s="68">
        <v>4</v>
      </c>
      <c r="G7" s="22">
        <v>4.75</v>
      </c>
      <c r="H7" s="68">
        <v>5</v>
      </c>
      <c r="I7" s="19">
        <v>4.3394495412844059</v>
      </c>
      <c r="J7" s="58" t="s">
        <v>65</v>
      </c>
      <c r="K7" s="19">
        <v>4.3939393939393927</v>
      </c>
      <c r="L7" s="19">
        <v>4.25</v>
      </c>
      <c r="M7" s="19">
        <v>4.6249999999999991</v>
      </c>
      <c r="N7" s="19">
        <v>4.3660130718954262</v>
      </c>
      <c r="O7" s="22">
        <v>4.5</v>
      </c>
      <c r="P7" s="68">
        <v>5</v>
      </c>
      <c r="Q7" s="68">
        <v>4.333333333333333</v>
      </c>
      <c r="R7" s="58" t="s">
        <v>65</v>
      </c>
    </row>
    <row r="8" spans="1:18" s="2" customFormat="1" ht="24" customHeight="1" thickBot="1">
      <c r="A8" s="79" t="s">
        <v>77</v>
      </c>
      <c r="B8" s="22">
        <v>4.5999999999999996</v>
      </c>
      <c r="C8" s="68">
        <v>4</v>
      </c>
      <c r="D8" s="68">
        <v>4.666666666666667</v>
      </c>
      <c r="E8" s="28">
        <v>4.5</v>
      </c>
      <c r="F8" s="68">
        <v>3.5999999999999996</v>
      </c>
      <c r="G8" s="22">
        <v>3.25</v>
      </c>
      <c r="H8" s="68">
        <v>3</v>
      </c>
      <c r="I8" s="19">
        <v>4.1100917431192663</v>
      </c>
      <c r="J8" s="58" t="s">
        <v>65</v>
      </c>
      <c r="K8" s="19">
        <v>4</v>
      </c>
      <c r="L8" s="19">
        <v>4</v>
      </c>
      <c r="M8" s="19">
        <v>4.5624999999999991</v>
      </c>
      <c r="N8" s="19">
        <v>4.2875816993464051</v>
      </c>
      <c r="O8" s="22">
        <v>4.3</v>
      </c>
      <c r="P8" s="68">
        <v>4.5</v>
      </c>
      <c r="Q8" s="68">
        <v>3.3333333333333335</v>
      </c>
      <c r="R8" s="58" t="s">
        <v>65</v>
      </c>
    </row>
    <row r="9" spans="1:18" s="2" customFormat="1" ht="24" customHeight="1" thickBot="1">
      <c r="A9" s="79" t="s">
        <v>78</v>
      </c>
      <c r="B9" s="22">
        <v>4.4000000000000004</v>
      </c>
      <c r="C9" s="68">
        <v>4.333333333333333</v>
      </c>
      <c r="D9" s="68">
        <v>4.666666666666667</v>
      </c>
      <c r="E9" s="28">
        <v>4.75</v>
      </c>
      <c r="F9" s="68">
        <v>3.5</v>
      </c>
      <c r="G9" s="22">
        <v>3</v>
      </c>
      <c r="H9" s="68">
        <v>4</v>
      </c>
      <c r="I9" s="19">
        <v>4.192660550458716</v>
      </c>
      <c r="J9" s="58" t="s">
        <v>65</v>
      </c>
      <c r="K9" s="19">
        <v>4.0303030303030303</v>
      </c>
      <c r="L9" s="19">
        <v>4</v>
      </c>
      <c r="M9" s="19">
        <v>4.6624999999999996</v>
      </c>
      <c r="N9" s="19">
        <v>4.4248366013071854</v>
      </c>
      <c r="O9" s="22">
        <v>4.4000000000000004</v>
      </c>
      <c r="P9" s="68">
        <v>4.5</v>
      </c>
      <c r="Q9" s="68">
        <v>3.3333333333333335</v>
      </c>
      <c r="R9" s="58" t="s">
        <v>65</v>
      </c>
    </row>
    <row r="10" spans="1:18" s="2" customFormat="1" ht="24" customHeight="1" thickBot="1">
      <c r="A10" s="79" t="s">
        <v>79</v>
      </c>
      <c r="B10" s="22">
        <v>4.5999999999999996</v>
      </c>
      <c r="C10" s="68">
        <v>4.333333333333333</v>
      </c>
      <c r="D10" s="68">
        <v>4.666666666666667</v>
      </c>
      <c r="E10" s="28">
        <v>4.5</v>
      </c>
      <c r="F10" s="68">
        <v>3.5</v>
      </c>
      <c r="G10" s="22">
        <v>2</v>
      </c>
      <c r="H10" s="68">
        <v>5</v>
      </c>
      <c r="I10" s="19">
        <v>4.3027522935779814</v>
      </c>
      <c r="J10" s="58" t="s">
        <v>65</v>
      </c>
      <c r="K10" s="19">
        <v>4.2121212121212119</v>
      </c>
      <c r="L10" s="19">
        <v>4.25</v>
      </c>
      <c r="M10" s="19">
        <v>4.625</v>
      </c>
      <c r="N10" s="19">
        <v>4.37254901960784</v>
      </c>
      <c r="O10" s="22">
        <v>4.5999999999999988</v>
      </c>
      <c r="P10" s="68">
        <v>5</v>
      </c>
      <c r="Q10" s="68">
        <v>3.3333333333333335</v>
      </c>
      <c r="R10" s="58" t="s">
        <v>65</v>
      </c>
    </row>
    <row r="11" spans="1:18" s="2" customFormat="1" ht="24" customHeight="1" thickBot="1">
      <c r="A11" s="79" t="s">
        <v>80</v>
      </c>
      <c r="B11" s="22">
        <v>5</v>
      </c>
      <c r="C11" s="68">
        <v>4</v>
      </c>
      <c r="D11" s="68">
        <v>4.333333333333333</v>
      </c>
      <c r="E11" s="28">
        <v>4.5</v>
      </c>
      <c r="F11" s="68">
        <v>3.8</v>
      </c>
      <c r="G11" s="22">
        <v>3.75</v>
      </c>
      <c r="H11" s="68">
        <v>3</v>
      </c>
      <c r="I11" s="19">
        <v>4.2844036697247718</v>
      </c>
      <c r="J11" s="58" t="s">
        <v>65</v>
      </c>
      <c r="K11" s="19">
        <v>4.2727272727272716</v>
      </c>
      <c r="L11" s="19">
        <v>3.75</v>
      </c>
      <c r="M11" s="19">
        <v>4.6375000000000028</v>
      </c>
      <c r="N11" s="19">
        <v>4.3464052287581669</v>
      </c>
      <c r="O11" s="22">
        <v>4.4000000000000004</v>
      </c>
      <c r="P11" s="68">
        <v>5</v>
      </c>
      <c r="Q11" s="68">
        <v>4.666666666666667</v>
      </c>
      <c r="R11" s="58" t="s">
        <v>65</v>
      </c>
    </row>
    <row r="12" spans="1:18" s="2" customFormat="1" ht="24" customHeight="1" thickBot="1">
      <c r="A12" s="79" t="s">
        <v>81</v>
      </c>
      <c r="B12" s="22">
        <v>4.5999999999999996</v>
      </c>
      <c r="C12" s="68">
        <v>4.333333333333333</v>
      </c>
      <c r="D12" s="68">
        <v>4.666666666666667</v>
      </c>
      <c r="E12" s="28">
        <v>4.75</v>
      </c>
      <c r="F12" s="68">
        <v>3.5999999999999996</v>
      </c>
      <c r="G12" s="22">
        <v>2.5</v>
      </c>
      <c r="H12" s="68">
        <v>5</v>
      </c>
      <c r="I12" s="19">
        <v>4.3577981651376145</v>
      </c>
      <c r="J12" s="58" t="s">
        <v>65</v>
      </c>
      <c r="K12" s="19">
        <v>4.3030303030303036</v>
      </c>
      <c r="L12" s="19">
        <v>4.25</v>
      </c>
      <c r="M12" s="19">
        <v>4.625</v>
      </c>
      <c r="N12" s="19">
        <v>4.3856209150326801</v>
      </c>
      <c r="O12" s="22">
        <v>4.5999999999999988</v>
      </c>
      <c r="P12" s="68">
        <v>4.5</v>
      </c>
      <c r="Q12" s="68">
        <v>3.3333333333333335</v>
      </c>
      <c r="R12" s="58" t="s">
        <v>65</v>
      </c>
    </row>
    <row r="13" spans="1:18" s="2" customFormat="1" ht="24" customHeight="1" thickBot="1">
      <c r="A13" s="79" t="s">
        <v>82</v>
      </c>
      <c r="B13" s="22">
        <v>4.5999999999999996</v>
      </c>
      <c r="C13" s="68">
        <v>4</v>
      </c>
      <c r="D13" s="68">
        <v>4.666666666666667</v>
      </c>
      <c r="E13" s="28">
        <v>4.75</v>
      </c>
      <c r="F13" s="68">
        <v>3.6999999999999997</v>
      </c>
      <c r="G13" s="22">
        <v>2.5</v>
      </c>
      <c r="H13" s="68">
        <v>5</v>
      </c>
      <c r="I13" s="19">
        <v>4.2752293577981648</v>
      </c>
      <c r="J13" s="58" t="s">
        <v>65</v>
      </c>
      <c r="K13" s="19">
        <v>4.2424242424242413</v>
      </c>
      <c r="L13" s="19">
        <v>4.25</v>
      </c>
      <c r="M13" s="19">
        <v>4.6375000000000028</v>
      </c>
      <c r="N13" s="19">
        <v>4.4248366013071854</v>
      </c>
      <c r="O13" s="22">
        <v>4.5999999999999996</v>
      </c>
      <c r="P13" s="68">
        <v>4.5</v>
      </c>
      <c r="Q13" s="68">
        <v>3.3333333333333335</v>
      </c>
      <c r="R13" s="58" t="s">
        <v>65</v>
      </c>
    </row>
    <row r="14" spans="1:18" s="2" customFormat="1" ht="24" customHeight="1" thickBot="1">
      <c r="A14" s="79" t="s">
        <v>83</v>
      </c>
      <c r="B14" s="22">
        <v>4.5999999999999996</v>
      </c>
      <c r="C14" s="68">
        <v>4.333333333333333</v>
      </c>
      <c r="D14" s="68">
        <v>4.666666666666667</v>
      </c>
      <c r="E14" s="28">
        <v>4.5</v>
      </c>
      <c r="F14" s="68">
        <v>3.8</v>
      </c>
      <c r="G14" s="22">
        <v>3</v>
      </c>
      <c r="H14" s="68">
        <v>5</v>
      </c>
      <c r="I14" s="19">
        <v>4.3119266055045866</v>
      </c>
      <c r="J14" s="58" t="s">
        <v>65</v>
      </c>
      <c r="K14" s="19">
        <v>4.3636363636363642</v>
      </c>
      <c r="L14" s="19">
        <v>4.25</v>
      </c>
      <c r="M14" s="19">
        <v>4.6125000000000007</v>
      </c>
      <c r="N14" s="19">
        <v>4.3202614379084974</v>
      </c>
      <c r="O14" s="22">
        <v>4.4000000000000004</v>
      </c>
      <c r="P14" s="68">
        <v>4.5</v>
      </c>
      <c r="Q14" s="68">
        <v>4</v>
      </c>
      <c r="R14" s="58" t="s">
        <v>65</v>
      </c>
    </row>
    <row r="15" spans="1:18" s="2" customFormat="1" ht="24" customHeight="1" thickBot="1">
      <c r="A15" s="79" t="s">
        <v>84</v>
      </c>
      <c r="B15" s="22">
        <v>4.5999999999999996</v>
      </c>
      <c r="C15" s="68">
        <v>4.666666666666667</v>
      </c>
      <c r="D15" s="68">
        <v>4.333333333333333</v>
      </c>
      <c r="E15" s="28">
        <v>4.5</v>
      </c>
      <c r="F15" s="68">
        <v>3.9</v>
      </c>
      <c r="G15" s="22">
        <v>4.25</v>
      </c>
      <c r="H15" s="68">
        <v>4</v>
      </c>
      <c r="I15" s="19">
        <v>4.3486238532110075</v>
      </c>
      <c r="J15" s="58" t="s">
        <v>65</v>
      </c>
      <c r="K15" s="19">
        <v>4.4545454545454541</v>
      </c>
      <c r="L15" s="19">
        <v>4.25</v>
      </c>
      <c r="M15" s="19">
        <v>4.5750000000000002</v>
      </c>
      <c r="N15" s="19">
        <v>4.3529411764705905</v>
      </c>
      <c r="O15" s="22">
        <v>4.5</v>
      </c>
      <c r="P15" s="68">
        <v>5</v>
      </c>
      <c r="Q15" s="68">
        <v>4</v>
      </c>
      <c r="R15" s="58" t="s">
        <v>65</v>
      </c>
    </row>
    <row r="16" spans="1:18" s="2" customFormat="1" ht="24" customHeight="1" thickBot="1">
      <c r="A16" s="79" t="s">
        <v>85</v>
      </c>
      <c r="B16" s="22">
        <v>4.4000000000000004</v>
      </c>
      <c r="C16" s="68">
        <v>4.333333333333333</v>
      </c>
      <c r="D16" s="68">
        <v>4.666666666666667</v>
      </c>
      <c r="E16" s="28">
        <v>4.5</v>
      </c>
      <c r="F16" s="68">
        <v>3.9</v>
      </c>
      <c r="G16" s="22">
        <v>4.25</v>
      </c>
      <c r="H16" s="68">
        <v>4</v>
      </c>
      <c r="I16" s="19">
        <v>4.2110091743119256</v>
      </c>
      <c r="J16" s="58" t="s">
        <v>65</v>
      </c>
      <c r="K16" s="19">
        <v>4.3333333333333339</v>
      </c>
      <c r="L16" s="19">
        <v>4</v>
      </c>
      <c r="M16" s="19">
        <v>4.6000000000000005</v>
      </c>
      <c r="N16" s="19">
        <v>4.405228758169935</v>
      </c>
      <c r="O16" s="22">
        <v>4.5999999999999988</v>
      </c>
      <c r="P16" s="68">
        <v>4.5</v>
      </c>
      <c r="Q16" s="68">
        <v>4.333333333333333</v>
      </c>
      <c r="R16" s="58" t="s">
        <v>65</v>
      </c>
    </row>
    <row r="17" spans="1:18" s="2" customFormat="1" ht="24" customHeight="1" thickBot="1">
      <c r="A17" s="79" t="s">
        <v>86</v>
      </c>
      <c r="B17" s="22">
        <v>4.4000000000000004</v>
      </c>
      <c r="C17" s="68">
        <v>4.666666666666667</v>
      </c>
      <c r="D17" s="68">
        <v>4.666666666666667</v>
      </c>
      <c r="E17" s="28">
        <v>4.5</v>
      </c>
      <c r="F17" s="68">
        <v>4</v>
      </c>
      <c r="G17" s="22">
        <v>4.5</v>
      </c>
      <c r="H17" s="68">
        <v>5</v>
      </c>
      <c r="I17" s="19">
        <v>4.238532110091743</v>
      </c>
      <c r="J17" s="58" t="s">
        <v>65</v>
      </c>
      <c r="K17" s="19">
        <v>4.3636363636363642</v>
      </c>
      <c r="L17" s="19">
        <v>4</v>
      </c>
      <c r="M17" s="19">
        <v>4.6000000000000005</v>
      </c>
      <c r="N17" s="19">
        <v>4.3986928104575131</v>
      </c>
      <c r="O17" s="22">
        <v>4.4000000000000004</v>
      </c>
      <c r="P17" s="68">
        <v>4.5</v>
      </c>
      <c r="Q17" s="68">
        <v>4.666666666666667</v>
      </c>
      <c r="R17" s="58" t="s">
        <v>65</v>
      </c>
    </row>
    <row r="18" spans="1:18" s="2" customFormat="1" ht="24" customHeight="1" thickBot="1">
      <c r="A18" s="79" t="s">
        <v>87</v>
      </c>
      <c r="B18" s="22">
        <v>4.8</v>
      </c>
      <c r="C18" s="68">
        <v>4.666666666666667</v>
      </c>
      <c r="D18" s="68">
        <v>4.666666666666667</v>
      </c>
      <c r="E18" s="28">
        <v>4.5</v>
      </c>
      <c r="F18" s="68">
        <v>3.9</v>
      </c>
      <c r="G18" s="22">
        <v>4.5</v>
      </c>
      <c r="H18" s="68">
        <v>5</v>
      </c>
      <c r="I18" s="19">
        <v>4.3119266055045875</v>
      </c>
      <c r="J18" s="58" t="s">
        <v>65</v>
      </c>
      <c r="K18" s="19">
        <v>4.3939393939393945</v>
      </c>
      <c r="L18" s="19">
        <v>4</v>
      </c>
      <c r="M18" s="19">
        <v>4.6499999999999995</v>
      </c>
      <c r="N18" s="19">
        <v>4.477124183006536</v>
      </c>
      <c r="O18" s="22">
        <v>4.3999999999999995</v>
      </c>
      <c r="P18" s="68">
        <v>5</v>
      </c>
      <c r="Q18" s="68">
        <v>4.666666666666667</v>
      </c>
      <c r="R18" s="58" t="s">
        <v>65</v>
      </c>
    </row>
    <row r="19" spans="1:18" s="2" customFormat="1" ht="24" customHeight="1" thickBot="1">
      <c r="A19" s="79" t="s">
        <v>88</v>
      </c>
      <c r="B19" s="22">
        <v>4.4000000000000004</v>
      </c>
      <c r="C19" s="68">
        <v>4</v>
      </c>
      <c r="D19" s="68">
        <v>4.666666666666667</v>
      </c>
      <c r="E19" s="28">
        <v>4.75</v>
      </c>
      <c r="F19" s="68">
        <v>3.8</v>
      </c>
      <c r="G19" s="22">
        <v>2.5</v>
      </c>
      <c r="H19" s="68">
        <v>5</v>
      </c>
      <c r="I19" s="19">
        <v>4.4036697247706407</v>
      </c>
      <c r="J19" s="58" t="s">
        <v>65</v>
      </c>
      <c r="K19" s="19">
        <v>4.3939393939393936</v>
      </c>
      <c r="L19" s="19">
        <v>4</v>
      </c>
      <c r="M19" s="19">
        <v>4.6250000000000009</v>
      </c>
      <c r="N19" s="19">
        <v>4.4509803921568611</v>
      </c>
      <c r="O19" s="22">
        <v>4.5</v>
      </c>
      <c r="P19" s="68">
        <v>4.5</v>
      </c>
      <c r="Q19" s="68">
        <v>3.6666666666666665</v>
      </c>
      <c r="R19" s="58" t="s">
        <v>65</v>
      </c>
    </row>
    <row r="20" spans="1:18" s="2" customFormat="1" ht="24" customHeight="1">
      <c r="A20" s="14" t="s">
        <v>9</v>
      </c>
      <c r="B20" s="22">
        <v>4.5750000000000002</v>
      </c>
      <c r="C20" s="68">
        <v>4.333333333333333</v>
      </c>
      <c r="D20" s="68">
        <v>4.625</v>
      </c>
      <c r="E20" s="28">
        <v>4.59375</v>
      </c>
      <c r="F20" s="68">
        <v>3.8249999999999997</v>
      </c>
      <c r="G20" s="22">
        <v>3.65625</v>
      </c>
      <c r="H20" s="68">
        <v>4.5625</v>
      </c>
      <c r="I20" s="19">
        <v>4.2866972477064236</v>
      </c>
      <c r="J20" s="58" t="s">
        <v>65</v>
      </c>
      <c r="K20" s="19">
        <v>4.3219696969696981</v>
      </c>
      <c r="L20" s="19">
        <v>4.078125</v>
      </c>
      <c r="M20" s="19">
        <v>4.6085937499999989</v>
      </c>
      <c r="N20" s="19">
        <v>4.3807189542483673</v>
      </c>
      <c r="O20" s="22">
        <v>4.4812500000000002</v>
      </c>
      <c r="P20" s="68">
        <v>4.75</v>
      </c>
      <c r="Q20" s="68">
        <v>4.0625</v>
      </c>
      <c r="R20" s="58" t="s">
        <v>65</v>
      </c>
    </row>
    <row r="21" spans="1:18" s="2" customFormat="1" ht="24.75" customHeight="1">
      <c r="A21" s="7" t="s">
        <v>10</v>
      </c>
      <c r="B21" s="84">
        <f t="shared" ref="B21:N21" si="0">B20*20</f>
        <v>91.5</v>
      </c>
      <c r="C21" s="84">
        <f t="shared" si="0"/>
        <v>86.666666666666657</v>
      </c>
      <c r="D21" s="84">
        <f t="shared" si="0"/>
        <v>92.5</v>
      </c>
      <c r="E21" s="84">
        <f t="shared" si="0"/>
        <v>91.875</v>
      </c>
      <c r="F21" s="84">
        <f t="shared" si="0"/>
        <v>76.5</v>
      </c>
      <c r="G21" s="84">
        <f t="shared" si="0"/>
        <v>73.125</v>
      </c>
      <c r="H21" s="84">
        <f t="shared" si="0"/>
        <v>91.25</v>
      </c>
      <c r="I21" s="84">
        <f t="shared" si="0"/>
        <v>85.733944954128475</v>
      </c>
      <c r="J21" s="58" t="s">
        <v>65</v>
      </c>
      <c r="K21" s="84">
        <f t="shared" si="0"/>
        <v>86.439393939393966</v>
      </c>
      <c r="L21" s="84">
        <f t="shared" si="0"/>
        <v>81.5625</v>
      </c>
      <c r="M21" s="84">
        <f t="shared" si="0"/>
        <v>92.171874999999972</v>
      </c>
      <c r="N21" s="84">
        <f t="shared" si="0"/>
        <v>87.614379084967339</v>
      </c>
      <c r="O21" s="84">
        <f>O20*20</f>
        <v>89.625</v>
      </c>
      <c r="P21" s="84">
        <f>P20*20</f>
        <v>95</v>
      </c>
      <c r="Q21" s="84">
        <f>Q20*20</f>
        <v>81.25</v>
      </c>
      <c r="R21" s="58" t="s">
        <v>65</v>
      </c>
    </row>
    <row r="22" spans="1:18">
      <c r="A22" s="15" t="s">
        <v>44</v>
      </c>
      <c r="B22" s="85">
        <v>80</v>
      </c>
      <c r="C22" s="81">
        <v>66.666666666666671</v>
      </c>
      <c r="D22" s="81">
        <v>100</v>
      </c>
      <c r="E22" s="85">
        <v>100</v>
      </c>
      <c r="F22" s="81">
        <v>80</v>
      </c>
      <c r="G22" s="85">
        <v>50</v>
      </c>
      <c r="H22" s="86">
        <v>100</v>
      </c>
      <c r="I22" s="85">
        <v>90.825688073394502</v>
      </c>
      <c r="J22" s="86" t="s">
        <v>66</v>
      </c>
      <c r="K22" s="85">
        <v>96.969696969696969</v>
      </c>
      <c r="L22" s="85">
        <v>50</v>
      </c>
      <c r="M22" s="85">
        <v>100</v>
      </c>
      <c r="N22" s="85">
        <v>99.346405228758172</v>
      </c>
      <c r="O22" s="85">
        <v>90</v>
      </c>
      <c r="P22" s="81">
        <v>50</v>
      </c>
      <c r="Q22" s="81">
        <v>100</v>
      </c>
      <c r="R22" s="86" t="s">
        <v>66</v>
      </c>
    </row>
    <row r="24" spans="1:18" ht="24" customHeight="1"/>
    <row r="25" spans="1:18" ht="59.25" customHeight="1">
      <c r="A25" s="6" t="s">
        <v>0</v>
      </c>
      <c r="B25" s="1" t="s">
        <v>93</v>
      </c>
      <c r="C25" s="1" t="s">
        <v>6</v>
      </c>
      <c r="D25" s="1" t="s">
        <v>7</v>
      </c>
      <c r="E25" s="1" t="s">
        <v>56</v>
      </c>
      <c r="F25" s="1" t="s">
        <v>62</v>
      </c>
      <c r="G25" s="1" t="s">
        <v>59</v>
      </c>
      <c r="H25" s="1" t="s">
        <v>94</v>
      </c>
      <c r="I25" s="1" t="s">
        <v>11</v>
      </c>
      <c r="J25" s="1" t="s">
        <v>45</v>
      </c>
      <c r="K25" s="1" t="s">
        <v>70</v>
      </c>
      <c r="L25" s="1" t="s">
        <v>50</v>
      </c>
      <c r="M25" s="1" t="s">
        <v>55</v>
      </c>
      <c r="N25" s="1" t="s">
        <v>1</v>
      </c>
      <c r="O25" s="1" t="s">
        <v>35</v>
      </c>
      <c r="P25" s="1" t="s">
        <v>72</v>
      </c>
      <c r="Q25" s="1" t="s">
        <v>95</v>
      </c>
    </row>
    <row r="26" spans="1:18" s="24" customFormat="1" ht="24" customHeight="1" thickBot="1">
      <c r="A26" s="7" t="s">
        <v>8</v>
      </c>
      <c r="B26" s="58">
        <v>51</v>
      </c>
      <c r="C26" s="58">
        <v>56</v>
      </c>
      <c r="D26" s="23">
        <v>3</v>
      </c>
      <c r="E26" s="23">
        <v>54</v>
      </c>
      <c r="F26" s="58">
        <v>45</v>
      </c>
      <c r="G26" s="23">
        <v>13</v>
      </c>
      <c r="H26" s="58" t="s">
        <v>65</v>
      </c>
      <c r="I26" s="58" t="s">
        <v>65</v>
      </c>
      <c r="J26" s="23">
        <v>21</v>
      </c>
      <c r="K26" s="58" t="s">
        <v>65</v>
      </c>
      <c r="L26" s="23">
        <v>3</v>
      </c>
      <c r="M26" s="58" t="s">
        <v>65</v>
      </c>
      <c r="N26" s="23">
        <v>2</v>
      </c>
      <c r="O26" s="23">
        <v>16</v>
      </c>
      <c r="P26" s="58" t="s">
        <v>65</v>
      </c>
      <c r="Q26" s="58" t="s">
        <v>65</v>
      </c>
    </row>
    <row r="27" spans="1:18" ht="24" customHeight="1" thickBot="1">
      <c r="A27" s="78" t="s">
        <v>73</v>
      </c>
      <c r="B27" s="68">
        <v>4.3921568627450993</v>
      </c>
      <c r="C27" s="68">
        <v>4.4999999999999982</v>
      </c>
      <c r="D27" s="19">
        <v>5</v>
      </c>
      <c r="E27" s="22">
        <v>4.5555555555555571</v>
      </c>
      <c r="F27" s="68">
        <v>4.4666666666666668</v>
      </c>
      <c r="G27" s="19">
        <v>4.384615384615385</v>
      </c>
      <c r="H27" s="80" t="s">
        <v>65</v>
      </c>
      <c r="I27" s="80" t="s">
        <v>65</v>
      </c>
      <c r="J27" s="19">
        <v>4.6666666666666661</v>
      </c>
      <c r="K27" s="80" t="s">
        <v>65</v>
      </c>
      <c r="L27" s="22">
        <v>5</v>
      </c>
      <c r="M27" s="80" t="s">
        <v>65</v>
      </c>
      <c r="N27" s="22">
        <v>5</v>
      </c>
      <c r="O27" s="22">
        <v>4.2499999999999991</v>
      </c>
      <c r="P27" s="58" t="s">
        <v>65</v>
      </c>
      <c r="Q27" s="58" t="s">
        <v>65</v>
      </c>
    </row>
    <row r="28" spans="1:18" ht="24" customHeight="1" thickBot="1">
      <c r="A28" s="79" t="s">
        <v>74</v>
      </c>
      <c r="B28" s="68">
        <v>4.2745098039215694</v>
      </c>
      <c r="C28" s="68">
        <v>4.5357142857142865</v>
      </c>
      <c r="D28" s="19">
        <v>4.666666666666667</v>
      </c>
      <c r="E28" s="22">
        <v>4.5925925925925917</v>
      </c>
      <c r="F28" s="68">
        <v>4.511111111111112</v>
      </c>
      <c r="G28" s="19">
        <v>4.6153846153846159</v>
      </c>
      <c r="H28" s="80" t="s">
        <v>65</v>
      </c>
      <c r="I28" s="80" t="s">
        <v>65</v>
      </c>
      <c r="J28" s="19">
        <v>4.6190476190476186</v>
      </c>
      <c r="K28" s="80" t="s">
        <v>65</v>
      </c>
      <c r="L28" s="22">
        <v>5</v>
      </c>
      <c r="M28" s="80" t="s">
        <v>65</v>
      </c>
      <c r="N28" s="22">
        <v>5</v>
      </c>
      <c r="O28" s="22">
        <v>4.1875</v>
      </c>
      <c r="P28" s="58" t="s">
        <v>65</v>
      </c>
      <c r="Q28" s="58" t="s">
        <v>65</v>
      </c>
    </row>
    <row r="29" spans="1:18" ht="24" customHeight="1" thickBot="1">
      <c r="A29" s="79" t="s">
        <v>75</v>
      </c>
      <c r="B29" s="68">
        <v>4.2941176470588243</v>
      </c>
      <c r="C29" s="68">
        <v>4.5</v>
      </c>
      <c r="D29" s="19">
        <v>4.666666666666667</v>
      </c>
      <c r="E29" s="22">
        <v>4.5925925925925917</v>
      </c>
      <c r="F29" s="68">
        <v>4.4444444444444446</v>
      </c>
      <c r="G29" s="19">
        <v>4.384615384615385</v>
      </c>
      <c r="H29" s="80" t="s">
        <v>65</v>
      </c>
      <c r="I29" s="80" t="s">
        <v>65</v>
      </c>
      <c r="J29" s="19">
        <v>4.571428571428573</v>
      </c>
      <c r="K29" s="80" t="s">
        <v>65</v>
      </c>
      <c r="L29" s="22">
        <v>5</v>
      </c>
      <c r="M29" s="80" t="s">
        <v>65</v>
      </c>
      <c r="N29" s="22">
        <v>5</v>
      </c>
      <c r="O29" s="22">
        <v>4.3124999999999991</v>
      </c>
      <c r="P29" s="58" t="s">
        <v>65</v>
      </c>
      <c r="Q29" s="58" t="s">
        <v>65</v>
      </c>
    </row>
    <row r="30" spans="1:18" ht="24" customHeight="1" thickBot="1">
      <c r="A30" s="79" t="s">
        <v>76</v>
      </c>
      <c r="B30" s="68">
        <v>4.2549019607843137</v>
      </c>
      <c r="C30" s="68">
        <v>4.4285714285714288</v>
      </c>
      <c r="D30" s="19">
        <v>4.666666666666667</v>
      </c>
      <c r="E30" s="22">
        <v>4.4999999999999982</v>
      </c>
      <c r="F30" s="68">
        <v>4.4666666666666659</v>
      </c>
      <c r="G30" s="19">
        <v>4.5384615384615392</v>
      </c>
      <c r="H30" s="80" t="s">
        <v>65</v>
      </c>
      <c r="I30" s="80" t="s">
        <v>65</v>
      </c>
      <c r="J30" s="19">
        <v>4.4761904761904763</v>
      </c>
      <c r="K30" s="80" t="s">
        <v>65</v>
      </c>
      <c r="L30" s="22">
        <v>5</v>
      </c>
      <c r="M30" s="80" t="s">
        <v>65</v>
      </c>
      <c r="N30" s="22">
        <v>5</v>
      </c>
      <c r="O30" s="22">
        <v>4.1875</v>
      </c>
      <c r="P30" s="58" t="s">
        <v>65</v>
      </c>
      <c r="Q30" s="58" t="s">
        <v>65</v>
      </c>
    </row>
    <row r="31" spans="1:18" ht="24" customHeight="1" thickBot="1">
      <c r="A31" s="79" t="s">
        <v>77</v>
      </c>
      <c r="B31" s="68">
        <v>4.1568627450980378</v>
      </c>
      <c r="C31" s="68">
        <v>4.25</v>
      </c>
      <c r="D31" s="19">
        <v>4.333333333333333</v>
      </c>
      <c r="E31" s="22">
        <v>4.5370370370370372</v>
      </c>
      <c r="F31" s="68">
        <v>4.4888888888888898</v>
      </c>
      <c r="G31" s="19">
        <v>4.3076923076923084</v>
      </c>
      <c r="H31" s="80" t="s">
        <v>65</v>
      </c>
      <c r="I31" s="80" t="s">
        <v>65</v>
      </c>
      <c r="J31" s="19">
        <v>4.5714285714285712</v>
      </c>
      <c r="K31" s="80" t="s">
        <v>65</v>
      </c>
      <c r="L31" s="22">
        <v>4.666666666666667</v>
      </c>
      <c r="M31" s="80" t="s">
        <v>65</v>
      </c>
      <c r="N31" s="22">
        <v>5</v>
      </c>
      <c r="O31" s="22">
        <v>4.3124999999999991</v>
      </c>
      <c r="P31" s="58" t="s">
        <v>65</v>
      </c>
      <c r="Q31" s="58" t="s">
        <v>65</v>
      </c>
    </row>
    <row r="32" spans="1:18" ht="24" customHeight="1" thickBot="1">
      <c r="A32" s="79" t="s">
        <v>78</v>
      </c>
      <c r="B32" s="68">
        <v>4.235294117647058</v>
      </c>
      <c r="C32" s="68">
        <v>4.2678571428571423</v>
      </c>
      <c r="D32" s="19">
        <v>4.666666666666667</v>
      </c>
      <c r="E32" s="22">
        <v>4.5925925925925917</v>
      </c>
      <c r="F32" s="68">
        <v>4.5555555555555571</v>
      </c>
      <c r="G32" s="19">
        <v>4.5384615384615392</v>
      </c>
      <c r="H32" s="80" t="s">
        <v>65</v>
      </c>
      <c r="I32" s="80" t="s">
        <v>65</v>
      </c>
      <c r="J32" s="19">
        <v>4.6190476190476195</v>
      </c>
      <c r="K32" s="80" t="s">
        <v>65</v>
      </c>
      <c r="L32" s="22">
        <v>5</v>
      </c>
      <c r="M32" s="80" t="s">
        <v>65</v>
      </c>
      <c r="N32" s="22">
        <v>5</v>
      </c>
      <c r="O32" s="22">
        <v>4.125</v>
      </c>
      <c r="P32" s="58" t="s">
        <v>65</v>
      </c>
      <c r="Q32" s="58" t="s">
        <v>65</v>
      </c>
    </row>
    <row r="33" spans="1:17" ht="24" customHeight="1" thickBot="1">
      <c r="A33" s="79" t="s">
        <v>79</v>
      </c>
      <c r="B33" s="68">
        <v>4.3529411764705888</v>
      </c>
      <c r="C33" s="68">
        <v>4.2142857142857153</v>
      </c>
      <c r="D33" s="19">
        <v>4.333333333333333</v>
      </c>
      <c r="E33" s="22">
        <v>4.5555555555555562</v>
      </c>
      <c r="F33" s="68">
        <v>4.5777777777777775</v>
      </c>
      <c r="G33" s="19">
        <v>4.6923076923076925</v>
      </c>
      <c r="H33" s="80" t="s">
        <v>65</v>
      </c>
      <c r="I33" s="80" t="s">
        <v>65</v>
      </c>
      <c r="J33" s="19">
        <v>4.666666666666667</v>
      </c>
      <c r="K33" s="80" t="s">
        <v>65</v>
      </c>
      <c r="L33" s="22">
        <v>5</v>
      </c>
      <c r="M33" s="80" t="s">
        <v>65</v>
      </c>
      <c r="N33" s="22">
        <v>5</v>
      </c>
      <c r="O33" s="22">
        <v>4.125</v>
      </c>
      <c r="P33" s="58" t="s">
        <v>65</v>
      </c>
      <c r="Q33" s="58" t="s">
        <v>65</v>
      </c>
    </row>
    <row r="34" spans="1:17" ht="24" customHeight="1" thickBot="1">
      <c r="A34" s="79" t="s">
        <v>80</v>
      </c>
      <c r="B34" s="68">
        <v>4.2745098039215685</v>
      </c>
      <c r="C34" s="68">
        <v>4.3214285714285703</v>
      </c>
      <c r="D34" s="19">
        <v>4.333333333333333</v>
      </c>
      <c r="E34" s="22">
        <v>4.5185185185185173</v>
      </c>
      <c r="F34" s="68">
        <v>4.4222222222222216</v>
      </c>
      <c r="G34" s="19">
        <v>4.5384615384615383</v>
      </c>
      <c r="H34" s="80" t="s">
        <v>65</v>
      </c>
      <c r="I34" s="80" t="s">
        <v>65</v>
      </c>
      <c r="J34" s="19">
        <v>4.6190476190476195</v>
      </c>
      <c r="K34" s="80" t="s">
        <v>65</v>
      </c>
      <c r="L34" s="22">
        <v>4.666666666666667</v>
      </c>
      <c r="M34" s="80" t="s">
        <v>65</v>
      </c>
      <c r="N34" s="22">
        <v>5</v>
      </c>
      <c r="O34" s="22">
        <v>4.2499999999999991</v>
      </c>
      <c r="P34" s="58" t="s">
        <v>65</v>
      </c>
      <c r="Q34" s="58" t="s">
        <v>65</v>
      </c>
    </row>
    <row r="35" spans="1:17" ht="24" customHeight="1" thickBot="1">
      <c r="A35" s="79" t="s">
        <v>81</v>
      </c>
      <c r="B35" s="68">
        <v>4.3921568627450993</v>
      </c>
      <c r="C35" s="68">
        <v>4.4107142857142847</v>
      </c>
      <c r="D35" s="19">
        <v>4.666666666666667</v>
      </c>
      <c r="E35" s="22">
        <v>4.6666666666666661</v>
      </c>
      <c r="F35" s="68">
        <v>4.6000000000000014</v>
      </c>
      <c r="G35" s="19">
        <v>4.384615384615385</v>
      </c>
      <c r="H35" s="80" t="s">
        <v>65</v>
      </c>
      <c r="I35" s="80" t="s">
        <v>65</v>
      </c>
      <c r="J35" s="19">
        <v>4.666666666666667</v>
      </c>
      <c r="K35" s="80" t="s">
        <v>65</v>
      </c>
      <c r="L35" s="22">
        <v>5</v>
      </c>
      <c r="M35" s="80" t="s">
        <v>65</v>
      </c>
      <c r="N35" s="22">
        <v>5</v>
      </c>
      <c r="O35" s="22">
        <v>4.125</v>
      </c>
      <c r="P35" s="58" t="s">
        <v>65</v>
      </c>
      <c r="Q35" s="58" t="s">
        <v>65</v>
      </c>
    </row>
    <row r="36" spans="1:17" ht="24" customHeight="1" thickBot="1">
      <c r="A36" s="79" t="s">
        <v>82</v>
      </c>
      <c r="B36" s="68">
        <v>4.3529411764705896</v>
      </c>
      <c r="C36" s="68">
        <v>4.3392857142857144</v>
      </c>
      <c r="D36" s="19">
        <v>4.333333333333333</v>
      </c>
      <c r="E36" s="22">
        <v>4.6481481481481479</v>
      </c>
      <c r="F36" s="68">
        <v>4.6444444444444448</v>
      </c>
      <c r="G36" s="19">
        <v>4.5384615384615383</v>
      </c>
      <c r="H36" s="80" t="s">
        <v>65</v>
      </c>
      <c r="I36" s="80" t="s">
        <v>65</v>
      </c>
      <c r="J36" s="19">
        <v>4.666666666666667</v>
      </c>
      <c r="K36" s="80" t="s">
        <v>65</v>
      </c>
      <c r="L36" s="22">
        <v>5</v>
      </c>
      <c r="M36" s="80" t="s">
        <v>65</v>
      </c>
      <c r="N36" s="22">
        <v>5</v>
      </c>
      <c r="O36" s="22">
        <v>4.125</v>
      </c>
      <c r="P36" s="58" t="s">
        <v>65</v>
      </c>
      <c r="Q36" s="58" t="s">
        <v>65</v>
      </c>
    </row>
    <row r="37" spans="1:17" ht="24" customHeight="1" thickBot="1">
      <c r="A37" s="79" t="s">
        <v>83</v>
      </c>
      <c r="B37" s="68">
        <v>4.3137254901960791</v>
      </c>
      <c r="C37" s="68">
        <v>4.4107142857142838</v>
      </c>
      <c r="D37" s="19">
        <v>4.333333333333333</v>
      </c>
      <c r="E37" s="22">
        <v>4.629629629629628</v>
      </c>
      <c r="F37" s="68">
        <v>4.4888888888888889</v>
      </c>
      <c r="G37" s="19">
        <v>4.4615384615384617</v>
      </c>
      <c r="H37" s="80" t="s">
        <v>65</v>
      </c>
      <c r="I37" s="80" t="s">
        <v>65</v>
      </c>
      <c r="J37" s="19">
        <v>4.6190476190476195</v>
      </c>
      <c r="K37" s="80" t="s">
        <v>65</v>
      </c>
      <c r="L37" s="22">
        <v>5</v>
      </c>
      <c r="M37" s="80" t="s">
        <v>65</v>
      </c>
      <c r="N37" s="22">
        <v>5</v>
      </c>
      <c r="O37" s="22">
        <v>4.0625</v>
      </c>
      <c r="P37" s="58" t="s">
        <v>65</v>
      </c>
      <c r="Q37" s="58" t="s">
        <v>65</v>
      </c>
    </row>
    <row r="38" spans="1:17" ht="24" customHeight="1" thickBot="1">
      <c r="A38" s="79" t="s">
        <v>84</v>
      </c>
      <c r="B38" s="68">
        <v>4.235294117647058</v>
      </c>
      <c r="C38" s="68">
        <v>4.3392857142857135</v>
      </c>
      <c r="D38" s="19">
        <v>4.333333333333333</v>
      </c>
      <c r="E38" s="22">
        <v>4.6111111111111089</v>
      </c>
      <c r="F38" s="68">
        <v>4.4666666666666668</v>
      </c>
      <c r="G38" s="19">
        <v>4.4615384615384617</v>
      </c>
      <c r="H38" s="80" t="s">
        <v>65</v>
      </c>
      <c r="I38" s="80" t="s">
        <v>65</v>
      </c>
      <c r="J38" s="19">
        <v>4.6190476190476186</v>
      </c>
      <c r="K38" s="80" t="s">
        <v>65</v>
      </c>
      <c r="L38" s="22">
        <v>5</v>
      </c>
      <c r="M38" s="80" t="s">
        <v>65</v>
      </c>
      <c r="N38" s="22">
        <v>5</v>
      </c>
      <c r="O38" s="22">
        <v>4.2499999999999991</v>
      </c>
      <c r="P38" s="58" t="s">
        <v>65</v>
      </c>
      <c r="Q38" s="58" t="s">
        <v>65</v>
      </c>
    </row>
    <row r="39" spans="1:17" ht="24" customHeight="1" thickBot="1">
      <c r="A39" s="79" t="s">
        <v>85</v>
      </c>
      <c r="B39" s="68">
        <v>4.3333333333333348</v>
      </c>
      <c r="C39" s="68">
        <v>4.3571428571428559</v>
      </c>
      <c r="D39" s="19">
        <v>4.333333333333333</v>
      </c>
      <c r="E39" s="22">
        <v>4.5925925925925917</v>
      </c>
      <c r="F39" s="68">
        <v>4.5555555555555571</v>
      </c>
      <c r="G39" s="19">
        <v>4.384615384615385</v>
      </c>
      <c r="H39" s="80" t="s">
        <v>65</v>
      </c>
      <c r="I39" s="80" t="s">
        <v>65</v>
      </c>
      <c r="J39" s="19">
        <v>4.666666666666667</v>
      </c>
      <c r="K39" s="80" t="s">
        <v>65</v>
      </c>
      <c r="L39" s="22">
        <v>5</v>
      </c>
      <c r="M39" s="80" t="s">
        <v>65</v>
      </c>
      <c r="N39" s="22">
        <v>5</v>
      </c>
      <c r="O39" s="22">
        <v>4.2499999999999991</v>
      </c>
      <c r="P39" s="58" t="s">
        <v>65</v>
      </c>
      <c r="Q39" s="58" t="s">
        <v>65</v>
      </c>
    </row>
    <row r="40" spans="1:17" ht="24" customHeight="1" thickBot="1">
      <c r="A40" s="79" t="s">
        <v>86</v>
      </c>
      <c r="B40" s="68">
        <v>4.3137254901960791</v>
      </c>
      <c r="C40" s="68">
        <v>4.3928571428571423</v>
      </c>
      <c r="D40" s="19">
        <v>4.333333333333333</v>
      </c>
      <c r="E40" s="22">
        <v>4.4444444444444429</v>
      </c>
      <c r="F40" s="68">
        <v>4.488888888888888</v>
      </c>
      <c r="G40" s="19">
        <v>4.4615384615384617</v>
      </c>
      <c r="H40" s="80" t="s">
        <v>65</v>
      </c>
      <c r="I40" s="80" t="s">
        <v>65</v>
      </c>
      <c r="J40" s="19">
        <v>4.666666666666667</v>
      </c>
      <c r="K40" s="80" t="s">
        <v>65</v>
      </c>
      <c r="L40" s="22">
        <v>4.333333333333333</v>
      </c>
      <c r="M40" s="80" t="s">
        <v>65</v>
      </c>
      <c r="N40" s="22">
        <v>5</v>
      </c>
      <c r="O40" s="22">
        <v>4.1875</v>
      </c>
      <c r="P40" s="58" t="s">
        <v>65</v>
      </c>
      <c r="Q40" s="58" t="s">
        <v>65</v>
      </c>
    </row>
    <row r="41" spans="1:17" ht="24" customHeight="1" thickBot="1">
      <c r="A41" s="79" t="s">
        <v>87</v>
      </c>
      <c r="B41" s="68">
        <v>4.4313725490196072</v>
      </c>
      <c r="C41" s="68">
        <v>4.4107142857142856</v>
      </c>
      <c r="D41" s="19">
        <v>4.333333333333333</v>
      </c>
      <c r="E41" s="22">
        <v>4.666666666666667</v>
      </c>
      <c r="F41" s="68">
        <v>4.555555555555558</v>
      </c>
      <c r="G41" s="19">
        <v>4.384615384615385</v>
      </c>
      <c r="H41" s="80" t="s">
        <v>65</v>
      </c>
      <c r="I41" s="80" t="s">
        <v>65</v>
      </c>
      <c r="J41" s="19">
        <v>4.5238095238095237</v>
      </c>
      <c r="K41" s="80" t="s">
        <v>65</v>
      </c>
      <c r="L41" s="22">
        <v>5</v>
      </c>
      <c r="M41" s="80" t="s">
        <v>65</v>
      </c>
      <c r="N41" s="22">
        <v>5</v>
      </c>
      <c r="O41" s="22">
        <v>4.1875</v>
      </c>
      <c r="P41" s="58" t="s">
        <v>65</v>
      </c>
      <c r="Q41" s="58" t="s">
        <v>65</v>
      </c>
    </row>
    <row r="42" spans="1:17" ht="24" customHeight="1" thickBot="1">
      <c r="A42" s="79" t="s">
        <v>88</v>
      </c>
      <c r="B42" s="68">
        <v>4.4509803921568638</v>
      </c>
      <c r="C42" s="68">
        <v>4.3928571428571406</v>
      </c>
      <c r="D42" s="19">
        <v>4.666666666666667</v>
      </c>
      <c r="E42" s="22">
        <v>4.6851851851851869</v>
      </c>
      <c r="F42" s="68">
        <v>4.5333333333333332</v>
      </c>
      <c r="G42" s="19">
        <v>4.5384615384615383</v>
      </c>
      <c r="H42" s="80" t="s">
        <v>65</v>
      </c>
      <c r="I42" s="80" t="s">
        <v>65</v>
      </c>
      <c r="J42" s="19">
        <v>4.7619047619047628</v>
      </c>
      <c r="K42" s="80" t="s">
        <v>65</v>
      </c>
      <c r="L42" s="22">
        <v>4.666666666666667</v>
      </c>
      <c r="M42" s="80" t="s">
        <v>65</v>
      </c>
      <c r="N42" s="22">
        <v>5</v>
      </c>
      <c r="O42" s="22">
        <v>4.0625</v>
      </c>
      <c r="P42" s="58" t="s">
        <v>65</v>
      </c>
      <c r="Q42" s="58" t="s">
        <v>65</v>
      </c>
    </row>
    <row r="43" spans="1:17" ht="24" customHeight="1">
      <c r="A43" s="7" t="s">
        <v>9</v>
      </c>
      <c r="B43" s="68">
        <v>4.3161764705882337</v>
      </c>
      <c r="C43" s="68">
        <v>4.3794642857142874</v>
      </c>
      <c r="D43" s="19">
        <v>4.5</v>
      </c>
      <c r="E43" s="22">
        <v>4.5868055555555571</v>
      </c>
      <c r="F43" s="68">
        <v>4.5166666666666657</v>
      </c>
      <c r="G43" s="19">
        <v>4.4759615384615383</v>
      </c>
      <c r="H43" s="80" t="s">
        <v>65</v>
      </c>
      <c r="I43" s="80" t="s">
        <v>65</v>
      </c>
      <c r="J43" s="19">
        <v>4.625</v>
      </c>
      <c r="K43" s="80" t="s">
        <v>65</v>
      </c>
      <c r="L43" s="22">
        <v>4.895833333333333</v>
      </c>
      <c r="M43" s="80" t="s">
        <v>65</v>
      </c>
      <c r="N43" s="22">
        <v>5</v>
      </c>
      <c r="O43" s="22">
        <v>4.1875</v>
      </c>
      <c r="P43" s="58" t="s">
        <v>65</v>
      </c>
      <c r="Q43" s="58" t="s">
        <v>65</v>
      </c>
    </row>
    <row r="44" spans="1:17">
      <c r="A44" s="7" t="s">
        <v>10</v>
      </c>
      <c r="B44" s="84">
        <f t="shared" ref="B44:G44" si="1">B43*20</f>
        <v>86.323529411764667</v>
      </c>
      <c r="C44" s="84">
        <f t="shared" si="1"/>
        <v>87.589285714285751</v>
      </c>
      <c r="D44" s="84">
        <f t="shared" si="1"/>
        <v>90</v>
      </c>
      <c r="E44" s="84">
        <f t="shared" si="1"/>
        <v>91.736111111111143</v>
      </c>
      <c r="F44" s="84">
        <f t="shared" si="1"/>
        <v>90.333333333333314</v>
      </c>
      <c r="G44" s="84">
        <f t="shared" si="1"/>
        <v>89.519230769230774</v>
      </c>
      <c r="H44" s="58" t="s">
        <v>65</v>
      </c>
      <c r="I44" s="58" t="s">
        <v>65</v>
      </c>
      <c r="J44" s="84">
        <f t="shared" ref="J44" si="2">J43*20</f>
        <v>92.5</v>
      </c>
      <c r="K44" s="58" t="s">
        <v>65</v>
      </c>
      <c r="L44" s="84">
        <f>L43*20</f>
        <v>97.916666666666657</v>
      </c>
      <c r="M44" s="58" t="s">
        <v>65</v>
      </c>
      <c r="N44" s="84">
        <f>N43*20</f>
        <v>100</v>
      </c>
      <c r="O44" s="84">
        <f>O43*20</f>
        <v>83.75</v>
      </c>
      <c r="P44" s="58" t="s">
        <v>65</v>
      </c>
      <c r="Q44" s="58" t="s">
        <v>65</v>
      </c>
    </row>
    <row r="45" spans="1:17">
      <c r="A45" s="69" t="s">
        <v>44</v>
      </c>
      <c r="B45" s="85">
        <v>92.156862745098039</v>
      </c>
      <c r="C45" s="81">
        <v>83.928571428571431</v>
      </c>
      <c r="D45" s="85">
        <v>66.666666666666671</v>
      </c>
      <c r="E45" s="85">
        <v>88.888888888888886</v>
      </c>
      <c r="F45" s="85">
        <v>97.777777777777771</v>
      </c>
      <c r="G45" s="85">
        <v>100</v>
      </c>
      <c r="H45" s="86" t="s">
        <v>66</v>
      </c>
      <c r="I45" s="86" t="s">
        <v>66</v>
      </c>
      <c r="J45" s="85">
        <v>100</v>
      </c>
      <c r="K45" s="86" t="s">
        <v>66</v>
      </c>
      <c r="L45" s="81">
        <v>100</v>
      </c>
      <c r="M45" s="86" t="s">
        <v>66</v>
      </c>
      <c r="N45" s="81">
        <v>100</v>
      </c>
      <c r="O45" s="81">
        <v>87.5</v>
      </c>
      <c r="P45" s="86" t="s">
        <v>66</v>
      </c>
      <c r="Q45" s="86" t="s">
        <v>66</v>
      </c>
    </row>
    <row r="47" spans="1:17" ht="24" customHeight="1"/>
    <row r="48" spans="1:17" s="13" customFormat="1" ht="24" customHeight="1">
      <c r="A48" s="6" t="s">
        <v>0</v>
      </c>
      <c r="B48" s="5" t="s">
        <v>46</v>
      </c>
      <c r="C48" s="5" t="s">
        <v>12</v>
      </c>
      <c r="D48" s="5" t="s">
        <v>48</v>
      </c>
      <c r="E48" s="5" t="s">
        <v>89</v>
      </c>
      <c r="F48" s="5" t="s">
        <v>14</v>
      </c>
      <c r="G48" s="5" t="s">
        <v>92</v>
      </c>
      <c r="H48" s="16" t="s">
        <v>52</v>
      </c>
      <c r="I48" s="5" t="s">
        <v>15</v>
      </c>
      <c r="J48" s="5" t="s">
        <v>16</v>
      </c>
      <c r="K48" s="5" t="s">
        <v>17</v>
      </c>
      <c r="L48" s="5" t="s">
        <v>18</v>
      </c>
      <c r="M48" s="5" t="s">
        <v>19</v>
      </c>
      <c r="N48" s="5" t="s">
        <v>47</v>
      </c>
      <c r="O48" s="5" t="s">
        <v>20</v>
      </c>
      <c r="P48" s="5" t="s">
        <v>21</v>
      </c>
    </row>
    <row r="49" spans="1:16" s="24" customFormat="1" ht="24" customHeight="1" thickBot="1">
      <c r="A49" s="7" t="s">
        <v>8</v>
      </c>
      <c r="B49" s="23">
        <v>34</v>
      </c>
      <c r="C49" s="29">
        <v>39</v>
      </c>
      <c r="D49" s="23">
        <v>27</v>
      </c>
      <c r="E49" s="23">
        <v>5</v>
      </c>
      <c r="F49" s="23">
        <v>11</v>
      </c>
      <c r="G49" s="23">
        <v>15</v>
      </c>
      <c r="H49" s="58" t="s">
        <v>65</v>
      </c>
      <c r="I49" s="23">
        <v>59</v>
      </c>
      <c r="J49" s="23">
        <v>35</v>
      </c>
      <c r="K49" s="58">
        <v>157</v>
      </c>
      <c r="L49" s="25">
        <v>32</v>
      </c>
      <c r="M49" s="26">
        <v>41</v>
      </c>
      <c r="N49" s="23">
        <v>42</v>
      </c>
      <c r="O49" s="58" t="s">
        <v>65</v>
      </c>
      <c r="P49" s="23">
        <v>37</v>
      </c>
    </row>
    <row r="50" spans="1:16" ht="24" customHeight="1" thickBot="1">
      <c r="A50" s="78" t="s">
        <v>73</v>
      </c>
      <c r="B50" s="20">
        <v>4.8235294117647065</v>
      </c>
      <c r="C50" s="30">
        <v>4.2051282051282071</v>
      </c>
      <c r="D50" s="20">
        <v>4.6296296296296298</v>
      </c>
      <c r="E50" s="20">
        <v>4.8</v>
      </c>
      <c r="F50" s="20">
        <v>4.3636363636363633</v>
      </c>
      <c r="G50" s="20">
        <v>4.7333333333333343</v>
      </c>
      <c r="H50" s="58" t="s">
        <v>65</v>
      </c>
      <c r="I50" s="20">
        <v>4.3389830508474576</v>
      </c>
      <c r="J50" s="20">
        <v>4.7714285714285705</v>
      </c>
      <c r="K50" s="68">
        <v>4.643312101910829</v>
      </c>
      <c r="L50" s="20">
        <v>4.5624999999999991</v>
      </c>
      <c r="M50" s="20">
        <v>4.5609756097560963</v>
      </c>
      <c r="N50" s="20">
        <v>4.5238095238095237</v>
      </c>
      <c r="O50" s="58" t="s">
        <v>65</v>
      </c>
      <c r="P50" s="21">
        <v>4.5405405405405403</v>
      </c>
    </row>
    <row r="51" spans="1:16" ht="24" customHeight="1" thickBot="1">
      <c r="A51" s="79" t="s">
        <v>74</v>
      </c>
      <c r="B51" s="20">
        <v>4.8235294117647065</v>
      </c>
      <c r="C51" s="30">
        <v>4.1538461538461524</v>
      </c>
      <c r="D51" s="20">
        <v>4.6296296296296298</v>
      </c>
      <c r="E51" s="20">
        <v>4.8</v>
      </c>
      <c r="F51" s="20">
        <v>4.5454545454545459</v>
      </c>
      <c r="G51" s="20">
        <v>4.6666666666666679</v>
      </c>
      <c r="H51" s="58" t="s">
        <v>65</v>
      </c>
      <c r="I51" s="20">
        <v>4.4745762711864403</v>
      </c>
      <c r="J51" s="20">
        <v>4.8</v>
      </c>
      <c r="K51" s="68">
        <v>4.6433121019108308</v>
      </c>
      <c r="L51" s="20">
        <v>4.5624999999999982</v>
      </c>
      <c r="M51" s="20">
        <v>4.536585365853659</v>
      </c>
      <c r="N51" s="20">
        <v>4.4761904761904763</v>
      </c>
      <c r="O51" s="58" t="s">
        <v>65</v>
      </c>
      <c r="P51" s="21">
        <v>4.5135135135135123</v>
      </c>
    </row>
    <row r="52" spans="1:16" ht="24" customHeight="1" thickBot="1">
      <c r="A52" s="79" t="s">
        <v>75</v>
      </c>
      <c r="B52" s="20">
        <v>4.7941176470588251</v>
      </c>
      <c r="C52" s="30">
        <v>4.1282051282051286</v>
      </c>
      <c r="D52" s="20">
        <v>4.5555555555555554</v>
      </c>
      <c r="E52" s="20">
        <v>4.8</v>
      </c>
      <c r="F52" s="20">
        <v>4.5454545454545459</v>
      </c>
      <c r="G52" s="20">
        <v>4.6666666666666679</v>
      </c>
      <c r="H52" s="58" t="s">
        <v>65</v>
      </c>
      <c r="I52" s="20">
        <v>4.4576271186440675</v>
      </c>
      <c r="J52" s="20">
        <v>4.742857142857142</v>
      </c>
      <c r="K52" s="68">
        <v>4.5923566878980919</v>
      </c>
      <c r="L52" s="20">
        <v>4.46875</v>
      </c>
      <c r="M52" s="20">
        <v>4.4878048780487791</v>
      </c>
      <c r="N52" s="20">
        <v>4.4523809523809517</v>
      </c>
      <c r="O52" s="58" t="s">
        <v>65</v>
      </c>
      <c r="P52" s="21">
        <v>4.4864864864864868</v>
      </c>
    </row>
    <row r="53" spans="1:16" ht="24" customHeight="1" thickBot="1">
      <c r="A53" s="79" t="s">
        <v>76</v>
      </c>
      <c r="B53" s="20">
        <v>4.735294117647058</v>
      </c>
      <c r="C53" s="30">
        <v>4.1538461538461524</v>
      </c>
      <c r="D53" s="20">
        <v>4.5925925925925934</v>
      </c>
      <c r="E53" s="20">
        <v>4.5999999999999996</v>
      </c>
      <c r="F53" s="20">
        <v>4.4545454545454541</v>
      </c>
      <c r="G53" s="20">
        <v>4.7333333333333343</v>
      </c>
      <c r="H53" s="58" t="s">
        <v>65</v>
      </c>
      <c r="I53" s="20">
        <v>4.406779661016949</v>
      </c>
      <c r="J53" s="20">
        <v>4.742857142857142</v>
      </c>
      <c r="K53" s="68">
        <v>4.6305732484076465</v>
      </c>
      <c r="L53" s="20">
        <v>4.46875</v>
      </c>
      <c r="M53" s="20">
        <v>4.3658536585365839</v>
      </c>
      <c r="N53" s="20">
        <v>4.4285714285714288</v>
      </c>
      <c r="O53" s="58" t="s">
        <v>65</v>
      </c>
      <c r="P53" s="21">
        <v>4.5135135135135123</v>
      </c>
    </row>
    <row r="54" spans="1:16" ht="24" customHeight="1" thickBot="1">
      <c r="A54" s="79" t="s">
        <v>77</v>
      </c>
      <c r="B54" s="20">
        <v>4.7352941176470598</v>
      </c>
      <c r="C54" s="30">
        <v>4.1538461538461524</v>
      </c>
      <c r="D54" s="20">
        <v>4.5925925925925934</v>
      </c>
      <c r="E54" s="20">
        <v>5</v>
      </c>
      <c r="F54" s="20">
        <v>4.4545454545454541</v>
      </c>
      <c r="G54" s="20">
        <v>4.7333333333333343</v>
      </c>
      <c r="H54" s="58" t="s">
        <v>65</v>
      </c>
      <c r="I54" s="20">
        <v>4.3728813559322042</v>
      </c>
      <c r="J54" s="20">
        <v>4.6857142857142851</v>
      </c>
      <c r="K54" s="68">
        <v>4.6751592356687901</v>
      </c>
      <c r="L54" s="20">
        <v>4.5</v>
      </c>
      <c r="M54" s="20">
        <v>4.3902439024390247</v>
      </c>
      <c r="N54" s="20">
        <v>4.4761904761904745</v>
      </c>
      <c r="O54" s="58" t="s">
        <v>65</v>
      </c>
      <c r="P54" s="21">
        <v>4.5405405405405403</v>
      </c>
    </row>
    <row r="55" spans="1:16" ht="24" customHeight="1" thickBot="1">
      <c r="A55" s="79" t="s">
        <v>78</v>
      </c>
      <c r="B55" s="20">
        <v>4.8235294117647074</v>
      </c>
      <c r="C55" s="30">
        <v>4.2051282051282071</v>
      </c>
      <c r="D55" s="20">
        <v>4.7037037037037042</v>
      </c>
      <c r="E55" s="20">
        <v>4.8</v>
      </c>
      <c r="F55" s="20">
        <v>4.5454545454545459</v>
      </c>
      <c r="G55" s="20">
        <v>4.8000000000000007</v>
      </c>
      <c r="H55" s="58" t="s">
        <v>65</v>
      </c>
      <c r="I55" s="20">
        <v>4.4745762711864403</v>
      </c>
      <c r="J55" s="20">
        <v>4.5714285714285712</v>
      </c>
      <c r="K55" s="68">
        <v>4.6878980891719744</v>
      </c>
      <c r="L55" s="20">
        <v>4.53125</v>
      </c>
      <c r="M55" s="20">
        <v>4.463414634146341</v>
      </c>
      <c r="N55" s="20">
        <v>4.5</v>
      </c>
      <c r="O55" s="58" t="s">
        <v>65</v>
      </c>
      <c r="P55" s="21">
        <v>4.486486486486486</v>
      </c>
    </row>
    <row r="56" spans="1:16" ht="24" customHeight="1" thickBot="1">
      <c r="A56" s="79" t="s">
        <v>79</v>
      </c>
      <c r="B56" s="20">
        <v>4.8823529411764701</v>
      </c>
      <c r="C56" s="30">
        <v>4.1794871794871797</v>
      </c>
      <c r="D56" s="20">
        <v>4.629629629629628</v>
      </c>
      <c r="E56" s="20">
        <v>5</v>
      </c>
      <c r="F56" s="20">
        <v>4.4545454545454541</v>
      </c>
      <c r="G56" s="20">
        <v>4.666666666666667</v>
      </c>
      <c r="H56" s="58" t="s">
        <v>65</v>
      </c>
      <c r="I56" s="20">
        <v>4.5084745762711878</v>
      </c>
      <c r="J56" s="20">
        <v>4.742857142857142</v>
      </c>
      <c r="K56" s="68">
        <v>4.7388535031847132</v>
      </c>
      <c r="L56" s="20">
        <v>4.4687500000000009</v>
      </c>
      <c r="M56" s="20">
        <v>4.6341463414634152</v>
      </c>
      <c r="N56" s="20">
        <v>4.5714285714285712</v>
      </c>
      <c r="O56" s="58" t="s">
        <v>65</v>
      </c>
      <c r="P56" s="21">
        <v>4.6216216216216202</v>
      </c>
    </row>
    <row r="57" spans="1:16" ht="24" customHeight="1" thickBot="1">
      <c r="A57" s="79" t="s">
        <v>80</v>
      </c>
      <c r="B57" s="20">
        <v>4.5882352941176476</v>
      </c>
      <c r="C57" s="30">
        <v>4.1794871794871797</v>
      </c>
      <c r="D57" s="20">
        <v>4.4814814814814818</v>
      </c>
      <c r="E57" s="20">
        <v>4.8</v>
      </c>
      <c r="F57" s="20">
        <v>4.454545454545455</v>
      </c>
      <c r="G57" s="20">
        <v>4.7333333333333343</v>
      </c>
      <c r="H57" s="58" t="s">
        <v>65</v>
      </c>
      <c r="I57" s="20">
        <v>4.3898305084745761</v>
      </c>
      <c r="J57" s="20">
        <v>4.7428571428571429</v>
      </c>
      <c r="K57" s="68">
        <v>4.5605095541401273</v>
      </c>
      <c r="L57" s="20">
        <v>4.5624999999999991</v>
      </c>
      <c r="M57" s="20">
        <v>4.414634146341462</v>
      </c>
      <c r="N57" s="20">
        <v>4.4047619047619051</v>
      </c>
      <c r="O57" s="58" t="s">
        <v>65</v>
      </c>
      <c r="P57" s="21">
        <v>4.5945945945945947</v>
      </c>
    </row>
    <row r="58" spans="1:16" ht="24" customHeight="1" thickBot="1">
      <c r="A58" s="79" t="s">
        <v>81</v>
      </c>
      <c r="B58" s="20">
        <v>4.7058823529411757</v>
      </c>
      <c r="C58" s="30">
        <v>4.2051282051282071</v>
      </c>
      <c r="D58" s="20">
        <v>4.5555555555555554</v>
      </c>
      <c r="E58" s="20">
        <v>4.8</v>
      </c>
      <c r="F58" s="20">
        <v>4.454545454545455</v>
      </c>
      <c r="G58" s="20">
        <v>4.7333333333333343</v>
      </c>
      <c r="H58" s="58" t="s">
        <v>65</v>
      </c>
      <c r="I58" s="20">
        <v>4.4406779661016946</v>
      </c>
      <c r="J58" s="20">
        <v>4.8857142857142852</v>
      </c>
      <c r="K58" s="68">
        <v>4.6942675159235678</v>
      </c>
      <c r="L58" s="20">
        <v>4.6249999999999991</v>
      </c>
      <c r="M58" s="20">
        <v>4.5853658536585371</v>
      </c>
      <c r="N58" s="20">
        <v>4.666666666666667</v>
      </c>
      <c r="O58" s="58" t="s">
        <v>65</v>
      </c>
      <c r="P58" s="21">
        <v>4.6216216216216219</v>
      </c>
    </row>
    <row r="59" spans="1:16" ht="24" customHeight="1" thickBot="1">
      <c r="A59" s="79" t="s">
        <v>82</v>
      </c>
      <c r="B59" s="20">
        <v>4.764705882352942</v>
      </c>
      <c r="C59" s="30">
        <v>4.2051282051282071</v>
      </c>
      <c r="D59" s="20">
        <v>4.6666666666666661</v>
      </c>
      <c r="E59" s="20">
        <v>4.8</v>
      </c>
      <c r="F59" s="20">
        <v>4.3636363636363633</v>
      </c>
      <c r="G59" s="20">
        <v>4.7333333333333343</v>
      </c>
      <c r="H59" s="58" t="s">
        <v>65</v>
      </c>
      <c r="I59" s="20">
        <v>4.4745762711864412</v>
      </c>
      <c r="J59" s="20">
        <v>4.7142857142857135</v>
      </c>
      <c r="K59" s="68">
        <v>4.6687898089171975</v>
      </c>
      <c r="L59" s="20">
        <v>4.4687499999999991</v>
      </c>
      <c r="M59" s="20">
        <v>4.463414634146341</v>
      </c>
      <c r="N59" s="20">
        <v>4.5476190476190483</v>
      </c>
      <c r="O59" s="58" t="s">
        <v>65</v>
      </c>
      <c r="P59" s="21">
        <v>4.6486486486486482</v>
      </c>
    </row>
    <row r="60" spans="1:16" ht="24" customHeight="1" thickBot="1">
      <c r="A60" s="79" t="s">
        <v>83</v>
      </c>
      <c r="B60" s="20">
        <v>4.764705882352942</v>
      </c>
      <c r="C60" s="30">
        <v>4.1794871794871797</v>
      </c>
      <c r="D60" s="20">
        <v>4.5555555555555562</v>
      </c>
      <c r="E60" s="20">
        <v>5</v>
      </c>
      <c r="F60" s="20">
        <v>4.5454545454545459</v>
      </c>
      <c r="G60" s="20">
        <v>4.7333333333333343</v>
      </c>
      <c r="H60" s="58" t="s">
        <v>65</v>
      </c>
      <c r="I60" s="20">
        <v>4.4237288135593227</v>
      </c>
      <c r="J60" s="20">
        <v>4.7714285714285714</v>
      </c>
      <c r="K60" s="68">
        <v>4.6687898089171984</v>
      </c>
      <c r="L60" s="20">
        <v>4.5937499999999991</v>
      </c>
      <c r="M60" s="20">
        <v>4.5121951219512182</v>
      </c>
      <c r="N60" s="20">
        <v>4.5476190476190483</v>
      </c>
      <c r="O60" s="58" t="s">
        <v>65</v>
      </c>
      <c r="P60" s="21">
        <v>4.621621621621621</v>
      </c>
    </row>
    <row r="61" spans="1:16" ht="24" customHeight="1" thickBot="1">
      <c r="A61" s="79" t="s">
        <v>84</v>
      </c>
      <c r="B61" s="20">
        <v>4.7941176470588243</v>
      </c>
      <c r="C61" s="30">
        <v>4.0769230769230775</v>
      </c>
      <c r="D61" s="20">
        <v>4.4814814814814818</v>
      </c>
      <c r="E61" s="20">
        <v>5</v>
      </c>
      <c r="F61" s="20">
        <v>4.5454545454545459</v>
      </c>
      <c r="G61" s="20">
        <v>4.7333333333333343</v>
      </c>
      <c r="H61" s="58" t="s">
        <v>65</v>
      </c>
      <c r="I61" s="20">
        <v>4.3728813559322024</v>
      </c>
      <c r="J61" s="20">
        <v>4.6285714285714281</v>
      </c>
      <c r="K61" s="68">
        <v>4.63694267515924</v>
      </c>
      <c r="L61" s="20">
        <v>4.6249999999999991</v>
      </c>
      <c r="M61" s="20">
        <v>4.3902439024390247</v>
      </c>
      <c r="N61" s="20">
        <v>4.4761904761904763</v>
      </c>
      <c r="O61" s="58" t="s">
        <v>65</v>
      </c>
      <c r="P61" s="21">
        <v>4.5675675675675675</v>
      </c>
    </row>
    <row r="62" spans="1:16" ht="24" customHeight="1" thickBot="1">
      <c r="A62" s="79" t="s">
        <v>85</v>
      </c>
      <c r="B62" s="20">
        <v>4.6470588235294112</v>
      </c>
      <c r="C62" s="30">
        <v>4.0769230769230775</v>
      </c>
      <c r="D62" s="20">
        <v>4.4814814814814818</v>
      </c>
      <c r="E62" s="20">
        <v>5</v>
      </c>
      <c r="F62" s="20">
        <v>4.5454545454545459</v>
      </c>
      <c r="G62" s="20">
        <v>4.6666666666666661</v>
      </c>
      <c r="H62" s="58" t="s">
        <v>65</v>
      </c>
      <c r="I62" s="20">
        <v>4.4406779661016937</v>
      </c>
      <c r="J62" s="20">
        <v>4.742857142857142</v>
      </c>
      <c r="K62" s="68">
        <v>4.6624203821656076</v>
      </c>
      <c r="L62" s="20">
        <v>4.4062499999999991</v>
      </c>
      <c r="M62" s="20">
        <v>4.463414634146341</v>
      </c>
      <c r="N62" s="20">
        <v>4.4523809523809517</v>
      </c>
      <c r="O62" s="58" t="s">
        <v>65</v>
      </c>
      <c r="P62" s="21">
        <v>4.5405405405405403</v>
      </c>
    </row>
    <row r="63" spans="1:16" ht="24" customHeight="1" thickBot="1">
      <c r="A63" s="79" t="s">
        <v>86</v>
      </c>
      <c r="B63" s="20">
        <v>4.6764705882352935</v>
      </c>
      <c r="C63" s="30">
        <v>4.2564102564102564</v>
      </c>
      <c r="D63" s="20">
        <v>4.5555555555555554</v>
      </c>
      <c r="E63" s="20">
        <v>5</v>
      </c>
      <c r="F63" s="20">
        <v>4.5454545454545459</v>
      </c>
      <c r="G63" s="20">
        <v>4.5333333333333332</v>
      </c>
      <c r="H63" s="58" t="s">
        <v>65</v>
      </c>
      <c r="I63" s="20">
        <v>4.4915254237288131</v>
      </c>
      <c r="J63" s="20">
        <v>4.7714285714285714</v>
      </c>
      <c r="K63" s="68">
        <v>4.656050955414015</v>
      </c>
      <c r="L63" s="20">
        <v>4.4375</v>
      </c>
      <c r="M63" s="20">
        <v>4.463414634146341</v>
      </c>
      <c r="N63" s="20">
        <v>4.6190476190476204</v>
      </c>
      <c r="O63" s="58" t="s">
        <v>65</v>
      </c>
      <c r="P63" s="21">
        <v>4.6216216216216219</v>
      </c>
    </row>
    <row r="64" spans="1:16" ht="24" customHeight="1" thickBot="1">
      <c r="A64" s="79" t="s">
        <v>87</v>
      </c>
      <c r="B64" s="20">
        <v>4.6764705882352935</v>
      </c>
      <c r="C64" s="30">
        <v>4.2051282051282071</v>
      </c>
      <c r="D64" s="20">
        <v>4.5555555555555554</v>
      </c>
      <c r="E64" s="20">
        <v>5</v>
      </c>
      <c r="F64" s="20">
        <v>4.5454545454545459</v>
      </c>
      <c r="G64" s="20">
        <v>4.5333333333333332</v>
      </c>
      <c r="H64" s="58" t="s">
        <v>65</v>
      </c>
      <c r="I64" s="20">
        <v>4.5084745762711878</v>
      </c>
      <c r="J64" s="20">
        <v>4.7714285714285714</v>
      </c>
      <c r="K64" s="68">
        <v>4.6369426751592391</v>
      </c>
      <c r="L64" s="20">
        <v>4.6874999999999991</v>
      </c>
      <c r="M64" s="20">
        <v>4.4878048780487791</v>
      </c>
      <c r="N64" s="20">
        <v>4.4761904761904763</v>
      </c>
      <c r="O64" s="58" t="s">
        <v>65</v>
      </c>
      <c r="P64" s="21">
        <v>4.6486486486486482</v>
      </c>
    </row>
    <row r="65" spans="1:16" ht="24" customHeight="1" thickBot="1">
      <c r="A65" s="79" t="s">
        <v>88</v>
      </c>
      <c r="B65" s="20">
        <v>4.6764705882352935</v>
      </c>
      <c r="C65" s="30">
        <v>4.1538461538461524</v>
      </c>
      <c r="D65" s="20">
        <v>4.7777777777777777</v>
      </c>
      <c r="E65" s="20">
        <v>5</v>
      </c>
      <c r="F65" s="20">
        <v>4.5454545454545459</v>
      </c>
      <c r="G65" s="20">
        <v>4.5999999999999996</v>
      </c>
      <c r="H65" s="58" t="s">
        <v>65</v>
      </c>
      <c r="I65" s="20">
        <v>4.5254237288135624</v>
      </c>
      <c r="J65" s="20">
        <v>4.9142857142857146</v>
      </c>
      <c r="K65" s="68">
        <v>4.7261146496815289</v>
      </c>
      <c r="L65" s="20">
        <v>4.53125</v>
      </c>
      <c r="M65" s="20">
        <v>4.4878048780487791</v>
      </c>
      <c r="N65" s="20">
        <v>4.5952380952380958</v>
      </c>
      <c r="O65" s="58" t="s">
        <v>65</v>
      </c>
      <c r="P65" s="21">
        <v>4.6756756756756772</v>
      </c>
    </row>
    <row r="66" spans="1:16" ht="24" customHeight="1">
      <c r="A66" s="7" t="s">
        <v>9</v>
      </c>
      <c r="B66" s="20">
        <v>4.7444852941176459</v>
      </c>
      <c r="C66" s="67">
        <v>4.1698717948717956</v>
      </c>
      <c r="D66" s="20">
        <v>4.5902777777777768</v>
      </c>
      <c r="E66" s="20">
        <v>4.8875000000000002</v>
      </c>
      <c r="F66" s="20">
        <v>4.4943181818181825</v>
      </c>
      <c r="G66" s="20">
        <v>4.6874999999999991</v>
      </c>
      <c r="H66" s="58" t="s">
        <v>65</v>
      </c>
      <c r="I66" s="20">
        <v>4.4438559322033893</v>
      </c>
      <c r="J66" s="20">
        <v>4.75</v>
      </c>
      <c r="K66" s="68">
        <v>4.6576433121019143</v>
      </c>
      <c r="L66" s="20">
        <v>4.53125</v>
      </c>
      <c r="M66" s="20">
        <v>4.4817073170731714</v>
      </c>
      <c r="N66" s="20">
        <v>4.5133928571428585</v>
      </c>
      <c r="O66" s="58" t="s">
        <v>65</v>
      </c>
      <c r="P66" s="21">
        <v>4.5777027027027026</v>
      </c>
    </row>
    <row r="67" spans="1:16">
      <c r="A67" s="7" t="s">
        <v>10</v>
      </c>
      <c r="B67" s="84">
        <f t="shared" ref="B67:D67" si="3">B66*20</f>
        <v>94.889705882352914</v>
      </c>
      <c r="C67" s="84">
        <f t="shared" si="3"/>
        <v>83.397435897435912</v>
      </c>
      <c r="D67" s="84">
        <f t="shared" si="3"/>
        <v>91.805555555555543</v>
      </c>
      <c r="E67" s="84">
        <f t="shared" ref="E67" si="4">E66*20</f>
        <v>97.75</v>
      </c>
      <c r="F67" s="84">
        <f t="shared" ref="F67:N67" si="5">F66*20</f>
        <v>89.886363636363654</v>
      </c>
      <c r="G67" s="84">
        <f t="shared" si="5"/>
        <v>93.749999999999986</v>
      </c>
      <c r="H67" s="58" t="s">
        <v>65</v>
      </c>
      <c r="I67" s="84">
        <f t="shared" si="5"/>
        <v>88.877118644067792</v>
      </c>
      <c r="J67" s="84">
        <f t="shared" si="5"/>
        <v>95</v>
      </c>
      <c r="K67" s="84">
        <f t="shared" si="5"/>
        <v>93.152866242038286</v>
      </c>
      <c r="L67" s="84">
        <f t="shared" si="5"/>
        <v>90.625</v>
      </c>
      <c r="M67" s="84">
        <f t="shared" si="5"/>
        <v>89.634146341463435</v>
      </c>
      <c r="N67" s="84">
        <f t="shared" si="5"/>
        <v>90.267857142857167</v>
      </c>
      <c r="O67" s="58" t="s">
        <v>65</v>
      </c>
      <c r="P67" s="84">
        <f>P66*20</f>
        <v>91.554054054054049</v>
      </c>
    </row>
    <row r="68" spans="1:16">
      <c r="A68" s="15" t="s">
        <v>44</v>
      </c>
      <c r="B68" s="85">
        <v>100</v>
      </c>
      <c r="C68" s="85">
        <v>100</v>
      </c>
      <c r="D68" s="85">
        <v>100</v>
      </c>
      <c r="E68" s="85">
        <v>100</v>
      </c>
      <c r="F68" s="85">
        <v>90.909090909090907</v>
      </c>
      <c r="G68" s="85">
        <v>100</v>
      </c>
      <c r="H68" s="86" t="s">
        <v>66</v>
      </c>
      <c r="I68" s="85">
        <v>100</v>
      </c>
      <c r="J68" s="87">
        <v>100</v>
      </c>
      <c r="K68" s="81">
        <v>99.363057324840767</v>
      </c>
      <c r="L68" s="85">
        <v>96.875</v>
      </c>
      <c r="M68" s="85">
        <v>100</v>
      </c>
      <c r="N68" s="85">
        <v>100</v>
      </c>
      <c r="O68" s="86" t="s">
        <v>66</v>
      </c>
      <c r="P68" s="85">
        <v>97.297297297297291</v>
      </c>
    </row>
    <row r="70" spans="1:16" ht="24" customHeight="1"/>
    <row r="71" spans="1:16" s="13" customFormat="1" ht="24" customHeight="1">
      <c r="A71" s="88" t="s">
        <v>0</v>
      </c>
      <c r="B71" s="5" t="s">
        <v>90</v>
      </c>
      <c r="C71" s="5" t="s">
        <v>91</v>
      </c>
      <c r="D71" s="5" t="s">
        <v>22</v>
      </c>
      <c r="E71" s="5" t="s">
        <v>23</v>
      </c>
      <c r="F71" s="5" t="s">
        <v>177</v>
      </c>
      <c r="G71" s="5" t="s">
        <v>24</v>
      </c>
      <c r="H71" s="8" t="s">
        <v>25</v>
      </c>
      <c r="I71" s="5" t="s">
        <v>26</v>
      </c>
      <c r="J71" s="5" t="s">
        <v>27</v>
      </c>
      <c r="K71" s="5" t="s">
        <v>28</v>
      </c>
      <c r="L71" s="5" t="s">
        <v>29</v>
      </c>
      <c r="M71" s="5" t="s">
        <v>30</v>
      </c>
      <c r="N71" s="5" t="s">
        <v>31</v>
      </c>
      <c r="O71" s="5" t="s">
        <v>32</v>
      </c>
      <c r="P71" s="5" t="s">
        <v>13</v>
      </c>
    </row>
    <row r="72" spans="1:16" s="24" customFormat="1" ht="24" customHeight="1" thickBot="1">
      <c r="A72" s="7" t="s">
        <v>8</v>
      </c>
      <c r="B72" s="23">
        <v>14</v>
      </c>
      <c r="C72" s="23">
        <v>64</v>
      </c>
      <c r="D72" s="23">
        <v>23</v>
      </c>
      <c r="E72" s="23">
        <v>75</v>
      </c>
      <c r="F72" s="23">
        <v>6</v>
      </c>
      <c r="G72" s="23">
        <v>42</v>
      </c>
      <c r="H72" s="23">
        <v>27</v>
      </c>
      <c r="I72" s="23">
        <v>69</v>
      </c>
      <c r="J72" s="23">
        <v>88</v>
      </c>
      <c r="K72" s="23">
        <v>90</v>
      </c>
      <c r="L72" s="23">
        <v>57</v>
      </c>
      <c r="M72" s="23">
        <v>52</v>
      </c>
      <c r="N72" s="58" t="s">
        <v>65</v>
      </c>
      <c r="O72" s="58">
        <v>59</v>
      </c>
      <c r="P72" s="18">
        <v>24</v>
      </c>
    </row>
    <row r="73" spans="1:16" ht="24" customHeight="1" thickBot="1">
      <c r="A73" s="78" t="s">
        <v>73</v>
      </c>
      <c r="B73" s="20">
        <v>4.3571428571428568</v>
      </c>
      <c r="C73" s="20">
        <v>4.5000000000000018</v>
      </c>
      <c r="D73" s="20">
        <v>4.6086956521739122</v>
      </c>
      <c r="E73" s="20">
        <v>4.5199999999999987</v>
      </c>
      <c r="F73" s="20">
        <v>4.5</v>
      </c>
      <c r="G73" s="20">
        <v>4.6904761904761889</v>
      </c>
      <c r="H73" s="20">
        <v>4.370370370370372</v>
      </c>
      <c r="I73" s="20">
        <v>4.4347826086956506</v>
      </c>
      <c r="J73" s="20">
        <v>4.4659090909090899</v>
      </c>
      <c r="K73" s="20">
        <v>4.6666666666666679</v>
      </c>
      <c r="L73" s="20">
        <v>4.7368421052631584</v>
      </c>
      <c r="M73" s="20">
        <v>4.75</v>
      </c>
      <c r="N73" s="58" t="s">
        <v>65</v>
      </c>
      <c r="O73" s="20">
        <v>4.6610169491525424</v>
      </c>
      <c r="P73" s="20">
        <v>4.5833333333333321</v>
      </c>
    </row>
    <row r="74" spans="1:16" ht="24" customHeight="1" thickBot="1">
      <c r="A74" s="79" t="s">
        <v>74</v>
      </c>
      <c r="B74" s="20">
        <v>4.5</v>
      </c>
      <c r="C74" s="20">
        <v>4.5</v>
      </c>
      <c r="D74" s="20">
        <v>4.5217391304347814</v>
      </c>
      <c r="E74" s="20">
        <v>4.506666666666665</v>
      </c>
      <c r="F74" s="20">
        <v>4.6666666666666661</v>
      </c>
      <c r="G74" s="20">
        <v>4.6428571428571415</v>
      </c>
      <c r="H74" s="20">
        <v>4.3703703703703711</v>
      </c>
      <c r="I74" s="20">
        <v>4.3043478260869579</v>
      </c>
      <c r="J74" s="20">
        <v>4.4999999999999982</v>
      </c>
      <c r="K74" s="20">
        <v>4.6777777777777798</v>
      </c>
      <c r="L74" s="20">
        <v>4.6666666666666661</v>
      </c>
      <c r="M74" s="20">
        <v>4.6538461538461524</v>
      </c>
      <c r="N74" s="58" t="s">
        <v>65</v>
      </c>
      <c r="O74" s="20">
        <v>4.6271186440677949</v>
      </c>
      <c r="P74" s="20">
        <v>4.5833333333333313</v>
      </c>
    </row>
    <row r="75" spans="1:16" ht="24" customHeight="1" thickBot="1">
      <c r="A75" s="79" t="s">
        <v>75</v>
      </c>
      <c r="B75" s="20">
        <v>4.4285714285714288</v>
      </c>
      <c r="C75" s="20">
        <v>4.3750000000000018</v>
      </c>
      <c r="D75" s="20">
        <v>4.6086956521739131</v>
      </c>
      <c r="E75" s="20">
        <v>4.4666666666666677</v>
      </c>
      <c r="F75" s="20">
        <v>4.5</v>
      </c>
      <c r="G75" s="20">
        <v>4.5476190476190474</v>
      </c>
      <c r="H75" s="20">
        <v>4.2962962962962949</v>
      </c>
      <c r="I75" s="20">
        <v>4.3768115942028976</v>
      </c>
      <c r="J75" s="20">
        <v>4.511363636363634</v>
      </c>
      <c r="K75" s="20">
        <v>4.6444444444444466</v>
      </c>
      <c r="L75" s="20">
        <v>4.6315789473684212</v>
      </c>
      <c r="M75" s="20">
        <v>4.5961538461538449</v>
      </c>
      <c r="N75" s="58" t="s">
        <v>65</v>
      </c>
      <c r="O75" s="20">
        <v>4.6271186440677976</v>
      </c>
      <c r="P75" s="20">
        <v>4.625</v>
      </c>
    </row>
    <row r="76" spans="1:16" ht="24" customHeight="1" thickBot="1">
      <c r="A76" s="79" t="s">
        <v>76</v>
      </c>
      <c r="B76" s="20">
        <v>4.4285714285714288</v>
      </c>
      <c r="C76" s="20">
        <v>4.4375</v>
      </c>
      <c r="D76" s="20">
        <v>4.6086956521739131</v>
      </c>
      <c r="E76" s="20">
        <v>4.5200000000000005</v>
      </c>
      <c r="F76" s="20">
        <v>4.5</v>
      </c>
      <c r="G76" s="20">
        <v>4.5952380952380949</v>
      </c>
      <c r="H76" s="20">
        <v>4.4444444444444446</v>
      </c>
      <c r="I76" s="20">
        <v>4.4347826086956506</v>
      </c>
      <c r="J76" s="20">
        <v>4.4090909090909083</v>
      </c>
      <c r="K76" s="20">
        <v>4.6555555555555559</v>
      </c>
      <c r="L76" s="20">
        <v>4.666666666666667</v>
      </c>
      <c r="M76" s="20">
        <v>4.5961538461538449</v>
      </c>
      <c r="N76" s="58" t="s">
        <v>65</v>
      </c>
      <c r="O76" s="20">
        <v>4.5762711864406764</v>
      </c>
      <c r="P76" s="20">
        <v>4.583333333333333</v>
      </c>
    </row>
    <row r="77" spans="1:16" ht="24" customHeight="1" thickBot="1">
      <c r="A77" s="79" t="s">
        <v>77</v>
      </c>
      <c r="B77" s="20">
        <v>4.2857142857142865</v>
      </c>
      <c r="C77" s="20">
        <v>4.515625</v>
      </c>
      <c r="D77" s="20">
        <v>4.6086956521739131</v>
      </c>
      <c r="E77" s="20">
        <v>4.4799999999999986</v>
      </c>
      <c r="F77" s="20">
        <v>4.5</v>
      </c>
      <c r="G77" s="20">
        <v>4.5714285714285721</v>
      </c>
      <c r="H77" s="20">
        <v>4.2962962962962967</v>
      </c>
      <c r="I77" s="20">
        <v>4.4202898550724639</v>
      </c>
      <c r="J77" s="20">
        <v>4.4659090909090899</v>
      </c>
      <c r="K77" s="20">
        <v>4.5888888888888895</v>
      </c>
      <c r="L77" s="20">
        <v>4.5087719298245599</v>
      </c>
      <c r="M77" s="20">
        <v>4.576923076923074</v>
      </c>
      <c r="N77" s="58" t="s">
        <v>65</v>
      </c>
      <c r="O77" s="20">
        <v>4.5932203389830502</v>
      </c>
      <c r="P77" s="20">
        <v>4.5833333333333321</v>
      </c>
    </row>
    <row r="78" spans="1:16" ht="24" customHeight="1" thickBot="1">
      <c r="A78" s="79" t="s">
        <v>78</v>
      </c>
      <c r="B78" s="20">
        <v>4.3571428571428568</v>
      </c>
      <c r="C78" s="20">
        <v>4.5468750000000027</v>
      </c>
      <c r="D78" s="20">
        <v>4.6086956521739131</v>
      </c>
      <c r="E78" s="20">
        <v>4.4666666666666677</v>
      </c>
      <c r="F78" s="20">
        <v>4.5</v>
      </c>
      <c r="G78" s="20">
        <v>4.5238095238095237</v>
      </c>
      <c r="H78" s="20">
        <v>4.4074074074074074</v>
      </c>
      <c r="I78" s="20">
        <v>4.4492753623188399</v>
      </c>
      <c r="J78" s="20">
        <v>4.4659090909090908</v>
      </c>
      <c r="K78" s="20">
        <v>4.6333333333333329</v>
      </c>
      <c r="L78" s="20">
        <v>4.4736842105263142</v>
      </c>
      <c r="M78" s="20">
        <v>4.5576923076923057</v>
      </c>
      <c r="N78" s="58" t="s">
        <v>65</v>
      </c>
      <c r="O78" s="20">
        <v>4.6271186440677958</v>
      </c>
      <c r="P78" s="20">
        <v>4.2499999999999991</v>
      </c>
    </row>
    <row r="79" spans="1:16" ht="24" customHeight="1" thickBot="1">
      <c r="A79" s="79" t="s">
        <v>79</v>
      </c>
      <c r="B79" s="20">
        <v>4.5</v>
      </c>
      <c r="C79" s="20">
        <v>4.625</v>
      </c>
      <c r="D79" s="20">
        <v>4.6521739130434785</v>
      </c>
      <c r="E79" s="20">
        <v>4.5199999999999987</v>
      </c>
      <c r="F79" s="20">
        <v>4.5</v>
      </c>
      <c r="G79" s="20">
        <v>4.6666666666666661</v>
      </c>
      <c r="H79" s="20">
        <v>4.481481481481481</v>
      </c>
      <c r="I79" s="20">
        <v>4.5362318840579698</v>
      </c>
      <c r="J79" s="20">
        <v>4.5340909090909074</v>
      </c>
      <c r="K79" s="20">
        <v>4.7222222222222232</v>
      </c>
      <c r="L79" s="20">
        <v>4.5438596491228056</v>
      </c>
      <c r="M79" s="20">
        <v>4.6730769230769242</v>
      </c>
      <c r="N79" s="58" t="s">
        <v>65</v>
      </c>
      <c r="O79" s="20">
        <v>4.6610169491525442</v>
      </c>
      <c r="P79" s="20">
        <v>4.6666666666666661</v>
      </c>
    </row>
    <row r="80" spans="1:16" ht="24" customHeight="1" thickBot="1">
      <c r="A80" s="79" t="s">
        <v>80</v>
      </c>
      <c r="B80" s="20">
        <v>4.3571428571428568</v>
      </c>
      <c r="C80" s="20">
        <v>4.4374999999999991</v>
      </c>
      <c r="D80" s="20">
        <v>4.4347826086956523</v>
      </c>
      <c r="E80" s="20">
        <v>4.4666666666666668</v>
      </c>
      <c r="F80" s="20">
        <v>4.3333333333333339</v>
      </c>
      <c r="G80" s="20">
        <v>4.5476190476190483</v>
      </c>
      <c r="H80" s="20">
        <v>4.4074074074074074</v>
      </c>
      <c r="I80" s="20">
        <v>4.3478260869565233</v>
      </c>
      <c r="J80" s="20">
        <v>4.4886363636363624</v>
      </c>
      <c r="K80" s="20">
        <v>4.6666666666666687</v>
      </c>
      <c r="L80" s="20">
        <v>4.3859649122807012</v>
      </c>
      <c r="M80" s="20">
        <v>4.5576923076923057</v>
      </c>
      <c r="N80" s="58" t="s">
        <v>65</v>
      </c>
      <c r="O80" s="20">
        <v>4.5762711864406764</v>
      </c>
      <c r="P80" s="20">
        <v>4.5416666666666661</v>
      </c>
    </row>
    <row r="81" spans="1:16" ht="24" customHeight="1" thickBot="1">
      <c r="A81" s="79" t="s">
        <v>81</v>
      </c>
      <c r="B81" s="20">
        <v>4.4285714285714288</v>
      </c>
      <c r="C81" s="20">
        <v>4.5625000000000009</v>
      </c>
      <c r="D81" s="20">
        <v>4.5217391304347831</v>
      </c>
      <c r="E81" s="20">
        <v>4.5733333333333341</v>
      </c>
      <c r="F81" s="20">
        <v>4.5</v>
      </c>
      <c r="G81" s="20">
        <v>4.738095238095239</v>
      </c>
      <c r="H81" s="20">
        <v>4.5185185185185182</v>
      </c>
      <c r="I81" s="20">
        <v>4.5362318840579698</v>
      </c>
      <c r="J81" s="20">
        <v>4.5795454545454568</v>
      </c>
      <c r="K81" s="20">
        <v>4.6777777777777816</v>
      </c>
      <c r="L81" s="20">
        <v>4.4912280701754366</v>
      </c>
      <c r="M81" s="20">
        <v>4.6730769230769242</v>
      </c>
      <c r="N81" s="58" t="s">
        <v>65</v>
      </c>
      <c r="O81" s="20">
        <v>4.6610169491525433</v>
      </c>
      <c r="P81" s="20">
        <v>4.583333333333333</v>
      </c>
    </row>
    <row r="82" spans="1:16" ht="24" customHeight="1" thickBot="1">
      <c r="A82" s="79" t="s">
        <v>82</v>
      </c>
      <c r="B82" s="20">
        <v>4.3571428571428568</v>
      </c>
      <c r="C82" s="20">
        <v>4.5312499999999991</v>
      </c>
      <c r="D82" s="20">
        <v>4.5652173913043486</v>
      </c>
      <c r="E82" s="20">
        <v>4.5200000000000005</v>
      </c>
      <c r="F82" s="20">
        <v>4.5</v>
      </c>
      <c r="G82" s="20">
        <v>4.666666666666667</v>
      </c>
      <c r="H82" s="20">
        <v>4.4814814814814818</v>
      </c>
      <c r="I82" s="20">
        <v>4.5217391304347823</v>
      </c>
      <c r="J82" s="20">
        <v>4.4886363636363633</v>
      </c>
      <c r="K82" s="20">
        <v>4.6777777777777798</v>
      </c>
      <c r="L82" s="20">
        <v>4.4912280701754375</v>
      </c>
      <c r="M82" s="20">
        <v>4.5769230769230758</v>
      </c>
      <c r="N82" s="58" t="s">
        <v>65</v>
      </c>
      <c r="O82" s="20">
        <v>4.610169491525423</v>
      </c>
      <c r="P82" s="20">
        <v>4.666666666666667</v>
      </c>
    </row>
    <row r="83" spans="1:16" ht="24" customHeight="1" thickBot="1">
      <c r="A83" s="79" t="s">
        <v>83</v>
      </c>
      <c r="B83" s="20">
        <v>4.3571428571428568</v>
      </c>
      <c r="C83" s="20">
        <v>4.578125</v>
      </c>
      <c r="D83" s="20">
        <v>4.6086956521739131</v>
      </c>
      <c r="E83" s="20">
        <v>4.506666666666665</v>
      </c>
      <c r="F83" s="20">
        <v>4.5</v>
      </c>
      <c r="G83" s="20">
        <v>4.7142857142857144</v>
      </c>
      <c r="H83" s="20">
        <v>4.4444444444444446</v>
      </c>
      <c r="I83" s="20">
        <v>4.4927536231884062</v>
      </c>
      <c r="J83" s="20">
        <v>4.5113636363636331</v>
      </c>
      <c r="K83" s="20">
        <v>4.7222222222222232</v>
      </c>
      <c r="L83" s="20">
        <v>4.5438596491228056</v>
      </c>
      <c r="M83" s="20">
        <v>4.6923076923076907</v>
      </c>
      <c r="N83" s="58" t="s">
        <v>65</v>
      </c>
      <c r="O83" s="20">
        <v>4.5762711864406764</v>
      </c>
      <c r="P83" s="20">
        <v>4.7499999999999991</v>
      </c>
    </row>
    <row r="84" spans="1:16" ht="24" customHeight="1" thickBot="1">
      <c r="A84" s="79" t="s">
        <v>84</v>
      </c>
      <c r="B84" s="20">
        <v>4.3571428571428568</v>
      </c>
      <c r="C84" s="20">
        <v>4.5468750000000027</v>
      </c>
      <c r="D84" s="20">
        <v>4.6086956521739131</v>
      </c>
      <c r="E84" s="20">
        <v>4.4800000000000004</v>
      </c>
      <c r="F84" s="20">
        <v>4.5</v>
      </c>
      <c r="G84" s="20">
        <v>4.5952380952380958</v>
      </c>
      <c r="H84" s="20">
        <v>4.4074074074074083</v>
      </c>
      <c r="I84" s="20">
        <v>4.4347826086956506</v>
      </c>
      <c r="J84" s="20">
        <v>4.4999999999999991</v>
      </c>
      <c r="K84" s="20">
        <v>4.7111111111111112</v>
      </c>
      <c r="L84" s="20">
        <v>4.5964912280701737</v>
      </c>
      <c r="M84" s="20">
        <v>4.6538461538461524</v>
      </c>
      <c r="N84" s="58" t="s">
        <v>65</v>
      </c>
      <c r="O84" s="20">
        <v>4.593220338983051</v>
      </c>
      <c r="P84" s="20">
        <v>4.5</v>
      </c>
    </row>
    <row r="85" spans="1:16" ht="24" customHeight="1" thickBot="1">
      <c r="A85" s="79" t="s">
        <v>85</v>
      </c>
      <c r="B85" s="20">
        <v>4.3571428571428568</v>
      </c>
      <c r="C85" s="20">
        <v>4.5468750000000018</v>
      </c>
      <c r="D85" s="20">
        <v>4.6521739130434776</v>
      </c>
      <c r="E85" s="20">
        <v>4.5199999999999978</v>
      </c>
      <c r="F85" s="20">
        <v>4.5</v>
      </c>
      <c r="G85" s="20">
        <v>4.6904761904761889</v>
      </c>
      <c r="H85" s="20">
        <v>4.3703703703703711</v>
      </c>
      <c r="I85" s="20">
        <v>4.4782608695652142</v>
      </c>
      <c r="J85" s="20">
        <v>4.511363636363634</v>
      </c>
      <c r="K85" s="20">
        <v>4.6666666666666679</v>
      </c>
      <c r="L85" s="20">
        <v>4.5614035087719298</v>
      </c>
      <c r="M85" s="20">
        <v>4.6538461538461524</v>
      </c>
      <c r="N85" s="58" t="s">
        <v>65</v>
      </c>
      <c r="O85" s="20">
        <v>4.5762711864406764</v>
      </c>
      <c r="P85" s="20">
        <v>4.666666666666667</v>
      </c>
    </row>
    <row r="86" spans="1:16" ht="24" customHeight="1" thickBot="1">
      <c r="A86" s="79" t="s">
        <v>86</v>
      </c>
      <c r="B86" s="20">
        <v>4.4285714285714288</v>
      </c>
      <c r="C86" s="20">
        <v>4.5468750000000018</v>
      </c>
      <c r="D86" s="20">
        <v>4.4782608695652186</v>
      </c>
      <c r="E86" s="20">
        <v>4.4799999999999995</v>
      </c>
      <c r="F86" s="20">
        <v>4.5</v>
      </c>
      <c r="G86" s="20">
        <v>4.6428571428571415</v>
      </c>
      <c r="H86" s="20">
        <v>4.3703703703703711</v>
      </c>
      <c r="I86" s="20">
        <v>4.5072463768115929</v>
      </c>
      <c r="J86" s="20">
        <v>4.5227272727272734</v>
      </c>
      <c r="K86" s="20">
        <v>4.6999999999999993</v>
      </c>
      <c r="L86" s="20">
        <v>4.5438596491228056</v>
      </c>
      <c r="M86" s="20">
        <v>4.6538461538461524</v>
      </c>
      <c r="N86" s="58" t="s">
        <v>65</v>
      </c>
      <c r="O86" s="20">
        <v>4.610169491525423</v>
      </c>
      <c r="P86" s="20">
        <v>4.833333333333333</v>
      </c>
    </row>
    <row r="87" spans="1:16" ht="24" customHeight="1" thickBot="1">
      <c r="A87" s="79" t="s">
        <v>87</v>
      </c>
      <c r="B87" s="20">
        <v>4.3571428571428568</v>
      </c>
      <c r="C87" s="20">
        <v>4.5937500000000009</v>
      </c>
      <c r="D87" s="20">
        <v>4.5652173913043486</v>
      </c>
      <c r="E87" s="20">
        <v>4.4933333333333314</v>
      </c>
      <c r="F87" s="20">
        <v>4.5</v>
      </c>
      <c r="G87" s="20">
        <v>4.6190476190476186</v>
      </c>
      <c r="H87" s="20">
        <v>4.4074074074074083</v>
      </c>
      <c r="I87" s="20">
        <v>4.5652173913043468</v>
      </c>
      <c r="J87" s="20">
        <v>4.5113636363636331</v>
      </c>
      <c r="K87" s="20">
        <v>4.7222222222222241</v>
      </c>
      <c r="L87" s="20">
        <v>4.6315789473684204</v>
      </c>
      <c r="M87" s="20">
        <v>4.6730769230769242</v>
      </c>
      <c r="N87" s="58" t="s">
        <v>65</v>
      </c>
      <c r="O87" s="20">
        <v>4.593220338983051</v>
      </c>
      <c r="P87" s="20">
        <v>4.7916666666666661</v>
      </c>
    </row>
    <row r="88" spans="1:16" ht="24" customHeight="1" thickBot="1">
      <c r="A88" s="79" t="s">
        <v>88</v>
      </c>
      <c r="B88" s="20">
        <v>4.5</v>
      </c>
      <c r="C88" s="20">
        <v>4.6874999999999991</v>
      </c>
      <c r="D88" s="20">
        <v>4.7826086956521738</v>
      </c>
      <c r="E88" s="20">
        <v>4.5333333333333323</v>
      </c>
      <c r="F88" s="20">
        <v>4.3333333333333339</v>
      </c>
      <c r="G88" s="20">
        <v>4.7142857142857144</v>
      </c>
      <c r="H88" s="20">
        <v>4.370370370370372</v>
      </c>
      <c r="I88" s="20">
        <v>4.608695652173914</v>
      </c>
      <c r="J88" s="20">
        <v>4.5568181818181834</v>
      </c>
      <c r="K88" s="20">
        <v>4.6999999999999984</v>
      </c>
      <c r="L88" s="20">
        <v>4.6315789473684204</v>
      </c>
      <c r="M88" s="20">
        <v>4.75</v>
      </c>
      <c r="N88" s="58" t="s">
        <v>65</v>
      </c>
      <c r="O88" s="20">
        <v>4.6610169491525424</v>
      </c>
      <c r="P88" s="20">
        <v>4.666666666666667</v>
      </c>
    </row>
    <row r="89" spans="1:16" ht="24" customHeight="1">
      <c r="A89" s="7" t="s">
        <v>9</v>
      </c>
      <c r="B89" s="20">
        <v>4.3973214285714279</v>
      </c>
      <c r="C89" s="20">
        <v>4.5332031249999991</v>
      </c>
      <c r="D89" s="20">
        <v>4.5896739130434785</v>
      </c>
      <c r="E89" s="20">
        <v>4.5033333333333321</v>
      </c>
      <c r="F89" s="20">
        <v>4.4895833333333339</v>
      </c>
      <c r="G89" s="20">
        <v>4.6354166666666652</v>
      </c>
      <c r="H89" s="20">
        <v>4.4027777777777777</v>
      </c>
      <c r="I89" s="20">
        <v>4.4655797101449268</v>
      </c>
      <c r="J89" s="20">
        <v>4.501420454545455</v>
      </c>
      <c r="K89" s="20">
        <v>4.6770833333333339</v>
      </c>
      <c r="L89" s="20">
        <v>4.5690789473684239</v>
      </c>
      <c r="M89" s="20">
        <v>4.6430288461538467</v>
      </c>
      <c r="N89" s="58" t="s">
        <v>65</v>
      </c>
      <c r="O89" s="20">
        <v>4.6144067796610182</v>
      </c>
      <c r="P89" s="20">
        <v>4.6171875000000009</v>
      </c>
    </row>
    <row r="90" spans="1:16" s="60" customFormat="1">
      <c r="A90" s="59" t="s">
        <v>10</v>
      </c>
      <c r="B90" s="83">
        <f t="shared" ref="B90:C90" si="6">B89*20</f>
        <v>87.946428571428555</v>
      </c>
      <c r="C90" s="83">
        <f t="shared" si="6"/>
        <v>90.664062499999986</v>
      </c>
      <c r="D90" s="83">
        <f>D89*20</f>
        <v>91.793478260869563</v>
      </c>
      <c r="E90" s="84">
        <f>E89*20</f>
        <v>90.066666666666634</v>
      </c>
      <c r="F90" s="84">
        <f>F89*20</f>
        <v>89.791666666666686</v>
      </c>
      <c r="G90" s="84">
        <f>G89*20</f>
        <v>92.7083333333333</v>
      </c>
      <c r="H90" s="84">
        <f t="shared" ref="H90:P90" si="7">H89*20</f>
        <v>88.055555555555557</v>
      </c>
      <c r="I90" s="84">
        <f t="shared" si="7"/>
        <v>89.311594202898533</v>
      </c>
      <c r="J90" s="84">
        <f t="shared" si="7"/>
        <v>90.028409090909093</v>
      </c>
      <c r="K90" s="84">
        <f t="shared" si="7"/>
        <v>93.541666666666686</v>
      </c>
      <c r="L90" s="84">
        <f t="shared" si="7"/>
        <v>91.381578947368482</v>
      </c>
      <c r="M90" s="84">
        <f t="shared" si="7"/>
        <v>92.860576923076934</v>
      </c>
      <c r="N90" s="58" t="s">
        <v>65</v>
      </c>
      <c r="O90" s="84">
        <f t="shared" ref="O90" si="8">O89*20</f>
        <v>92.28813559322036</v>
      </c>
      <c r="P90" s="84">
        <f t="shared" si="7"/>
        <v>92.343750000000014</v>
      </c>
    </row>
    <row r="91" spans="1:16">
      <c r="A91" s="15" t="s">
        <v>44</v>
      </c>
      <c r="B91" s="85">
        <v>92.857142857142861</v>
      </c>
      <c r="C91" s="85">
        <v>79.6875</v>
      </c>
      <c r="D91" s="85">
        <v>100</v>
      </c>
      <c r="E91" s="85">
        <v>100</v>
      </c>
      <c r="F91" s="85">
        <v>100</v>
      </c>
      <c r="G91" s="85">
        <v>95.238095238095241</v>
      </c>
      <c r="H91" s="85">
        <v>100</v>
      </c>
      <c r="I91" s="85">
        <v>98.550724637681157</v>
      </c>
      <c r="J91" s="85">
        <v>100</v>
      </c>
      <c r="K91" s="85">
        <v>100</v>
      </c>
      <c r="L91" s="85">
        <v>92.982456140350877</v>
      </c>
      <c r="M91" s="85">
        <v>100</v>
      </c>
      <c r="N91" s="86" t="s">
        <v>66</v>
      </c>
      <c r="O91" s="81">
        <v>100</v>
      </c>
      <c r="P91" s="85">
        <v>95.833333333333329</v>
      </c>
    </row>
    <row r="92" spans="1:16" ht="24" customHeight="1"/>
    <row r="93" spans="1:16" ht="24" customHeight="1"/>
    <row r="94" spans="1:16">
      <c r="B94" s="3"/>
      <c r="E94" s="9"/>
      <c r="F94" s="9"/>
    </row>
    <row r="95" spans="1:16">
      <c r="B95" s="3"/>
      <c r="E95" s="10"/>
      <c r="F95" s="10"/>
    </row>
    <row r="96" spans="1:16">
      <c r="B96" s="3"/>
      <c r="E96" s="10"/>
      <c r="F96" s="10"/>
    </row>
    <row r="97" spans="2:6">
      <c r="B97" s="3"/>
      <c r="E97" s="10"/>
      <c r="F97" s="10"/>
    </row>
    <row r="98" spans="2:6">
      <c r="B98" s="3"/>
      <c r="E98" s="10"/>
      <c r="F98" s="10"/>
    </row>
    <row r="99" spans="2:6">
      <c r="B99" s="3"/>
      <c r="E99" s="10"/>
      <c r="F99" s="10"/>
    </row>
    <row r="100" spans="2:6">
      <c r="B100" s="3"/>
      <c r="E100" s="10"/>
      <c r="F100" s="10"/>
    </row>
    <row r="101" spans="2:6">
      <c r="B101" s="3"/>
      <c r="E101" s="10"/>
      <c r="F101" s="10"/>
    </row>
    <row r="102" spans="2:6" ht="24" customHeight="1">
      <c r="B102" s="3"/>
      <c r="E102" s="10"/>
      <c r="F102" s="10"/>
    </row>
    <row r="103" spans="2:6" ht="24" customHeight="1">
      <c r="B103" s="3"/>
      <c r="E103" s="10"/>
      <c r="F103" s="10"/>
    </row>
    <row r="104" spans="2:6">
      <c r="B104" s="3"/>
      <c r="E104" s="10"/>
      <c r="F104" s="10"/>
    </row>
    <row r="105" spans="2:6">
      <c r="B105" s="3"/>
      <c r="E105" s="10"/>
      <c r="F105" s="10"/>
    </row>
    <row r="106" spans="2:6">
      <c r="B106" s="3"/>
      <c r="E106" s="10"/>
      <c r="F106" s="10"/>
    </row>
    <row r="107" spans="2:6">
      <c r="B107" s="3"/>
      <c r="E107" s="10"/>
      <c r="F107" s="10"/>
    </row>
    <row r="108" spans="2:6">
      <c r="B108" s="3"/>
      <c r="E108" s="10"/>
      <c r="F108" s="10"/>
    </row>
    <row r="109" spans="2:6">
      <c r="B109" s="3"/>
      <c r="E109" s="10"/>
      <c r="F109" s="10"/>
    </row>
    <row r="110" spans="2:6" ht="24" customHeight="1">
      <c r="B110" s="3"/>
      <c r="E110" s="10"/>
      <c r="F110" s="10"/>
    </row>
    <row r="111" spans="2:6" ht="24" customHeight="1">
      <c r="B111" s="3"/>
      <c r="E111" s="10"/>
      <c r="F111" s="10"/>
    </row>
    <row r="112" spans="2:6">
      <c r="B112" s="3"/>
      <c r="E112" s="11"/>
      <c r="F112" s="11"/>
    </row>
    <row r="113" spans="2:6">
      <c r="B113" s="3"/>
      <c r="E113" s="11"/>
      <c r="F113" s="11"/>
    </row>
    <row r="114" spans="2:6">
      <c r="B114" s="3"/>
    </row>
  </sheetData>
  <mergeCells count="1">
    <mergeCell ref="A1:P1"/>
  </mergeCells>
  <pageMargins left="0.31496062992125984" right="0" top="0.51181102362204722" bottom="0.11811023622047245" header="0.31496062992125984" footer="0.31496062992125984"/>
  <pageSetup scale="68" orientation="landscape" r:id="rId1"/>
  <rowBreaks count="4" manualBreakCount="4">
    <brk id="23" max="16383" man="1"/>
    <brk id="46" max="16383" man="1"/>
    <brk id="69" max="16383" man="1"/>
    <brk id="92"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43"/>
  <sheetViews>
    <sheetView tabSelected="1" topLeftCell="A54" zoomScale="115" zoomScaleNormal="115" zoomScaleSheetLayoutView="120" workbookViewId="0">
      <selection activeCell="A61" sqref="A61:XFD61"/>
    </sheetView>
  </sheetViews>
  <sheetFormatPr defaultColWidth="9" defaultRowHeight="21"/>
  <cols>
    <col min="1" max="1" width="4.75" style="32" customWidth="1"/>
    <col min="2" max="2" width="27.625" style="32" customWidth="1"/>
    <col min="3" max="7" width="12" style="32" customWidth="1"/>
    <col min="8" max="8" width="60.625" style="32" customWidth="1"/>
    <col min="9" max="9" width="14.75" style="32" customWidth="1"/>
    <col min="10" max="10" width="7.25" style="32" customWidth="1"/>
    <col min="11" max="16384" width="9" style="32"/>
  </cols>
  <sheetData>
    <row r="1" spans="1:9" s="46" customFormat="1" ht="43.5" customHeight="1">
      <c r="A1" s="91" t="s">
        <v>96</v>
      </c>
      <c r="B1" s="92"/>
      <c r="C1" s="92"/>
      <c r="D1" s="92"/>
      <c r="E1" s="92"/>
      <c r="F1" s="92"/>
      <c r="G1" s="92"/>
      <c r="H1" s="92"/>
      <c r="I1" s="92"/>
    </row>
    <row r="2" spans="1:9" s="46" customFormat="1">
      <c r="A2" s="90" t="s">
        <v>179</v>
      </c>
      <c r="B2" s="90"/>
      <c r="C2" s="90"/>
      <c r="D2" s="90"/>
      <c r="E2" s="90"/>
      <c r="F2" s="90"/>
      <c r="G2" s="90"/>
      <c r="H2" s="90"/>
    </row>
    <row r="3" spans="1:9" s="33" customFormat="1">
      <c r="A3" s="90" t="s">
        <v>180</v>
      </c>
      <c r="B3" s="90"/>
      <c r="C3" s="90"/>
      <c r="D3" s="90"/>
      <c r="E3" s="90"/>
      <c r="F3" s="90"/>
      <c r="G3" s="90"/>
      <c r="H3" s="90"/>
      <c r="I3" s="46"/>
    </row>
    <row r="4" spans="1:9" s="46" customFormat="1">
      <c r="A4" s="48" t="s">
        <v>53</v>
      </c>
      <c r="B4" s="48"/>
      <c r="C4" s="48"/>
      <c r="D4" s="48"/>
      <c r="E4" s="48"/>
      <c r="F4" s="49"/>
      <c r="G4" s="49"/>
      <c r="H4" s="49"/>
      <c r="I4" s="33"/>
    </row>
    <row r="5" spans="1:9" s="46" customFormat="1">
      <c r="B5" s="94" t="s">
        <v>182</v>
      </c>
      <c r="C5" s="94"/>
      <c r="D5" s="94"/>
      <c r="E5" s="94"/>
      <c r="F5" s="94"/>
      <c r="G5" s="94"/>
      <c r="H5" s="94"/>
    </row>
    <row r="6" spans="1:9" s="76" customFormat="1">
      <c r="A6" s="46"/>
      <c r="B6" s="94" t="s">
        <v>181</v>
      </c>
      <c r="C6" s="94"/>
      <c r="D6" s="94"/>
      <c r="E6" s="94"/>
      <c r="F6" s="94"/>
      <c r="G6" s="94"/>
      <c r="H6" s="94"/>
      <c r="I6" s="46"/>
    </row>
    <row r="7" spans="1:9" s="33" customFormat="1" ht="21.75" customHeight="1">
      <c r="A7" s="76"/>
      <c r="B7" s="95" t="s">
        <v>185</v>
      </c>
      <c r="C7" s="95"/>
      <c r="D7" s="95"/>
      <c r="E7" s="95"/>
      <c r="F7" s="95"/>
      <c r="G7" s="95"/>
      <c r="H7" s="95"/>
      <c r="I7" s="76"/>
    </row>
    <row r="8" spans="1:9" s="33" customFormat="1" ht="21.75" customHeight="1">
      <c r="B8" s="50" t="s">
        <v>0</v>
      </c>
      <c r="C8" s="51" t="s">
        <v>33</v>
      </c>
      <c r="D8" s="51" t="s">
        <v>34</v>
      </c>
      <c r="E8" s="51" t="s">
        <v>35</v>
      </c>
      <c r="F8" s="51" t="s">
        <v>36</v>
      </c>
      <c r="G8" s="51" t="s">
        <v>37</v>
      </c>
    </row>
    <row r="9" spans="1:9" s="33" customFormat="1" ht="21.75" customHeight="1">
      <c r="B9" s="52" t="s">
        <v>8</v>
      </c>
      <c r="C9" s="53">
        <v>688</v>
      </c>
      <c r="D9" s="53">
        <v>1224</v>
      </c>
      <c r="E9" s="61">
        <v>16</v>
      </c>
      <c r="F9" s="54" t="s">
        <v>193</v>
      </c>
      <c r="G9" s="54" t="s">
        <v>178</v>
      </c>
    </row>
    <row r="10" spans="1:9" s="33" customFormat="1" ht="21.75" customHeight="1">
      <c r="B10" s="52" t="s">
        <v>9</v>
      </c>
      <c r="C10" s="27">
        <v>4.4098837209302344</v>
      </c>
      <c r="D10" s="27">
        <v>4.5629595588235281</v>
      </c>
      <c r="E10" s="17">
        <v>4.1875</v>
      </c>
      <c r="F10" s="74">
        <v>4.8600000000000003</v>
      </c>
      <c r="G10" s="74">
        <v>4.4759615384615383</v>
      </c>
    </row>
    <row r="11" spans="1:9" s="33" customFormat="1" ht="21.75" customHeight="1">
      <c r="B11" s="52" t="s">
        <v>10</v>
      </c>
      <c r="C11" s="27">
        <v>88.197674418604706</v>
      </c>
      <c r="D11" s="27">
        <v>91.259191176470594</v>
      </c>
      <c r="E11" s="27">
        <v>83.75</v>
      </c>
      <c r="F11" s="75">
        <v>97.11</v>
      </c>
      <c r="G11" s="75">
        <v>89.519230769230774</v>
      </c>
    </row>
    <row r="12" spans="1:9" s="33" customFormat="1" ht="24" customHeight="1">
      <c r="B12" s="56"/>
      <c r="C12" s="57"/>
      <c r="D12" s="57"/>
      <c r="E12" s="57"/>
      <c r="F12" s="65"/>
      <c r="G12" s="65"/>
    </row>
    <row r="13" spans="1:9" s="33" customFormat="1" ht="24" customHeight="1">
      <c r="A13" s="93" t="s">
        <v>38</v>
      </c>
      <c r="B13" s="93"/>
      <c r="H13" s="33" t="s">
        <v>51</v>
      </c>
    </row>
    <row r="14" spans="1:9" s="33" customFormat="1" ht="24" customHeight="1">
      <c r="B14" s="36" t="s">
        <v>39</v>
      </c>
    </row>
    <row r="15" spans="1:9" s="64" customFormat="1" ht="24" customHeight="1">
      <c r="A15" s="32"/>
      <c r="B15" s="64" t="s">
        <v>127</v>
      </c>
      <c r="C15" s="34"/>
      <c r="D15" s="34"/>
      <c r="E15" s="34"/>
      <c r="F15" s="34"/>
      <c r="G15" s="34"/>
      <c r="H15" s="34"/>
      <c r="I15" s="32"/>
    </row>
    <row r="16" spans="1:9" s="64" customFormat="1" ht="24" customHeight="1">
      <c r="A16" s="32"/>
      <c r="B16" s="64" t="s">
        <v>126</v>
      </c>
      <c r="C16" s="34"/>
      <c r="D16" s="34"/>
      <c r="E16" s="34"/>
      <c r="F16" s="34"/>
      <c r="G16" s="34"/>
      <c r="H16" s="34"/>
      <c r="I16" s="32"/>
    </row>
    <row r="17" spans="1:9" s="64" customFormat="1" ht="24" customHeight="1">
      <c r="A17" s="32"/>
      <c r="B17" s="64" t="s">
        <v>128</v>
      </c>
      <c r="C17" s="34"/>
      <c r="D17" s="34"/>
      <c r="E17" s="34"/>
      <c r="F17" s="34"/>
      <c r="G17" s="34"/>
      <c r="H17" s="34"/>
      <c r="I17" s="32"/>
    </row>
    <row r="18" spans="1:9" s="64" customFormat="1" ht="24" customHeight="1">
      <c r="A18" s="32"/>
      <c r="B18" s="31" t="s">
        <v>101</v>
      </c>
      <c r="C18" s="34"/>
      <c r="D18" s="34"/>
      <c r="E18" s="34"/>
      <c r="F18" s="34"/>
      <c r="G18" s="34"/>
      <c r="H18" s="34"/>
      <c r="I18" s="32"/>
    </row>
    <row r="19" spans="1:9" s="64" customFormat="1" ht="24" customHeight="1">
      <c r="A19" s="32"/>
      <c r="B19" s="31" t="s">
        <v>102</v>
      </c>
      <c r="C19" s="34"/>
      <c r="D19" s="34"/>
      <c r="E19" s="34"/>
      <c r="F19" s="34"/>
      <c r="G19" s="34"/>
      <c r="H19" s="34"/>
      <c r="I19" s="32"/>
    </row>
    <row r="20" spans="1:9" s="64" customFormat="1" ht="24" customHeight="1">
      <c r="A20" s="32"/>
      <c r="B20" s="31" t="s">
        <v>120</v>
      </c>
      <c r="C20" s="34"/>
      <c r="D20" s="34"/>
      <c r="E20" s="34"/>
      <c r="F20" s="34"/>
      <c r="G20" s="34"/>
      <c r="H20" s="34"/>
      <c r="I20" s="32"/>
    </row>
    <row r="21" spans="1:9" s="64" customFormat="1" ht="24" customHeight="1">
      <c r="A21" s="32"/>
      <c r="B21" s="31" t="s">
        <v>98</v>
      </c>
      <c r="C21" s="34"/>
      <c r="D21" s="34"/>
      <c r="E21" s="34"/>
      <c r="F21" s="34"/>
      <c r="G21" s="34"/>
      <c r="H21" s="34"/>
      <c r="I21" s="32"/>
    </row>
    <row r="22" spans="1:9" s="64" customFormat="1" ht="24" customHeight="1">
      <c r="A22" s="32"/>
      <c r="B22" s="31" t="s">
        <v>113</v>
      </c>
      <c r="C22" s="34"/>
      <c r="D22" s="34"/>
      <c r="E22" s="34"/>
      <c r="F22" s="34"/>
      <c r="G22" s="34"/>
      <c r="H22" s="34"/>
      <c r="I22" s="32"/>
    </row>
    <row r="23" spans="1:9" s="64" customFormat="1" ht="24" customHeight="1">
      <c r="A23" s="32"/>
      <c r="B23" s="31" t="s">
        <v>115</v>
      </c>
      <c r="C23" s="34"/>
      <c r="D23" s="34"/>
      <c r="E23" s="34"/>
      <c r="F23" s="34"/>
      <c r="G23" s="34"/>
      <c r="H23" s="34"/>
      <c r="I23" s="32"/>
    </row>
    <row r="24" spans="1:9" s="64" customFormat="1" ht="24" customHeight="1">
      <c r="A24" s="32"/>
      <c r="B24" s="31" t="s">
        <v>123</v>
      </c>
      <c r="C24" s="34"/>
      <c r="D24" s="34"/>
      <c r="E24" s="34"/>
      <c r="F24" s="34"/>
      <c r="G24" s="34"/>
      <c r="H24" s="34"/>
      <c r="I24" s="32"/>
    </row>
    <row r="25" spans="1:9" s="64" customFormat="1" ht="24" customHeight="1">
      <c r="A25" s="32"/>
      <c r="B25" s="31" t="s">
        <v>99</v>
      </c>
      <c r="C25" s="34"/>
      <c r="D25" s="34"/>
      <c r="E25" s="34"/>
      <c r="F25" s="34"/>
      <c r="G25" s="34"/>
      <c r="H25" s="34"/>
      <c r="I25" s="32"/>
    </row>
    <row r="26" spans="1:9" s="64" customFormat="1" ht="24" customHeight="1">
      <c r="A26" s="32"/>
      <c r="B26" s="31" t="s">
        <v>100</v>
      </c>
      <c r="C26" s="34"/>
      <c r="D26" s="34"/>
      <c r="E26" s="34"/>
      <c r="F26" s="34"/>
      <c r="G26" s="34"/>
      <c r="H26" s="34"/>
      <c r="I26" s="32"/>
    </row>
    <row r="27" spans="1:9" s="64" customFormat="1" ht="24" customHeight="1">
      <c r="A27" s="32"/>
      <c r="B27" s="31" t="s">
        <v>107</v>
      </c>
      <c r="C27" s="34"/>
      <c r="D27" s="34"/>
      <c r="E27" s="34"/>
      <c r="F27" s="34"/>
      <c r="G27" s="34"/>
      <c r="H27" s="34"/>
      <c r="I27" s="32"/>
    </row>
    <row r="28" spans="1:9" s="64" customFormat="1" ht="24" customHeight="1">
      <c r="A28" s="32"/>
      <c r="B28" s="31" t="s">
        <v>111</v>
      </c>
      <c r="C28" s="34"/>
      <c r="D28" s="34"/>
      <c r="E28" s="34"/>
      <c r="F28" s="34"/>
      <c r="G28" s="34"/>
      <c r="H28" s="34"/>
      <c r="I28" s="32"/>
    </row>
    <row r="29" spans="1:9" s="64" customFormat="1" ht="24" customHeight="1">
      <c r="A29" s="32"/>
      <c r="B29" s="31" t="s">
        <v>97</v>
      </c>
      <c r="C29" s="34"/>
      <c r="D29" s="34"/>
      <c r="E29" s="34"/>
      <c r="F29" s="34"/>
      <c r="G29" s="34"/>
      <c r="H29" s="34"/>
      <c r="I29" s="32"/>
    </row>
    <row r="30" spans="1:9" s="64" customFormat="1" ht="24" customHeight="1">
      <c r="A30" s="32"/>
      <c r="B30" s="31" t="s">
        <v>125</v>
      </c>
      <c r="C30" s="34"/>
      <c r="D30" s="34"/>
      <c r="E30" s="34"/>
      <c r="F30" s="34"/>
      <c r="G30" s="34"/>
      <c r="H30" s="34"/>
      <c r="I30" s="32"/>
    </row>
    <row r="31" spans="1:9" s="64" customFormat="1" ht="24" customHeight="1">
      <c r="A31" s="32"/>
      <c r="B31" s="31" t="s">
        <v>105</v>
      </c>
      <c r="C31" s="34"/>
      <c r="D31" s="34"/>
      <c r="E31" s="34"/>
      <c r="F31" s="34"/>
      <c r="G31" s="34"/>
      <c r="H31" s="34"/>
      <c r="I31" s="32"/>
    </row>
    <row r="32" spans="1:9" s="64" customFormat="1" ht="24" customHeight="1">
      <c r="A32" s="32"/>
      <c r="B32" s="31" t="s">
        <v>109</v>
      </c>
      <c r="C32" s="34"/>
      <c r="D32" s="34"/>
      <c r="E32" s="34"/>
      <c r="F32" s="34"/>
      <c r="G32" s="34"/>
      <c r="H32" s="34"/>
      <c r="I32" s="32"/>
    </row>
    <row r="33" spans="1:9" s="64" customFormat="1" ht="24" customHeight="1">
      <c r="A33" s="32"/>
      <c r="B33" s="31" t="s">
        <v>110</v>
      </c>
      <c r="C33" s="34"/>
      <c r="D33" s="34"/>
      <c r="E33" s="34"/>
      <c r="F33" s="34"/>
      <c r="G33" s="34"/>
      <c r="H33" s="34"/>
      <c r="I33" s="32"/>
    </row>
    <row r="34" spans="1:9" s="64" customFormat="1" ht="24" customHeight="1">
      <c r="A34" s="32"/>
      <c r="B34" s="31" t="s">
        <v>176</v>
      </c>
      <c r="C34" s="34"/>
      <c r="D34" s="34"/>
      <c r="E34" s="34"/>
      <c r="F34" s="34"/>
      <c r="G34" s="34"/>
      <c r="H34" s="34"/>
      <c r="I34" s="32"/>
    </row>
    <row r="35" spans="1:9" s="64" customFormat="1" ht="24" customHeight="1">
      <c r="A35" s="32"/>
      <c r="B35" s="64" t="s">
        <v>103</v>
      </c>
      <c r="C35" s="34"/>
      <c r="D35" s="34"/>
      <c r="E35" s="34"/>
      <c r="F35" s="34"/>
      <c r="G35" s="34"/>
      <c r="H35" s="34"/>
      <c r="I35" s="32"/>
    </row>
    <row r="36" spans="1:9" s="64" customFormat="1" ht="24" customHeight="1">
      <c r="A36" s="32"/>
      <c r="B36" s="64" t="s">
        <v>183</v>
      </c>
      <c r="C36" s="34"/>
      <c r="D36" s="34"/>
      <c r="E36" s="34"/>
      <c r="F36" s="34"/>
      <c r="G36" s="34"/>
      <c r="H36" s="34"/>
      <c r="I36" s="32"/>
    </row>
    <row r="37" spans="1:9" s="64" customFormat="1" ht="24" customHeight="1">
      <c r="A37" s="32"/>
      <c r="B37" s="64" t="s">
        <v>108</v>
      </c>
      <c r="C37" s="34"/>
      <c r="D37" s="34"/>
      <c r="E37" s="34"/>
      <c r="F37" s="34"/>
      <c r="G37" s="34"/>
      <c r="H37" s="34"/>
      <c r="I37" s="32"/>
    </row>
    <row r="38" spans="1:9" s="64" customFormat="1" ht="24" customHeight="1">
      <c r="A38" s="32"/>
      <c r="B38" s="64" t="s">
        <v>122</v>
      </c>
      <c r="C38" s="34"/>
      <c r="D38" s="34"/>
      <c r="E38" s="34"/>
      <c r="F38" s="34"/>
      <c r="G38" s="34"/>
      <c r="H38" s="34"/>
      <c r="I38" s="32"/>
    </row>
    <row r="39" spans="1:9" s="64" customFormat="1" ht="24" customHeight="1">
      <c r="A39" s="32"/>
      <c r="B39" s="64" t="s">
        <v>104</v>
      </c>
      <c r="C39" s="34"/>
      <c r="D39" s="34"/>
      <c r="E39" s="34"/>
      <c r="F39" s="34"/>
      <c r="G39" s="34"/>
      <c r="H39" s="34"/>
      <c r="I39" s="32"/>
    </row>
    <row r="40" spans="1:9" s="64" customFormat="1" ht="24" customHeight="1">
      <c r="A40" s="32"/>
      <c r="B40" s="31" t="s">
        <v>106</v>
      </c>
      <c r="C40" s="34"/>
      <c r="D40" s="34"/>
      <c r="E40" s="34"/>
      <c r="F40" s="34"/>
      <c r="G40" s="34"/>
      <c r="H40" s="34"/>
      <c r="I40" s="32"/>
    </row>
    <row r="41" spans="1:9" s="64" customFormat="1" ht="24" customHeight="1">
      <c r="A41" s="32"/>
      <c r="B41" s="31" t="s">
        <v>117</v>
      </c>
      <c r="C41" s="34"/>
      <c r="D41" s="34"/>
      <c r="E41" s="34"/>
      <c r="F41" s="34"/>
      <c r="G41" s="34"/>
      <c r="H41" s="34"/>
      <c r="I41" s="32"/>
    </row>
    <row r="42" spans="1:9" s="64" customFormat="1" ht="24" customHeight="1">
      <c r="A42" s="32"/>
      <c r="B42" s="31" t="s">
        <v>118</v>
      </c>
      <c r="C42" s="34"/>
      <c r="D42" s="34"/>
      <c r="E42" s="34"/>
      <c r="F42" s="34"/>
      <c r="G42" s="34"/>
      <c r="H42" s="34"/>
      <c r="I42" s="32"/>
    </row>
    <row r="43" spans="1:9" s="64" customFormat="1" ht="24" customHeight="1">
      <c r="A43" s="32"/>
      <c r="B43" s="31" t="s">
        <v>121</v>
      </c>
      <c r="C43" s="34"/>
      <c r="D43" s="34"/>
      <c r="E43" s="34"/>
      <c r="F43" s="34"/>
      <c r="G43" s="34"/>
      <c r="H43" s="34"/>
      <c r="I43" s="32"/>
    </row>
    <row r="44" spans="1:9" s="64" customFormat="1" ht="24" customHeight="1">
      <c r="A44" s="32"/>
      <c r="B44" s="31" t="s">
        <v>124</v>
      </c>
      <c r="C44" s="34"/>
      <c r="D44" s="34"/>
      <c r="E44" s="34"/>
      <c r="F44" s="34"/>
      <c r="G44" s="34"/>
      <c r="H44" s="34"/>
      <c r="I44" s="32"/>
    </row>
    <row r="45" spans="1:9" s="64" customFormat="1" ht="24" customHeight="1">
      <c r="A45" s="32"/>
      <c r="B45" s="31" t="s">
        <v>130</v>
      </c>
      <c r="C45" s="34"/>
      <c r="D45" s="34"/>
      <c r="E45" s="34"/>
      <c r="F45" s="34"/>
      <c r="G45" s="34"/>
      <c r="H45" s="34"/>
      <c r="I45" s="32"/>
    </row>
    <row r="46" spans="1:9" s="64" customFormat="1" ht="24" customHeight="1">
      <c r="A46" s="32"/>
      <c r="B46" s="31"/>
      <c r="C46" s="34"/>
      <c r="D46" s="34"/>
      <c r="E46" s="34"/>
      <c r="F46" s="34"/>
      <c r="G46" s="34"/>
      <c r="H46" s="34"/>
      <c r="I46" s="32"/>
    </row>
    <row r="47" spans="1:9" s="64" customFormat="1" ht="24" customHeight="1">
      <c r="A47" s="66"/>
      <c r="B47" s="36" t="s">
        <v>40</v>
      </c>
      <c r="C47" s="35"/>
      <c r="D47" s="35"/>
      <c r="E47" s="35"/>
      <c r="F47" s="35"/>
      <c r="G47" s="35"/>
      <c r="H47" s="35"/>
    </row>
    <row r="48" spans="1:9" s="39" customFormat="1" ht="24" customHeight="1">
      <c r="A48" s="32"/>
      <c r="B48" s="32" t="s">
        <v>133</v>
      </c>
      <c r="C48" s="34"/>
      <c r="D48" s="34"/>
      <c r="E48" s="34"/>
      <c r="F48" s="34"/>
      <c r="G48" s="34"/>
      <c r="H48" s="34"/>
      <c r="I48" s="32"/>
    </row>
    <row r="49" spans="1:9" s="39" customFormat="1" ht="24" customHeight="1">
      <c r="A49" s="32"/>
      <c r="B49" s="31" t="s">
        <v>137</v>
      </c>
      <c r="C49" s="34"/>
      <c r="D49" s="34"/>
      <c r="E49" s="34"/>
      <c r="F49" s="34"/>
      <c r="G49" s="34"/>
      <c r="H49" s="34"/>
      <c r="I49" s="32"/>
    </row>
    <row r="50" spans="1:9" s="39" customFormat="1" ht="24" customHeight="1">
      <c r="A50" s="32"/>
      <c r="B50" s="31"/>
      <c r="C50" s="34"/>
      <c r="D50" s="34"/>
      <c r="E50" s="34"/>
      <c r="F50" s="34"/>
      <c r="G50" s="34"/>
      <c r="H50" s="34"/>
      <c r="I50" s="32"/>
    </row>
    <row r="51" spans="1:9" ht="24" customHeight="1">
      <c r="A51" s="55"/>
      <c r="B51" s="47" t="s">
        <v>41</v>
      </c>
      <c r="C51" s="47"/>
      <c r="D51" s="47"/>
      <c r="E51" s="47"/>
      <c r="F51" s="33"/>
      <c r="G51" s="33"/>
      <c r="H51" s="33"/>
      <c r="I51" s="39"/>
    </row>
    <row r="52" spans="1:9" ht="24" customHeight="1">
      <c r="A52" s="64"/>
      <c r="B52" s="31" t="s">
        <v>114</v>
      </c>
      <c r="C52" s="31"/>
      <c r="D52" s="35"/>
      <c r="E52" s="37"/>
      <c r="F52" s="37"/>
      <c r="G52" s="37"/>
      <c r="H52" s="37"/>
      <c r="I52" s="64"/>
    </row>
    <row r="53" spans="1:9" ht="24" customHeight="1">
      <c r="A53" s="64"/>
      <c r="B53" s="31" t="s">
        <v>132</v>
      </c>
      <c r="C53" s="31"/>
      <c r="D53" s="35"/>
      <c r="E53" s="37"/>
      <c r="F53" s="37"/>
      <c r="G53" s="37"/>
      <c r="H53" s="37"/>
      <c r="I53" s="64"/>
    </row>
    <row r="54" spans="1:9" ht="24" customHeight="1">
      <c r="A54" s="64"/>
      <c r="B54" s="31" t="s">
        <v>184</v>
      </c>
      <c r="C54" s="31"/>
      <c r="D54" s="35"/>
      <c r="E54" s="37"/>
      <c r="F54" s="37"/>
      <c r="G54" s="37"/>
      <c r="H54" s="37"/>
      <c r="I54" s="64"/>
    </row>
    <row r="55" spans="1:9" ht="24" customHeight="1">
      <c r="A55" s="64"/>
      <c r="B55" s="31" t="s">
        <v>112</v>
      </c>
      <c r="C55" s="31"/>
      <c r="D55" s="35"/>
      <c r="E55" s="37"/>
      <c r="F55" s="37"/>
      <c r="G55" s="37"/>
      <c r="H55" s="37"/>
      <c r="I55" s="64"/>
    </row>
    <row r="56" spans="1:9" ht="24" customHeight="1">
      <c r="A56" s="64"/>
      <c r="B56" s="31" t="s">
        <v>116</v>
      </c>
      <c r="C56" s="31"/>
      <c r="D56" s="35"/>
      <c r="E56" s="37"/>
      <c r="F56" s="37"/>
      <c r="G56" s="37"/>
      <c r="H56" s="37"/>
      <c r="I56" s="64"/>
    </row>
    <row r="57" spans="1:9" ht="24" customHeight="1">
      <c r="A57" s="64"/>
      <c r="B57" s="31" t="s">
        <v>119</v>
      </c>
      <c r="C57" s="31"/>
      <c r="D57" s="35"/>
      <c r="E57" s="37"/>
      <c r="F57" s="37"/>
      <c r="G57" s="37"/>
      <c r="H57" s="37"/>
      <c r="I57" s="64"/>
    </row>
    <row r="58" spans="1:9" ht="24" customHeight="1">
      <c r="A58" s="64"/>
      <c r="B58" s="31" t="s">
        <v>129</v>
      </c>
      <c r="C58" s="31"/>
      <c r="D58" s="35"/>
      <c r="E58" s="37"/>
      <c r="F58" s="37"/>
      <c r="G58" s="37"/>
      <c r="H58" s="37"/>
      <c r="I58" s="64"/>
    </row>
    <row r="59" spans="1:9" ht="24" customHeight="1">
      <c r="A59" s="64"/>
      <c r="B59" s="31" t="s">
        <v>131</v>
      </c>
      <c r="C59" s="31"/>
      <c r="D59" s="35"/>
      <c r="E59" s="37"/>
      <c r="F59" s="37"/>
      <c r="G59" s="37"/>
      <c r="H59" s="37"/>
      <c r="I59" s="64"/>
    </row>
    <row r="60" spans="1:9" ht="24" customHeight="1">
      <c r="A60" s="64"/>
      <c r="B60" s="31"/>
      <c r="C60" s="31"/>
      <c r="D60" s="35"/>
      <c r="E60" s="37"/>
      <c r="F60" s="37"/>
      <c r="G60" s="37"/>
      <c r="H60" s="37"/>
      <c r="I60" s="64"/>
    </row>
    <row r="61" spans="1:9" ht="24" customHeight="1">
      <c r="A61" s="62" t="s">
        <v>42</v>
      </c>
      <c r="C61" s="33"/>
      <c r="D61" s="33"/>
      <c r="E61" s="33"/>
      <c r="F61" s="33"/>
      <c r="G61" s="33"/>
      <c r="H61" s="33"/>
    </row>
    <row r="62" spans="1:9" ht="24" customHeight="1">
      <c r="B62" s="36" t="s">
        <v>39</v>
      </c>
      <c r="C62" s="38"/>
      <c r="D62" s="38"/>
      <c r="E62" s="38"/>
      <c r="F62" s="38"/>
      <c r="G62" s="38"/>
      <c r="H62" s="38"/>
    </row>
    <row r="63" spans="1:9" ht="24" customHeight="1">
      <c r="B63" s="64" t="s">
        <v>165</v>
      </c>
      <c r="C63" s="38"/>
      <c r="D63" s="38"/>
      <c r="E63" s="38"/>
      <c r="F63" s="38"/>
      <c r="G63" s="38"/>
      <c r="H63" s="38"/>
    </row>
    <row r="64" spans="1:9" ht="24" customHeight="1">
      <c r="B64" s="64" t="s">
        <v>141</v>
      </c>
      <c r="C64" s="38"/>
      <c r="D64" s="38"/>
      <c r="E64" s="38"/>
      <c r="F64" s="38"/>
      <c r="G64" s="38"/>
      <c r="H64" s="38"/>
    </row>
    <row r="65" spans="2:8" ht="24" customHeight="1">
      <c r="B65" s="64" t="s">
        <v>142</v>
      </c>
      <c r="C65" s="38"/>
      <c r="D65" s="38"/>
      <c r="E65" s="38"/>
      <c r="F65" s="38"/>
      <c r="G65" s="38"/>
      <c r="H65" s="38"/>
    </row>
    <row r="66" spans="2:8" ht="24" customHeight="1">
      <c r="B66" s="64" t="s">
        <v>166</v>
      </c>
      <c r="C66" s="38"/>
      <c r="D66" s="38"/>
      <c r="E66" s="38"/>
      <c r="F66" s="38"/>
      <c r="G66" s="38"/>
      <c r="H66" s="38"/>
    </row>
    <row r="67" spans="2:8" s="64" customFormat="1" ht="24" customHeight="1">
      <c r="B67" s="64" t="s">
        <v>134</v>
      </c>
    </row>
    <row r="68" spans="2:8" s="64" customFormat="1" ht="24" customHeight="1">
      <c r="B68" s="64" t="s">
        <v>135</v>
      </c>
    </row>
    <row r="69" spans="2:8" s="64" customFormat="1" ht="24" customHeight="1">
      <c r="B69" s="64" t="s">
        <v>136</v>
      </c>
    </row>
    <row r="70" spans="2:8" s="64" customFormat="1" ht="24" customHeight="1">
      <c r="B70" s="64" t="s">
        <v>152</v>
      </c>
    </row>
    <row r="71" spans="2:8" s="64" customFormat="1" ht="24" customHeight="1">
      <c r="B71" s="64" t="s">
        <v>138</v>
      </c>
    </row>
    <row r="72" spans="2:8" s="64" customFormat="1" ht="24" customHeight="1">
      <c r="B72" s="64" t="s">
        <v>139</v>
      </c>
    </row>
    <row r="73" spans="2:8" s="64" customFormat="1" ht="24" customHeight="1">
      <c r="B73" s="64" t="s">
        <v>167</v>
      </c>
    </row>
    <row r="74" spans="2:8" s="64" customFormat="1" ht="24" customHeight="1">
      <c r="B74" s="64" t="s">
        <v>140</v>
      </c>
    </row>
    <row r="75" spans="2:8" s="64" customFormat="1" ht="24" customHeight="1">
      <c r="B75" s="64" t="s">
        <v>143</v>
      </c>
    </row>
    <row r="76" spans="2:8" s="64" customFormat="1" ht="24" customHeight="1">
      <c r="B76" s="64" t="s">
        <v>172</v>
      </c>
    </row>
    <row r="77" spans="2:8" s="64" customFormat="1" ht="24" customHeight="1">
      <c r="B77" s="64" t="s">
        <v>145</v>
      </c>
    </row>
    <row r="78" spans="2:8" s="64" customFormat="1" ht="24" customHeight="1">
      <c r="B78" s="64" t="s">
        <v>160</v>
      </c>
    </row>
    <row r="79" spans="2:8" s="64" customFormat="1" ht="24" customHeight="1">
      <c r="B79" s="64" t="s">
        <v>161</v>
      </c>
    </row>
    <row r="80" spans="2:8" s="64" customFormat="1" ht="24" customHeight="1">
      <c r="B80" s="64" t="s">
        <v>162</v>
      </c>
    </row>
    <row r="81" spans="1:9" s="64" customFormat="1" ht="24" customHeight="1">
      <c r="B81" s="64" t="s">
        <v>164</v>
      </c>
    </row>
    <row r="82" spans="1:9" s="64" customFormat="1" ht="24" customHeight="1"/>
    <row r="83" spans="1:9" ht="24" customHeight="1">
      <c r="A83" s="64"/>
      <c r="B83" s="41" t="s">
        <v>40</v>
      </c>
      <c r="C83" s="37"/>
      <c r="D83" s="37"/>
      <c r="E83" s="37"/>
      <c r="F83" s="37"/>
      <c r="G83" s="37"/>
      <c r="H83" s="37"/>
      <c r="I83" s="64"/>
    </row>
    <row r="84" spans="1:9" s="66" customFormat="1" ht="24" customHeight="1">
      <c r="B84" s="31" t="s">
        <v>144</v>
      </c>
      <c r="C84" s="63"/>
      <c r="D84" s="63"/>
      <c r="E84" s="37"/>
      <c r="F84" s="37"/>
      <c r="G84" s="37"/>
      <c r="H84" s="37"/>
      <c r="I84" s="63"/>
    </row>
    <row r="85" spans="1:9" s="66" customFormat="1" ht="24" customHeight="1">
      <c r="B85" s="31" t="s">
        <v>151</v>
      </c>
      <c r="C85" s="63"/>
      <c r="D85" s="63"/>
      <c r="E85" s="37"/>
      <c r="F85" s="37"/>
      <c r="G85" s="37"/>
      <c r="H85" s="37"/>
      <c r="I85" s="63"/>
    </row>
    <row r="86" spans="1:9" s="66" customFormat="1" ht="24" customHeight="1">
      <c r="B86" s="31" t="s">
        <v>146</v>
      </c>
      <c r="C86" s="63"/>
      <c r="D86" s="63"/>
      <c r="E86" s="37"/>
      <c r="F86" s="37"/>
      <c r="G86" s="37"/>
      <c r="H86" s="37"/>
      <c r="I86" s="63"/>
    </row>
    <row r="87" spans="1:9" s="66" customFormat="1" ht="24" customHeight="1">
      <c r="B87" s="31" t="s">
        <v>147</v>
      </c>
      <c r="C87" s="63"/>
      <c r="D87" s="63"/>
      <c r="E87" s="37"/>
      <c r="F87" s="37"/>
      <c r="G87" s="37"/>
      <c r="H87" s="37"/>
      <c r="I87" s="63"/>
    </row>
    <row r="88" spans="1:9" s="66" customFormat="1" ht="24" customHeight="1">
      <c r="B88" s="31" t="s">
        <v>156</v>
      </c>
      <c r="C88" s="63"/>
      <c r="D88" s="63"/>
      <c r="E88" s="37"/>
      <c r="F88" s="37"/>
      <c r="G88" s="37"/>
      <c r="H88" s="37"/>
      <c r="I88" s="63"/>
    </row>
    <row r="89" spans="1:9" s="66" customFormat="1" ht="24" customHeight="1">
      <c r="B89" s="31" t="s">
        <v>175</v>
      </c>
      <c r="C89" s="63"/>
      <c r="D89" s="63"/>
      <c r="E89" s="37"/>
      <c r="F89" s="37"/>
      <c r="G89" s="37"/>
      <c r="H89" s="37"/>
      <c r="I89" s="63"/>
    </row>
    <row r="90" spans="1:9" s="66" customFormat="1" ht="24" customHeight="1">
      <c r="B90" s="31"/>
      <c r="C90" s="63"/>
      <c r="D90" s="63"/>
      <c r="E90" s="37"/>
      <c r="F90" s="37"/>
      <c r="G90" s="37"/>
      <c r="H90" s="37"/>
      <c r="I90" s="63"/>
    </row>
    <row r="91" spans="1:9" s="66" customFormat="1" ht="24" customHeight="1">
      <c r="B91" s="44" t="s">
        <v>41</v>
      </c>
      <c r="C91" s="35"/>
      <c r="D91" s="35"/>
      <c r="E91" s="35"/>
      <c r="F91" s="35"/>
      <c r="G91" s="35"/>
      <c r="H91" s="35"/>
    </row>
    <row r="92" spans="1:9" s="66" customFormat="1" ht="24" customHeight="1">
      <c r="B92" s="31" t="s">
        <v>189</v>
      </c>
      <c r="C92" s="35"/>
      <c r="D92" s="35"/>
      <c r="E92" s="35"/>
      <c r="F92" s="35"/>
      <c r="G92" s="35"/>
      <c r="H92" s="35"/>
    </row>
    <row r="93" spans="1:9" s="66" customFormat="1" ht="24" customHeight="1">
      <c r="B93" s="31" t="s">
        <v>188</v>
      </c>
      <c r="C93" s="35"/>
      <c r="D93" s="35"/>
      <c r="E93" s="35"/>
      <c r="F93" s="35"/>
      <c r="G93" s="35"/>
      <c r="H93" s="35"/>
    </row>
    <row r="94" spans="1:9" s="66" customFormat="1" ht="24" customHeight="1">
      <c r="B94" s="82" t="s">
        <v>191</v>
      </c>
      <c r="C94" s="35"/>
      <c r="D94" s="35"/>
      <c r="E94" s="35"/>
      <c r="F94" s="35"/>
      <c r="G94" s="35"/>
      <c r="H94" s="35"/>
    </row>
    <row r="95" spans="1:9" s="66" customFormat="1" ht="24" customHeight="1">
      <c r="B95" s="31" t="s">
        <v>190</v>
      </c>
      <c r="C95" s="35"/>
      <c r="D95" s="35"/>
      <c r="E95" s="35"/>
      <c r="F95" s="35"/>
      <c r="G95" s="35"/>
      <c r="H95" s="35"/>
    </row>
    <row r="96" spans="1:9" s="66" customFormat="1" ht="24" customHeight="1">
      <c r="B96" s="31" t="s">
        <v>186</v>
      </c>
      <c r="C96" s="35"/>
      <c r="D96" s="35"/>
      <c r="E96" s="35"/>
      <c r="F96" s="35"/>
      <c r="G96" s="35"/>
      <c r="H96" s="35"/>
    </row>
    <row r="97" spans="1:9" s="66" customFormat="1" ht="24" customHeight="1">
      <c r="B97" s="82" t="s">
        <v>187</v>
      </c>
      <c r="C97" s="35"/>
      <c r="D97" s="35"/>
      <c r="E97" s="35"/>
      <c r="F97" s="35"/>
      <c r="G97" s="35"/>
      <c r="H97" s="35"/>
    </row>
    <row r="98" spans="1:9" s="66" customFormat="1" ht="24" customHeight="1">
      <c r="B98" s="82" t="s">
        <v>150</v>
      </c>
      <c r="C98" s="35"/>
      <c r="D98" s="35"/>
      <c r="E98" s="35"/>
      <c r="F98" s="35"/>
      <c r="G98" s="35"/>
      <c r="H98" s="35"/>
    </row>
    <row r="99" spans="1:9" s="66" customFormat="1" ht="24" customHeight="1">
      <c r="B99" s="82" t="s">
        <v>149</v>
      </c>
      <c r="C99" s="35"/>
      <c r="D99" s="35"/>
      <c r="E99" s="35"/>
      <c r="F99" s="35"/>
      <c r="G99" s="35"/>
      <c r="H99" s="35"/>
    </row>
    <row r="100" spans="1:9" s="66" customFormat="1" ht="24" customHeight="1">
      <c r="A100" s="64"/>
      <c r="B100" s="31" t="s">
        <v>148</v>
      </c>
      <c r="C100" s="35"/>
      <c r="D100" s="35"/>
      <c r="E100" s="35"/>
      <c r="F100" s="35"/>
      <c r="G100" s="35"/>
      <c r="H100" s="35"/>
    </row>
    <row r="101" spans="1:9" s="66" customFormat="1" ht="24" customHeight="1">
      <c r="A101" s="64"/>
      <c r="B101" s="64" t="s">
        <v>149</v>
      </c>
      <c r="C101" s="35"/>
      <c r="D101" s="35"/>
      <c r="E101" s="35"/>
      <c r="F101" s="35"/>
      <c r="G101" s="35"/>
      <c r="H101" s="35"/>
    </row>
    <row r="102" spans="1:9" ht="24" customHeight="1">
      <c r="A102" s="64"/>
      <c r="B102" s="31" t="s">
        <v>150</v>
      </c>
      <c r="C102" s="35"/>
      <c r="D102" s="35"/>
      <c r="E102" s="35"/>
      <c r="F102" s="35"/>
      <c r="G102" s="35"/>
      <c r="H102" s="35"/>
      <c r="I102" s="66"/>
    </row>
    <row r="103" spans="1:9" s="64" customFormat="1" ht="24" customHeight="1">
      <c r="B103" s="32" t="s">
        <v>153</v>
      </c>
      <c r="C103" s="42"/>
      <c r="D103" s="42"/>
      <c r="E103" s="45"/>
      <c r="F103" s="45"/>
      <c r="G103" s="45"/>
      <c r="H103" s="42"/>
      <c r="I103" s="32"/>
    </row>
    <row r="104" spans="1:9" s="64" customFormat="1" ht="24" customHeight="1">
      <c r="A104" s="66"/>
      <c r="B104" s="64" t="s">
        <v>154</v>
      </c>
      <c r="C104" s="37"/>
      <c r="D104" s="37"/>
      <c r="E104" s="37"/>
      <c r="F104" s="37"/>
      <c r="G104" s="37"/>
      <c r="H104" s="37"/>
    </row>
    <row r="105" spans="1:9" s="66" customFormat="1" ht="24" customHeight="1">
      <c r="A105" s="64"/>
      <c r="B105" s="64" t="s">
        <v>155</v>
      </c>
      <c r="C105" s="37"/>
      <c r="D105" s="37"/>
      <c r="E105" s="37"/>
      <c r="F105" s="37"/>
      <c r="G105" s="37"/>
      <c r="H105" s="37"/>
      <c r="I105" s="64"/>
    </row>
    <row r="106" spans="1:9" s="66" customFormat="1" ht="24" customHeight="1">
      <c r="A106" s="64"/>
      <c r="B106" s="64" t="s">
        <v>157</v>
      </c>
      <c r="C106" s="37"/>
      <c r="D106" s="37"/>
      <c r="E106" s="37"/>
      <c r="F106" s="37"/>
      <c r="G106" s="37"/>
      <c r="H106" s="37"/>
      <c r="I106" s="64"/>
    </row>
    <row r="107" spans="1:9" s="66" customFormat="1" ht="24" customHeight="1">
      <c r="A107" s="64"/>
      <c r="B107" s="64" t="s">
        <v>173</v>
      </c>
      <c r="C107" s="37"/>
      <c r="D107" s="37"/>
      <c r="E107" s="37"/>
      <c r="F107" s="37"/>
      <c r="G107" s="37"/>
      <c r="H107" s="37"/>
      <c r="I107" s="64"/>
    </row>
    <row r="108" spans="1:9" s="66" customFormat="1" ht="24" customHeight="1">
      <c r="A108" s="64"/>
      <c r="B108" s="64" t="s">
        <v>158</v>
      </c>
      <c r="C108" s="37"/>
      <c r="D108" s="37"/>
      <c r="E108" s="37"/>
      <c r="F108" s="37"/>
      <c r="G108" s="37"/>
      <c r="H108" s="37"/>
      <c r="I108" s="64"/>
    </row>
    <row r="109" spans="1:9" s="66" customFormat="1" ht="24" customHeight="1">
      <c r="A109" s="64"/>
      <c r="B109" s="64" t="s">
        <v>159</v>
      </c>
      <c r="C109" s="37"/>
      <c r="D109" s="37"/>
      <c r="E109" s="37"/>
      <c r="F109" s="37"/>
      <c r="G109" s="37"/>
      <c r="H109" s="37"/>
      <c r="I109" s="64"/>
    </row>
    <row r="110" spans="1:9" s="66" customFormat="1" ht="24" customHeight="1">
      <c r="A110" s="64"/>
      <c r="B110" s="64" t="s">
        <v>163</v>
      </c>
      <c r="C110" s="37"/>
      <c r="D110" s="37"/>
      <c r="E110" s="37"/>
      <c r="F110" s="37"/>
      <c r="G110" s="37"/>
      <c r="H110" s="37"/>
      <c r="I110" s="64"/>
    </row>
    <row r="111" spans="1:9" s="66" customFormat="1" ht="24" customHeight="1">
      <c r="A111" s="64"/>
      <c r="B111" s="64" t="s">
        <v>171</v>
      </c>
      <c r="C111" s="37"/>
      <c r="D111" s="37"/>
      <c r="E111" s="37"/>
      <c r="F111" s="37"/>
      <c r="G111" s="37"/>
      <c r="H111" s="37"/>
      <c r="I111" s="64"/>
    </row>
    <row r="112" spans="1:9" s="66" customFormat="1" ht="24" customHeight="1">
      <c r="A112" s="64"/>
      <c r="B112" s="64" t="s">
        <v>170</v>
      </c>
      <c r="C112" s="37"/>
      <c r="D112" s="37"/>
      <c r="E112" s="37"/>
      <c r="F112" s="37"/>
      <c r="G112" s="37"/>
      <c r="H112" s="37"/>
      <c r="I112" s="64"/>
    </row>
    <row r="113" spans="1:9" s="66" customFormat="1" ht="24" customHeight="1">
      <c r="A113" s="64"/>
      <c r="B113" s="64" t="s">
        <v>169</v>
      </c>
      <c r="C113" s="37"/>
      <c r="D113" s="37"/>
      <c r="E113" s="37"/>
      <c r="F113" s="37"/>
      <c r="G113" s="37"/>
      <c r="H113" s="37"/>
      <c r="I113" s="64"/>
    </row>
    <row r="114" spans="1:9" s="66" customFormat="1" ht="24" customHeight="1">
      <c r="A114" s="64"/>
      <c r="B114" s="64" t="s">
        <v>174</v>
      </c>
      <c r="C114" s="37"/>
      <c r="D114" s="37"/>
      <c r="E114" s="37"/>
      <c r="F114" s="37"/>
      <c r="G114" s="37"/>
      <c r="H114" s="37"/>
      <c r="I114" s="64"/>
    </row>
    <row r="115" spans="1:9" s="66" customFormat="1" ht="24" customHeight="1">
      <c r="A115" s="64"/>
      <c r="B115" s="64" t="s">
        <v>168</v>
      </c>
      <c r="C115" s="37"/>
      <c r="D115" s="37"/>
      <c r="E115" s="37"/>
      <c r="F115" s="37"/>
      <c r="G115" s="37"/>
      <c r="H115" s="37"/>
      <c r="I115" s="64"/>
    </row>
    <row r="116" spans="1:9" s="66" customFormat="1" ht="24" customHeight="1">
      <c r="A116" s="64"/>
      <c r="B116" s="64" t="s">
        <v>192</v>
      </c>
      <c r="C116" s="35"/>
      <c r="D116" s="35"/>
      <c r="E116" s="35"/>
      <c r="F116" s="35"/>
      <c r="G116" s="35"/>
      <c r="H116" s="35"/>
    </row>
    <row r="117" spans="1:9" s="64" customFormat="1" ht="24" customHeight="1">
      <c r="B117" s="43"/>
      <c r="C117" s="35"/>
      <c r="D117" s="35"/>
      <c r="E117" s="35"/>
      <c r="F117" s="35"/>
      <c r="G117" s="35"/>
      <c r="H117" s="35"/>
      <c r="I117" s="66"/>
    </row>
    <row r="118" spans="1:9" s="64" customFormat="1" ht="24" customHeight="1">
      <c r="B118" s="43"/>
      <c r="C118" s="37"/>
      <c r="D118" s="37"/>
      <c r="E118" s="37"/>
      <c r="F118" s="37"/>
      <c r="G118" s="37"/>
      <c r="H118" s="37"/>
    </row>
    <row r="119" spans="1:9" s="64" customFormat="1" ht="24" customHeight="1">
      <c r="A119" s="66"/>
      <c r="B119" s="43"/>
      <c r="C119" s="37"/>
      <c r="D119" s="37"/>
      <c r="E119" s="37"/>
      <c r="F119" s="37"/>
      <c r="G119" s="37"/>
      <c r="H119" s="37"/>
    </row>
    <row r="120" spans="1:9" s="64" customFormat="1" ht="24" customHeight="1">
      <c r="B120" s="43"/>
      <c r="C120" s="37"/>
      <c r="D120" s="37"/>
      <c r="E120" s="37"/>
      <c r="F120" s="37"/>
      <c r="G120" s="37"/>
      <c r="H120" s="37"/>
    </row>
    <row r="121" spans="1:9" s="66" customFormat="1" ht="24" customHeight="1">
      <c r="A121" s="64"/>
      <c r="B121" s="43"/>
      <c r="C121" s="37"/>
      <c r="D121" s="37"/>
      <c r="E121" s="37"/>
      <c r="F121" s="37"/>
      <c r="G121" s="37"/>
      <c r="H121" s="37"/>
      <c r="I121" s="64"/>
    </row>
    <row r="122" spans="1:9" s="64" customFormat="1" ht="24" customHeight="1">
      <c r="B122" s="40"/>
      <c r="C122" s="35"/>
      <c r="D122" s="35"/>
      <c r="E122" s="35"/>
      <c r="F122" s="35"/>
      <c r="G122" s="35"/>
      <c r="H122" s="35"/>
      <c r="I122" s="66"/>
    </row>
    <row r="123" spans="1:9" s="64" customFormat="1" ht="24" customHeight="1">
      <c r="B123" s="40"/>
      <c r="C123" s="37"/>
      <c r="D123" s="37"/>
      <c r="E123" s="37"/>
      <c r="F123" s="37"/>
      <c r="G123" s="37"/>
      <c r="H123" s="37"/>
    </row>
    <row r="124" spans="1:9" s="64" customFormat="1" ht="24" customHeight="1">
      <c r="B124" s="40"/>
      <c r="C124" s="37"/>
      <c r="D124" s="37"/>
      <c r="E124" s="37"/>
      <c r="F124" s="37"/>
      <c r="G124" s="37"/>
      <c r="H124" s="37"/>
    </row>
    <row r="125" spans="1:9" s="64" customFormat="1" ht="24" customHeight="1">
      <c r="B125" s="40"/>
      <c r="C125" s="37"/>
      <c r="D125" s="37"/>
      <c r="E125" s="37"/>
      <c r="F125" s="37"/>
      <c r="G125" s="37"/>
      <c r="H125" s="37"/>
    </row>
    <row r="126" spans="1:9" s="64" customFormat="1" ht="24" customHeight="1">
      <c r="B126" s="43"/>
      <c r="C126" s="37"/>
      <c r="D126" s="37"/>
      <c r="E126" s="37"/>
      <c r="F126" s="37"/>
      <c r="G126" s="37"/>
      <c r="H126" s="37"/>
    </row>
    <row r="127" spans="1:9" s="64" customFormat="1" ht="24" customHeight="1">
      <c r="B127" s="43"/>
      <c r="C127" s="37"/>
      <c r="D127" s="37"/>
      <c r="E127" s="37"/>
      <c r="F127" s="37"/>
      <c r="G127" s="37"/>
      <c r="H127" s="37"/>
    </row>
    <row r="128" spans="1:9" s="64" customFormat="1" ht="24" customHeight="1">
      <c r="B128" s="43"/>
      <c r="C128" s="37"/>
      <c r="D128" s="37"/>
      <c r="E128" s="37"/>
      <c r="F128" s="37"/>
      <c r="G128" s="37"/>
      <c r="H128" s="37"/>
    </row>
    <row r="129" spans="1:9" s="64" customFormat="1" ht="24" customHeight="1">
      <c r="B129" s="43"/>
      <c r="C129" s="37"/>
      <c r="D129" s="37"/>
      <c r="E129" s="37"/>
      <c r="F129" s="37"/>
      <c r="G129" s="37"/>
      <c r="H129" s="37"/>
    </row>
    <row r="130" spans="1:9" s="64" customFormat="1" ht="24" customHeight="1">
      <c r="B130" s="43"/>
      <c r="C130" s="37"/>
      <c r="D130" s="37"/>
      <c r="E130" s="37"/>
      <c r="F130" s="37"/>
      <c r="G130" s="37"/>
      <c r="H130" s="37"/>
    </row>
    <row r="131" spans="1:9" s="64" customFormat="1" ht="24" customHeight="1">
      <c r="B131" s="43"/>
      <c r="C131" s="37"/>
      <c r="D131" s="37"/>
      <c r="E131" s="37"/>
      <c r="F131" s="37"/>
      <c r="G131" s="37"/>
      <c r="H131" s="37"/>
    </row>
    <row r="132" spans="1:9" s="64" customFormat="1" ht="24" customHeight="1">
      <c r="B132" s="43"/>
      <c r="C132" s="37"/>
      <c r="D132" s="37"/>
      <c r="E132" s="37"/>
      <c r="F132" s="37"/>
      <c r="G132" s="37"/>
      <c r="H132" s="37"/>
    </row>
    <row r="133" spans="1:9" s="64" customFormat="1" ht="24" customHeight="1">
      <c r="B133" s="43"/>
      <c r="C133" s="37"/>
      <c r="D133" s="37"/>
      <c r="E133" s="37"/>
      <c r="F133" s="37"/>
      <c r="G133" s="37"/>
      <c r="H133" s="37"/>
    </row>
    <row r="134" spans="1:9" s="64" customFormat="1" ht="24" customHeight="1">
      <c r="B134" s="43"/>
      <c r="C134" s="37"/>
      <c r="D134" s="37"/>
      <c r="E134" s="37"/>
      <c r="F134" s="37"/>
      <c r="G134" s="37"/>
      <c r="H134" s="37"/>
    </row>
    <row r="135" spans="1:9" s="64" customFormat="1" ht="24" customHeight="1">
      <c r="B135" s="43"/>
      <c r="C135" s="37"/>
      <c r="D135" s="37"/>
      <c r="E135" s="37"/>
      <c r="F135" s="37"/>
      <c r="G135" s="37"/>
      <c r="H135" s="37"/>
    </row>
    <row r="136" spans="1:9" s="64" customFormat="1" ht="24" customHeight="1">
      <c r="B136" s="43"/>
      <c r="C136" s="37"/>
      <c r="D136" s="37"/>
      <c r="E136" s="37"/>
      <c r="F136" s="37"/>
      <c r="G136" s="37"/>
      <c r="H136" s="37"/>
    </row>
    <row r="137" spans="1:9" s="64" customFormat="1" ht="24" customHeight="1">
      <c r="B137" s="32"/>
      <c r="C137" s="37"/>
      <c r="D137" s="37"/>
      <c r="E137" s="37"/>
      <c r="F137" s="37"/>
      <c r="G137" s="37"/>
      <c r="H137" s="37"/>
    </row>
    <row r="138" spans="1:9" s="64" customFormat="1" ht="24" customHeight="1">
      <c r="B138" s="32"/>
      <c r="C138" s="37"/>
      <c r="D138" s="37"/>
      <c r="E138" s="37"/>
      <c r="F138" s="37"/>
      <c r="G138" s="37"/>
      <c r="H138" s="37"/>
    </row>
    <row r="139" spans="1:9" s="64" customFormat="1" ht="24" customHeight="1">
      <c r="B139" s="32"/>
      <c r="C139" s="37"/>
      <c r="D139" s="37"/>
      <c r="E139" s="37"/>
      <c r="F139" s="37"/>
      <c r="G139" s="37"/>
      <c r="H139" s="37"/>
    </row>
    <row r="140" spans="1:9" s="64" customFormat="1" ht="24" customHeight="1">
      <c r="B140" s="32"/>
      <c r="C140" s="37"/>
      <c r="D140" s="37"/>
      <c r="E140" s="37"/>
      <c r="F140" s="37"/>
      <c r="G140" s="37"/>
      <c r="H140" s="37"/>
    </row>
    <row r="141" spans="1:9" s="64" customFormat="1" ht="24" customHeight="1">
      <c r="A141" s="32"/>
      <c r="B141" s="32"/>
      <c r="C141" s="37"/>
      <c r="D141" s="37"/>
      <c r="E141" s="37"/>
      <c r="F141" s="37"/>
      <c r="G141" s="37"/>
      <c r="H141" s="37"/>
    </row>
    <row r="142" spans="1:9" s="64" customFormat="1" ht="24" customHeight="1">
      <c r="A142" s="32"/>
      <c r="B142" s="32"/>
      <c r="C142" s="37"/>
      <c r="D142" s="37"/>
      <c r="E142" s="37"/>
      <c r="F142" s="37"/>
      <c r="G142" s="37"/>
      <c r="H142" s="37"/>
    </row>
    <row r="143" spans="1:9">
      <c r="C143" s="37"/>
      <c r="D143" s="37"/>
      <c r="E143" s="37"/>
      <c r="F143" s="37"/>
      <c r="G143" s="37"/>
      <c r="H143" s="37"/>
      <c r="I143" s="64"/>
    </row>
  </sheetData>
  <mergeCells count="7">
    <mergeCell ref="A3:H3"/>
    <mergeCell ref="A1:I1"/>
    <mergeCell ref="A13:B13"/>
    <mergeCell ref="A2:H2"/>
    <mergeCell ref="B5:H5"/>
    <mergeCell ref="B7:H7"/>
    <mergeCell ref="B6:H6"/>
  </mergeCells>
  <phoneticPr fontId="11" type="noConversion"/>
  <pageMargins left="0.59055118110236227" right="0.15748031496062992" top="0.74803149606299213" bottom="0.74803149606299213" header="0.31496062992125984" footer="0.31496062992125984"/>
  <pageSetup paperSize="9" scale="6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Total Table</vt:lpstr>
      <vt:lpstr>Summary</vt:lpstr>
      <vt:lpstr>'Total Table'!Print_Area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เบญจวรรณ ยืนยงค์</dc:creator>
  <cp:lastModifiedBy>maneerat nerwong</cp:lastModifiedBy>
  <cp:lastPrinted>2024-05-20T07:51:08Z</cp:lastPrinted>
  <dcterms:created xsi:type="dcterms:W3CDTF">2023-02-02T03:43:01Z</dcterms:created>
  <dcterms:modified xsi:type="dcterms:W3CDTF">2025-06-09T07:26:34Z</dcterms:modified>
</cp:coreProperties>
</file>