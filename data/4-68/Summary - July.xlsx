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7. July 68\"/>
    </mc:Choice>
  </mc:AlternateContent>
  <xr:revisionPtr revIDLastSave="0" documentId="13_ncr:1_{9915BFC5-2760-42DD-B219-E80F204C4888}" xr6:coauthVersionLast="47" xr6:coauthVersionMax="47" xr10:uidLastSave="{00000000-0000-0000-0000-000000000000}"/>
  <bookViews>
    <workbookView xWindow="1065" yWindow="1065" windowWidth="28770" windowHeight="1545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91" i="1" l="1"/>
  <c r="B91" i="1"/>
  <c r="E11" i="2"/>
  <c r="C45" i="1"/>
  <c r="I22" i="1"/>
  <c r="H22" i="1"/>
  <c r="Q45" i="1"/>
  <c r="F91" i="1"/>
  <c r="K68" i="1"/>
  <c r="O45" i="1"/>
  <c r="N45" i="1"/>
  <c r="M45" i="1"/>
  <c r="L45" i="1"/>
  <c r="K45" i="1"/>
  <c r="J45" i="1"/>
  <c r="H45" i="1"/>
  <c r="G45" i="1"/>
  <c r="F45" i="1"/>
  <c r="E45" i="1"/>
  <c r="D45" i="1"/>
  <c r="B45" i="1"/>
  <c r="P22" i="1"/>
  <c r="O22" i="1"/>
  <c r="N22" i="1"/>
  <c r="M22" i="1"/>
  <c r="L22" i="1"/>
  <c r="J22" i="1"/>
  <c r="G22" i="1"/>
  <c r="F22" i="1"/>
  <c r="E22" i="1"/>
  <c r="C22" i="1"/>
  <c r="B22" i="1"/>
  <c r="G68" i="1"/>
  <c r="C91" i="1"/>
  <c r="E68" i="1"/>
  <c r="O91" i="1" l="1"/>
  <c r="L68" i="1" l="1"/>
  <c r="M68" i="1"/>
  <c r="N68" i="1"/>
  <c r="P68" i="1"/>
  <c r="D91" i="1"/>
  <c r="E91" i="1"/>
  <c r="G91" i="1"/>
  <c r="H91" i="1"/>
  <c r="I91" i="1"/>
  <c r="J91" i="1"/>
  <c r="K91" i="1"/>
  <c r="L91" i="1"/>
  <c r="M91" i="1"/>
  <c r="B68" i="1"/>
  <c r="C68" i="1"/>
  <c r="D68" i="1"/>
  <c r="F68" i="1"/>
  <c r="I68" i="1"/>
  <c r="J68" i="1"/>
</calcChain>
</file>

<file path=xl/sharedStrings.xml><?xml version="1.0" encoding="utf-8"?>
<sst xmlns="http://schemas.openxmlformats.org/spreadsheetml/2006/main" count="498" uniqueCount="206">
  <si>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</si>
  <si>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</si>
  <si>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</si>
  <si>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</si>
  <si>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</si>
  <si>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</si>
  <si>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</si>
  <si>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</si>
  <si>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</si>
  <si>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</si>
  <si>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</si>
  <si>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</si>
  <si>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</si>
  <si>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</si>
  <si>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</si>
  <si>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</si>
  <si>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</si>
  <si>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</si>
  <si>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</si>
  <si>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</si>
  <si>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</si>
  <si>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</si>
  <si>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</si>
  <si>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</si>
  <si>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</si>
  <si>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</si>
  <si>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</si>
  <si>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</si>
  <si>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</si>
  <si>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</si>
  <si>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</si>
  <si>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</si>
  <si>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</si>
  <si>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</si>
  <si>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</si>
  <si>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</si>
  <si>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</si>
  <si>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</si>
  <si>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</si>
  <si>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</si>
  <si>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</si>
  <si>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</si>
  <si>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</si>
  <si>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</si>
  <si>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</si>
  <si>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</si>
  <si>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</si>
  <si>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</si>
  <si>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</si>
  <si>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</si>
  <si>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</si>
  <si>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</si>
  <si>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</si>
  <si>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</si>
  <si>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</si>
  <si>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</si>
  <si>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</si>
  <si>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</si>
  <si>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</si>
  <si>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</si>
  <si>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</si>
  <si>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</si>
  <si>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</si>
  <si>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</si>
  <si>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</si>
  <si>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</si>
  <si>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</si>
  <si>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</si>
  <si>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</si>
  <si>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</si>
  <si>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</si>
  <si>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</si>
  <si>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</si>
  <si>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</si>
  <si>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</si>
  <si>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</si>
  <si>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</si>
  <si>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</si>
  <si>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</si>
  <si>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</si>
  <si>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</si>
  <si>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</si>
  <si>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</si>
  <si>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</si>
  <si>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</si>
  <si>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</si>
  <si>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</si>
  <si>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</si>
  <si>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</si>
  <si>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PICU</t>
  </si>
  <si>
    <t>20B</t>
  </si>
  <si>
    <t>20C</t>
  </si>
  <si>
    <t>CCU</t>
  </si>
  <si>
    <t>เคมีบำบัด
และโรคเลือด</t>
  </si>
  <si>
    <t>ผ่าตัด 
นอกเวลา</t>
  </si>
  <si>
    <t>การเงิน 
และบัญชี</t>
  </si>
  <si>
    <t>Stroke</t>
  </si>
  <si>
    <t>หอบ</t>
  </si>
  <si>
    <t xml:space="preserve">สรุปการประเมินผล OP-IP VOICE เดือนกรกฏาคม 2568 </t>
  </si>
  <si>
    <t>Metha Plus</t>
  </si>
  <si>
    <t xml:space="preserve">ค่าเฉลี่ยความพึงพอใจการใช้บริการของโรงพยาบาล OPD = 86.97 % IPD = 91.12%  </t>
  </si>
  <si>
    <t>ค่าเฉลี่ยการแนะนำญาติหรือคนรู้จักให้มาใช้บริการที่โรงพยาบาล  OPD = 87.21 % IPD = 96.21%</t>
  </si>
  <si>
    <t xml:space="preserve"> -	การลงทะเบียนชอบแบบเดิมมากว่า</t>
  </si>
  <si>
    <t xml:space="preserve"> -	มาตั้งแต่ 2 ทุ่ม ให้ไปคลินิกนอกเวลาชั้น 4 พอ 4 ทุ่ม คลินิกนอกเวลาปิด ให้มาห้องฉุกเฉิน รอๆ จนตี1 แล้วยังไม่ได้ตรวจ นี่ขนาดคนไข้แน่นหน้าอกมากนะ ถ้าเป็นเยอะคงตายก่อนได้พบแพทย์</t>
  </si>
  <si>
    <t xml:space="preserve">-	วันนี้เจอระดับน้ำเสียงดุที่ห้อง x-ray เพราะถามรอบสอง อาจจะเหนื่อยเพราะคนไข้ค่อนข้างเยอะ </t>
  </si>
  <si>
    <t xml:space="preserve"> -	ความพร้อมล่าช้า บางทีคนน้อยแต่รอนานเกินไป อยากให้เร็วกว่านี้นิดนึง</t>
  </si>
  <si>
    <t xml:space="preserve"> -	วันที่ 22/6/2568 ไปติดต่อเรื่องใบนัดหาย ใบนัดทั้งหมดหาย เลยไปติดต่อที่ชั้น 1 จุดคัดกรอง บอกว่ามาขอรับใบนัดพอดีใบนัดหาย เขาถามกลับมาว่าใบนัดอะไร ผมเลยบอกว่าใบนัดผ่าตัด เขาก็ยังถามว่าไบนัดอะไร ผมก็บอกว่าใบนัดผ่าตัด เขาเลยบอกว่าใช่ใบนัดผ่าตัดไหมหรือใบนัดคุยกับแพทย์         ผมเลยบอกว่าใบนัดหายหมดเลยไม่รู้ใบนัดอะไรแต่ผมขอใบนัดหน่อย เขาก็ยังถามว่าใบนัดอะไร             คือเขาเรียนมาสูงหรือว่านิยามคำว่าหายทั้งหมดไม่ออกใช่ไหม ก็ต้องการไปนัดทั้งหมดไงจะมาถามว่าใบนัดอะไรจะมาหาแพทย์มันควรจะเป็นใบนัดอะไรมีอยู่นัดเดียวเนี่ยนัดผ่าตัด ผมคงไม่นัดแพทย์ไปทานข้าวหรอกมั้ง วันที่ 24 มิถุนายน 2568 มันก็มีอยู่นัดเดียวนัดผ่าตัด เอกสารนัดหายทั้งหมดคิดว่าผมต้องขอใบนัดอะไร แล้วมาถอนหายใจบอกว่าเฮ้อเหนื่อย ถ้าเหนื่อยก็ไม่ต้องทำก็ได้นะแค่ปริ้นใบนัดแล้วมันเหนื่อยมากก็ไม่ต้องทำ เอกสารหายทั้งหมดครับขอใบนัดใหม่หน่อย ยังต้องมีคำถามไหมว่าใบนัดอะไรมันมีอยู่นัดเดียววันที่ 24 เดือนมิถุนายน 2568 มันคงไม่เป็นนัดแพทย์ไปทานข้าวหรอกครับ</t>
  </si>
  <si>
    <t xml:space="preserve"> -	อยากมาคลินิกนอกเวลาแต่ไม่ได้นัดไว้ เจ้าหน้าที่เคาน์เตอร์ชั้น 1 ก็จะให้กลับบ้านทั้ง ๆ ที่เดินทางมาไกล</t>
  </si>
  <si>
    <t xml:space="preserve"> -	เรื่องการประสานงานระหว่างแผนก เอกสาร หรืออื่น ๆ รู้สึกว่ายังมีความคลาดเคลื่อน และเข้าใจไม่ตรงกัน ทำให้คนไข้เกิดความสับสน</t>
  </si>
  <si>
    <t xml:space="preserve"> -	การให้ความชัดเจนในขั้นตอนรักษา</t>
  </si>
  <si>
    <t xml:space="preserve"> -	เรียกแต่ชื่อ ไม่เรียกนามสกุล ตอนซักประวัติมีคนชื่อซ้ำ แล้วกรอกข้อมูลผู้ป่วยผิดคน</t>
  </si>
  <si>
    <t xml:space="preserve"> -	ความซ้ำซ้อนที่จุดลงทะเบียน ชั้น 1 ก่อนมาชั้น 3 หากมี Barcode หรือ QR Code ส่งตรงมาที่ชั้น 3 ได้เลยจะดีมาก เพราะผู้ป่วยบางครั้งไม่สะดวกไป 2 ชั้น</t>
  </si>
  <si>
    <t xml:space="preserve"> -	คนไข้เยอะ แพทย์น้อย ช้ามาก</t>
  </si>
  <si>
    <t xml:space="preserve"> -	บางแผนก เหมือนไม่เต็มใจบริการ ห้อง ICU หลายคน ที่ปฏิบัติงาน บางคนเหมือนไม่อยากทำ เหมือนมาทำงานรับเงินเดือนไปวันๆ ผู้ป่วยหมดกำลังใจ เพราะพูดไม่ดีเช็ดตัวคนไข้แรงมาก คือสงสารคนไข้บ้าง พึ่งผ่าตัดมา</t>
  </si>
  <si>
    <t xml:space="preserve"> -	ตอนนั้นรอคิวเพื่อชำระเงิน รอนานเพราะไม่รู้ว่ารออะไร ถ้ามีเครื่องรับบัตรคิว ถึงคิวจะได้ชำระเงินได้ บางคนไม่เข้าใจจะโวยวาย ทำให้รู้สึกไม่ดีกับเจ้าหน้าที่ ในวันนั้นผู้มาใช้บริการเยอะ</t>
  </si>
  <si>
    <t xml:space="preserve"> -	รอช่องจ่ายยาช้า รอนานไป (2)</t>
  </si>
  <si>
    <t xml:space="preserve"> -	ค่านอกเวลา 150 + ค่าแพทย์ 500 คิดว่าเป็นราคาที่เหมาะสมแล้ว บางแผนกเรียกสูงถึง 2,000 บาท คิดว่าเป็นราคาที่สูงเกินไป</t>
  </si>
  <si>
    <t xml:space="preserve"> -	เรื่องความชัดเจนในการเรียกคิว</t>
  </si>
  <si>
    <t>-	เจ้าหน้าที่ห้องจ่ายยาควรปรับปรุงพฤติกรรมบริการ</t>
  </si>
  <si>
    <t xml:space="preserve"> -	ควรมีระบบการจองคิวล่วงหน้าและนัดเวลา ลดการต่อคิว</t>
  </si>
  <si>
    <t xml:space="preserve"> -	อยากให้มีโรงอาหารอย่างจริงจัง ไม่ใช่ ไปซื้อมาเป็นกล่อง ๆ ที่วางขายหน้าบันไดเลื่อนมาทาน ควรเป็นอาหารที่ปรุงสุกสดใหม่ </t>
  </si>
  <si>
    <t xml:space="preserve"> -	ไม่อยากให้เก็บค่าจอดรถ เมื่อมารักษา อาจจะเป็นการแสตมป์บัตรจอดรถก็ได้ถ้าใครไม่ได้รับการแสตมป์ถึงค่อยเก็บตังค์</t>
  </si>
  <si>
    <t xml:space="preserve"> -	เนื่องจากผู้ป่วยเยอะ อาจจะมีระบบเช็คลิสติดตามระยะเวลาดำเนินการของผู้ใช้บริการ เหมือนระบบของพัฒนาที่ดิน</t>
  </si>
  <si>
    <t xml:space="preserve"> -	รอพบแพทย์นาน (2)</t>
  </si>
  <si>
    <t>-	แพทย์และเจ้าหน้าที่ควรมีให้มากกว่านี้</t>
  </si>
  <si>
    <t xml:space="preserve"> -	ที่นั่งไม่เพียงพอ (Meta Clinic)</t>
  </si>
  <si>
    <t xml:space="preserve"> -	อาจจะมีบางคนพูดจาห่วน ๆ  แต่พอเข้าใจได้ว่าคนไข้เยอะ แต่เห็นใจเจ้าหน้าที่อ คนไข้บางคนก็ไม่เข้าใจ แต่ดิฉันพึงพอใจ รับได้ ขอแค่พูดดี ๆ ให้คำตอบชัดเจนก็โอเคแล้ว</t>
  </si>
  <si>
    <t xml:space="preserve"> -	ตอนเช้า เข้าโรงพยาบาลคนเบียดกันมากเกินไป</t>
  </si>
  <si>
    <t xml:space="preserve"> -	อยากให้เรียกชื่อคนไข้ผ่านลำโพง เนื่องจากคนไข้เยอะทำให้ไม่ได้ยินเสียงเรียกเข้าห้องตรวจ อยากให้แจ้งชัดเจนว่าเรียกลำดับที่เท่าไหร่แล้ว (คลินิกศัลยกรรม)</t>
  </si>
  <si>
    <t xml:space="preserve"> -	แพทย์ช้าเกินไป</t>
  </si>
  <si>
    <t xml:space="preserve"> -	การพิจารณาแอดมิทในโรงพยาบาลมีหลายขั้นตอนเด็กที่มีโรคประจำตัวเช่น หอบและมีอาการติดเชื้อทางเดินหายใจ เช่น RVS ควรพิจารณาให้นอน โรงพยาบาลจะได้ดูแลจากแพทย์อย่างใกล้ชิด ไม่ใช่ให้มีอาการหนักและต้องมา โรงพยาบาลตอนดึกซึ่ง เวลาดึกก็ไม่มีบุคลากรเพียงพอ รอนาน ไม่มีแพทย์เฉพาะทาง</t>
  </si>
  <si>
    <t xml:space="preserve"> -	เรื่องการรอจ่ายเงินและรับยา ใช้เวลานานไป (3)</t>
  </si>
  <si>
    <t xml:space="preserve"> -	ไม่ประทับใจจุดรับยา (คลินิกฝากครรภ์ ANC)</t>
  </si>
  <si>
    <t xml:space="preserve"> -	การประชาสัมพันธ์ค่อนข้างไม่ชัดเจน</t>
  </si>
  <si>
    <t xml:space="preserve"> -	ที่ตรวจกับจุดเจาะเลือดอยู่ไกลกันมาก (คลินิกฝากครรภ์ ANC)</t>
  </si>
  <si>
    <t xml:space="preserve"> -	ควรมีจุดตรวจปัสสาวะอยู่ชั้นเดียวกันกับสูตินรีเวช</t>
  </si>
  <si>
    <t xml:space="preserve"> -	อยากให้จัดการเรื่องที่นั่งให้พอและบอกสามีที่นั่งกับแม่เสียสละที่นั่งให้คนท้อง (คลินิกฝากครรภ์ ANC)</t>
  </si>
  <si>
    <t xml:space="preserve"> -	อยากให้ปรับปรุงเรื่องการเงิน อยากให้มีบริการที่ชั้น6 ด้วยค่ะ เพราะ ณ ปัจจุบัน ขึ้นมายื่นนัดที่ชั้น 6 แล้วต้องลงไปชำระเงินที่ชั้น 4 ต่อ เพื่อความสะดวกในการใช้บริการของคุณแม่</t>
  </si>
  <si>
    <t>-	รถติดมากเวลามาโรงพยาบาลวนหาที่จอดรถนาน</t>
  </si>
  <si>
    <t xml:space="preserve"> -	การลงทะเบียนต้องไปลงชั้น 1 จากเดิมที่สามารถลงทะเบียนในชั้นนั้น ๆ ได้เลย	 </t>
  </si>
  <si>
    <t xml:space="preserve"> -	ปรับปรุงเรื่องการพูดจาให้ดี</t>
  </si>
  <si>
    <t xml:space="preserve"> -	รอรับยานาน</t>
  </si>
  <si>
    <t xml:space="preserve"> -	ใช้เวลาในการรับบริการนาน (3)</t>
  </si>
  <si>
    <t>-	เพิ่มจำนวนแพทย์(อาจทำได้ยาก)เพื่อลดภาระการทำงานหนักต่อเนื่อง เป็นเรื่องยากที่จะทำให้ประชาชนทุกคนพอใจในการมาโรงพยาบาล แต่ผมคิดว่าประชาชนทั่วไปรับรู้ได้ถึงความพยายามของทีมพยาบาล</t>
  </si>
  <si>
    <t>-	แพทย์รักษามีจำนวนน้อยไปหน่อย ทำให้การเข้ารับการรักษาใช้เวลานาน</t>
  </si>
  <si>
    <t>-	จุดประชาสัมพันธ์มีเจ้าหน้าที่บางคนไม่รับฟังความคิดเห็นและให้กลับบ้านทั้งที่ยังไม่ได้รับบริการ จนต้องได้มาติดต่อใหม่</t>
  </si>
  <si>
    <t xml:space="preserve"> -	ระยะเวลารอคิวนานเหมือนเดิม เก็บค่าที่จอดรถกว่าจะได้พบแพทย์จนเสร็จนานมากๆ ควรยืดเวลาจอดรถให้นานขึ้นเป็น 5 ชั่วโมง</t>
  </si>
  <si>
    <t>-	ปรับปรุงที่จอดรถ</t>
  </si>
  <si>
    <t>-	จุดเช็คประวัติคนไข้อยากให้ปรับปรุงใส่ใจกับคนไข้ด้วยน้ำเสียงที่อ่อนโยน อย่าใช้น้ำเสียงที่ดุ บางครั้งคนไข้อายุมากแล้ววางเอกสารไม่ถูกใจ</t>
  </si>
  <si>
    <t xml:space="preserve"> -	รอตรวจนานมาก (3)</t>
  </si>
  <si>
    <t>-	ควรเพิ่มแพทย์เวรที่ลงตรวจให้มากกว่านี้ คนไข้รอนานเกินไป</t>
  </si>
  <si>
    <t>-	ควรเพิ่มจำนวนแพทย์ให้เพียงพอต่อจำนวนคนไข้ เนื่องจากการตรวจค่อนข้างละเอียด คนไข้ 1 คน จึงใช้เวลานาน หากแพทย์มากขึ้นน่าจะเร็วขึ้น</t>
  </si>
  <si>
    <t>-	แพทย์ค่อนข้างน้อย มาก่อน 8 โมงให้ตรวจบ่ายตลอดเลย</t>
  </si>
  <si>
    <t>-	ช่วงบ่ายแพทย์น้อยมาก คนไข้รอนาน</t>
  </si>
  <si>
    <t>-	ห้องเจาะเลือดหน้าตาบูดบึ้งมาก และควรให้เวลาสำหรับจอดรถมากกว่า 3 ชั่วโมงฟรี เพราะต้องรอผลตรวจเลือดแพทย์+รับยา รวมทั้งสิ้นเกินกว่า 3 ชั่วโมง</t>
  </si>
  <si>
    <t>-	เจ้าหน้าบางท่านทำงานแบบระบบราชการเดิมๆ ซึ่งหลายหน่วยงานปรับการทำงานกันแล้วแต่บุคลากรส่วนนี้ยังทำแบบเดิมเช่น เรื่อง service min การรับฟังคนไข้ การให้คำแนะ ถ้าเทียบกับตึก 150 อย่างกับไปคนละโรงพยาบาลทั้งๆที่เป็นโรงพยาบาลเดียวกัน หรือเป็นเพราะอยู่ตึกเก่าเลยให้บริการแบบเดิม ๆ ให้คะแนน 1 (คลินิกทันตกรรม)</t>
  </si>
  <si>
    <t xml:space="preserve"> -	วันเวลาเข้ารับบริการ: คืนวันที่ 13 กรกฎาคม 2568
สถานที่: แผนกฉุกเฉิน 
•	การสื่อสารของเจ้าหน้าที่พยาบาลที่จุดคัดกรอง เจ้าหน้าที่พยาบาลบริเวณจุดคัดกรองมีลักษณะการพูดจาที่ไม่เหมาะสม ใช้น้ำเสียงห้วน ไม่มีหางเสียง และให้ความรู้สึกเสมือนเป็นการตำหนิผู้รับบริการ พฤติกรรมดังกล่าวสร้างความรู้สึกไม่เป็นมิตร และขาดความเคารพต่อศักดิ์ศรีของผู้ป่วยและญาติ ไม่ว่าจะเป็นผู้รับบริการในฐานะใดก็ตาม การใช้ถ้อยคำสุภาพควรถือเป็นมาตรฐานขั้นต่ำของการบริการ
•	ระบบการประกาศเรียกญาติผู้ป่วย มีการประกาศเรียกชื่อญาติผู้ป่วยเพียงครั้งเดียว ซึ่งอาจทำให้บางท่านที่นั่งอยู่ห่างออกไปไม่ได้ยินอย่างชัดเจน เมื่อสอบถามพนักงานรักษาความปลอดภัย ได้รับคำแนะนำให้ไปสอบถามพยาบาลจุดคัดกรอง แต่พยาบาลกลับปฏิเสธความรับผิดชอบ พร้อมกล่าวว่า “ญาติจะต้องฟังเอง พยาบาลไม่มีหน้าที่มานั่งฟังชื่อคนไข้ให้”
•	3. ความประพฤติและภาพลักษณ์ของเจ้าหน้าที่ บริเวณหน้าห้องฉุกเฉิน ซึ่งเป็นพื้นที่ให้บริการผู้ป่วย มีเจ้าหน้าที่บางราย (ทั้งพยาบาลและเวรเปล) นั่งรับประทานอาหารหรือขนม (เช่น นั่งแกะเม็ดแตงรับประทาน) ใช้โทรศัพท์มือถือ ใส่หูฟัง หรือแสดงท่าทางไม่เหมาะสม เช่น นั่งยกขา กระดิกขา พนักงานบางรายแต่งกายไม่เรียบร้อย เช่น พนักงานเวรเปลหญิง สยายผมยาว ไม่รวบผมขณะปฏิบัติงาน ซึ่งลดทอนภาพลักษณ์ของโรงพยาบาลอย่างมาก
•	4. ความไม่สอดคล้องระหว่างคุณภาพของแพทย์และเจ้าหน้าที่อื่น ๆ แม้คุณภาพการรักษาและการสื่อสารของแพทย์จะอยู่ในระดับที่ดี มีความเชี่ยวชาญและสุภาพ แต่พฤติกรรมของเจ้าหน้าที่บางรายกลับทำให้ภาพลักษณ์โดยรวมของโรงพยาบาลเสื่อมเสีย
แม้ว่าโรงพยาบาลแห่งนี้จะเป็นโรงพยาบาลในระดับอำเภอภายใต้ระบบของรัฐ แต่ดิฉันเชื่อมั่นว่า หากมีการพัฒนาคุณภาพและมาตรฐานการให้บริการอย่างต่อเนื่อง จะสามารถเสริมสร้างภาพลักษณ์ที่ดี และส่งผลต่อชื่อเสียงของโรงพยาบาลได้อย่างแน่นอน
โรงพยาบาลแห่งนี้มีจุดแข็งที่สำคัญคือการมีทีมแพทย์ผู้เชี่ยวชาญเฉพาะทางในหลากหลายสาขา และสามารถวางแผนการรักษาได้อย่างครอบคลุมและเป็นระบบ ซึ่งถือเป็นศักยภาพที่หาได้ยากในโรงพยาบาลระดับอำเภอทั่วไป
ดิฉันจึงใคร่ขอเสนอให้โรงพยาบาลให้ความสำคัญกับการพัฒนาคุณภาพของบุคลากรและเจ้าหน้าที่ในทุกระดับ โดยเฉพาะในเรื่องของการบริการ การสื่อสาร และความใส่ใจในรายละเอียดเล็ก ๆ น้อย ๆ ที่ส่งผลต่อความรู้สึกของผู้รับบริการโดยตรง
ไม่ควรมองว่าโรงพยาบาลของรัฐเป็นเพียงสถานพยาบาลสำหรับ “คนทั่วไป” หรือ “ชาวบ้าน” เท่านั้น เพราะในความเป็นจริง ผู้รับบริการทุกคนไม่ว่าจะมาจากพื้นเพหรือฐานะใด ต่างควรได้รับการดูแลด้วยมาตรฐานเดียวกัน ทั้งในด้านการรักษา ถ้อยคำที่ใช้ และทัศนคติของผู้ให้บริการ
หากโรงพยาบาลสามารถยกระดับคุณภาพในจุดนี้ได้ จะช่วยเปลี่ยนภาพจำเดิม ๆ ของโรงพยาบาลรัฐบาลที่มักถูกมองว่าล้าสมัย ไม่สะอาด และให้บริการไม่ดี ให้กลายเป็นภาพลักษณ์ใหม่ที่น่าชื่นชม เป็นโรงพยาบาลรัฐที่มีทั้งคุณภาพทางการแพทย์และมาตรฐานการบริการที่ดีเยี่ยม ซึ่งดิฉันเชื่อว่าโรงพยาบาลของท่านมีศักยภาพเพียงพอที่จะก้าวไปสู่จุดนั้นได้อย่างแน่นอนค่ะ</t>
  </si>
  <si>
    <t>-	เจ้าหน้าที่ห้องจ่ายยาพูดจาไม่ค่อยดี</t>
  </si>
  <si>
    <t xml:space="preserve">-	เจ้าหน้าที่การเงินมีน้อย เป็นจุดบริการที่สำคัญ ทำให้มีระยะเวลาการรอคอยในการจ่ายเงินต่อเคส ประมาณ 20 นาที  ควรจะต้องปรับปรุง พัฒนา เคยได้รับการแก้ไข มีเพียงพอ แต่กลับมาอีกครั้งก็เหมือนเดิม </t>
  </si>
  <si>
    <t xml:space="preserve"> -	อยากให้พยาบาลอยู่ด้วย 1 คน ในห้องคลอด</t>
  </si>
  <si>
    <t xml:space="preserve"> -	ห้องอาบน้ำน้อยเกินไป (18B)</t>
  </si>
  <si>
    <t xml:space="preserve"> -	เพิ่มเจ้าหน้าที่ น่าจะให้บรรยากาศการทำงานมีความสุขกว่านี้</t>
  </si>
  <si>
    <t xml:space="preserve"> -	จุดคัดกรองเปลี่ยนระบบมั่วไปหมด</t>
  </si>
  <si>
    <t xml:space="preserve"> -	ห้องน้ำเล็กมาก เข้าไปพร้อมกับสายน้ำเกลือลำบาก ต้องถอยหลังเข้า (18C)</t>
  </si>
  <si>
    <t xml:space="preserve"> -	แอร์หนาวเกินไป (18D)</t>
  </si>
  <si>
    <t xml:space="preserve"> -	การระบายอากาศไม่ดี มีกลิ่นไม่พึงประสงค์ โดยเฉพาะกลิ่นอุจจาระของผู้ป่วยที่ถ่านที่เตียง และไม่สามารถเปิดกระจกระบายอากาศได้ กว่ากลิ่ยจะหายนานมาก ๆ (19A)</t>
  </si>
  <si>
    <t xml:space="preserve"> -	สะอาด แต่การระบายอากาศไม่ดีเวลามีกลิ่นไม่พึงประสงค์ (19A)</t>
  </si>
  <si>
    <t xml:space="preserve"> -	ควรมีระบบระบายอากาศที่ดีกว่านี้ มีกลิ่นค่อนข้สงรุนแรง ถึงแม้เจ้าหน้าที่จะฉีดสเปย์ดับกลิ่นแล้วก็ตาม (19A)</t>
  </si>
  <si>
    <t xml:space="preserve"> -	เครื่องดูดอากาศไม่ดี (19A)</t>
  </si>
  <si>
    <t xml:space="preserve"> -	การประเมินค่าใช้จ่ายไม่ใกล้เคียงกับความจริง</t>
  </si>
  <si>
    <t xml:space="preserve"> -	ปรับปรุงเรื่องความชัดเจนในการสื่อสาร ข้อมูลรายละเอียดต่าง ๆ </t>
  </si>
  <si>
    <t xml:space="preserve"> -	ควรแนะนำให้กับผู้ที่เข้ารับบริการใหม่ และญาติให้เข้าใจ</t>
  </si>
  <si>
    <t xml:space="preserve"> -	ผ้าห่มบาง ทำให้หนาวมากในเวลากลางคืน (20B)</t>
  </si>
  <si>
    <t xml:space="preserve"> -	การเตรียมเอกสารและยาก่อนออกโรงพยาบาลค่อนข้างใช้เวลานาน</t>
  </si>
  <si>
    <t xml:space="preserve"> -	ตรวจผู้ป่วยให้ไวกว่านี้</t>
  </si>
  <si>
    <t xml:space="preserve"> -	I understand which how you are busy many case but could be better to hear  when I need your information.</t>
  </si>
  <si>
    <t xml:space="preserve"> -	ควรจัดกิจกรรมให้ความรู้ด้านสุขภาพ</t>
  </si>
  <si>
    <t xml:space="preserve"> -	การสื่อสารระหว่างแพทย์กับผู้ป่วยน้อยจนเกินไป</t>
  </si>
  <si>
    <t xml:space="preserve"> -	ระยะเวลที่รอตรวจที่ OPD กว่าจะได้เข้า Admit นานมาก ควรจะแจ้งก่อนว่ารออะไร</t>
  </si>
  <si>
    <t xml:space="preserve"> -	ไม่มีชุดขนาดใหญ่เพียงพอ (22B)</t>
  </si>
  <si>
    <t xml:space="preserve"> -	ด้วยความที่มีแพทย์เวรประจำตอนกลางคืน 1 คน ทำให้บางวัน แพทย์ไม่เพียงพอต่อปริมาณคนไข้</t>
  </si>
  <si>
    <t xml:space="preserve"> -	ปรับปรุงตรงลงทะเบียนจองห้อง ทำงานช้ามาก ๆ</t>
  </si>
  <si>
    <t xml:space="preserve"> -	เรื่องการใช้เสียง ช่วงเวลาเปลี่ยนเวร (เพราะผู้ป่วยรักษาร่างกายต้องการพักผ่อน) </t>
  </si>
  <si>
    <t xml:space="preserve"> -	ห้องอาบน้ำ ควรมีมากกว่า 2 ห้อง เพราะถ้าผู้ป่วยที่สามารถช่วยเหลือตัวเองได้ ต้องไปอาบน้ำในเวลาเดียวกัน จะได้ไม่ต้องเสียเวลารอ  (22D)</t>
  </si>
  <si>
    <t xml:space="preserve"> -	หมอนที่ใช้หนุนนอน ปลอกยางด้านในแข็งมาก ทำให้นอนหนุนไม่สบายเลย หนุนแล้วปวดคอเป็นอย่างมาก (22D)</t>
  </si>
  <si>
    <t xml:space="preserve"> -	ห้องธรรมดาควรปรับปรุงมาก </t>
  </si>
  <si>
    <t xml:space="preserve"> -	เนื่องจากผู้ใช้บริการเยอะ อาจทำให้รอนาน</t>
  </si>
  <si>
    <t xml:space="preserve"> -	เบาะโซฟา ค่อนข้างยุบตัว นอนเฝ้าไข้ ไม่ค่อยสบายตัว (23A)</t>
  </si>
  <si>
    <t xml:space="preserve"> -	ที่จอดรถค่อนข้างมีจำกัด</t>
  </si>
  <si>
    <t xml:space="preserve"> -	หาที่จอดรถยาก</t>
  </si>
  <si>
    <t xml:space="preserve"> -	ขอความกรุณาเปิด-ปิดประตูเบา ๆ ตกใจ</t>
  </si>
  <si>
    <t xml:space="preserve"> -	ที่จอดนอกอาคาร บริการด้านนอกอาคาร เรื่องที่จอดรถควรแนะนำหรือช่วยหาที่จอด รถบางประเภทจอดในตึกไม่ได้ ให้วนหาที่จอดเอง จอดรถก็ไม่ได้</t>
  </si>
  <si>
    <t xml:space="preserve"> -	ควรทำความสะอาดถูพื้นห้องทุกวัน (24A)</t>
  </si>
  <si>
    <t xml:space="preserve"> -	ควรปรับปรุงเรื่องป้ายต่าง ๆ ให้ชัดเจนกว่านี้ (24A)</t>
  </si>
  <si>
    <t xml:space="preserve"> -	ที่กดน้ำร้อนสูงไปหน่อยค่ะ เกรงว่าจะไม่ปลอดภัยตอนกด ขอแนะนำให้ความสูงอยู่ในระดับตู้กดน้ำมาตรฐาน (24A)</t>
  </si>
  <si>
    <t xml:space="preserve"> -	รอลิฟต์นานมาก วันเสาร์-อาทิตย์ </t>
  </si>
  <si>
    <t xml:space="preserve"> -ไม่มีร้านข้าวในตึก ญาติผู้ป่วยที่ไม่แข็งแรงหาข้าวทานยากค่ะ เดินไกลไม่ไหว</t>
  </si>
  <si>
    <t xml:space="preserve"> -	เงื่อนไขของผู้มีบริจาคเลือดที่ได้รับสิทธิส่วนลดไม่ชัดเจน ปี 2567 กับ 2568 ได้ส่วนลดไม่เหมือนกัน</t>
  </si>
  <si>
    <t xml:space="preserve"> -	สถานที่จอดรถยนต์ทางขึ้น – ลงและช่องจอดคับแคบทำให้รถยนต์คันใหญ่ ขึ้น-ลงลำบากและอาจเกิดความเสียหายต่อรถยนต์ผู้ป่วยได้</t>
  </si>
  <si>
    <t xml:space="preserve"> -	ประตูห้องน้ำเปิดยาก (26B)</t>
  </si>
  <si>
    <t xml:space="preserve"> -	ปรับปรุงทีวีให้สามารถดูได้หลากหลาย เช่น Netflix , Youtube Premium (26B)</t>
  </si>
  <si>
    <t xml:space="preserve"> -	เวลาตอนเย็นน่าจะมีแพทย์อยู่เข้าเวรหน่อย</t>
  </si>
  <si>
    <t>อันดับ 1 การให้บริการโดยรวม (OPD : 32 IPD : 18 )</t>
  </si>
  <si>
    <t>อันดับ 2 อุปกรณ์ เครื่องมือ และสถานที่ไม่สมบูรณ์ (OPD : 10 IPD : 22 )</t>
  </si>
  <si>
    <t>อันดับ 3 การทำงานและพฤติกรรมของบุคลากร (OPD : 15 IPD : 3 )</t>
  </si>
  <si>
    <t>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</si>
</sst>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###0.00"/>
    <numFmt numFmtId="188" formatCode="###0"/>
    <numFmt numFmtId="189" formatCode="0.000"/>
  </numFmts>
  <fonts count="35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indexed="8"/>
      <name val="Arial"/>
      <family val="2"/>
      <charset val="22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6"/>
      <name val="TH SarabunPSK"/>
      <family val="2"/>
      <charset val="222"/>
    </font>
    <font>
      <sz val="16"/>
      <name val="TH SarabunPSK"/>
      <family val="2"/>
      <charset val="22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9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  <xf numFmtId="0" fontId="31" fillId="0" borderId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13" fillId="0" borderId="0" xfId="0" quotePrefix="1" applyNumberFormat="1" applyFont="1" applyAlignment="1">
      <alignment horizontal="left" vertical="center" indent="3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2" fontId="28" fillId="6" borderId="1" xfId="14" applyNumberFormat="1" applyFont="1" applyFill="1" applyBorder="1" applyAlignment="1">
      <alignment horizontal="center" vertical="center" wrapText="1"/>
    </xf>
    <xf numFmtId="2" fontId="29" fillId="6" borderId="1" xfId="0" applyNumberFormat="1" applyFont="1" applyFill="1" applyBorder="1" applyAlignment="1">
      <alignment horizontal="center" vertical="center" wrapText="1"/>
    </xf>
    <xf numFmtId="0" fontId="29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30" fillId="2" borderId="1" xfId="0" applyFont="1" applyFill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188" fontId="32" fillId="0" borderId="11" xfId="18" applyNumberFormat="1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189" fontId="3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justify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49" fontId="14" fillId="0" borderId="0" xfId="0" applyNumberFormat="1" applyFont="1" applyAlignment="1">
      <alignment horizontal="left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vertical="center" wrapText="1"/>
    </xf>
    <xf numFmtId="49" fontId="26" fillId="0" borderId="0" xfId="0" applyNumberFormat="1" applyFont="1" applyAlignment="1">
      <alignment horizontal="left" vertical="top" wrapText="1"/>
    </xf>
    <xf numFmtId="0" fontId="5" fillId="0" borderId="0" xfId="0" applyFont="1" applyAlignment="1">
      <alignment horizontal="left" vertical="center"/>
    </xf>
    <xf numFmtId="49" fontId="1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9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" xfId="18" xr:uid="{3138186D-58E9-4C9D-BA9F-FDCE2BD70473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5"/>
  <sheetViews>
    <sheetView topLeftCell="A28" zoomScale="90" zoomScaleNormal="90" zoomScaleSheetLayoutView="80" workbookViewId="0">
      <selection activeCell="B103" sqref="B103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9" s="13" customFormat="1" ht="49.7" customHeight="1">
      <c r="A1" s="101" t="s">
        <v>98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spans="1:19" s="13" customFormat="1" ht="49.7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</row>
    <row r="3" spans="1:19" s="2" customFormat="1" ht="54.75" customHeight="1">
      <c r="A3" s="6" t="s">
        <v>0</v>
      </c>
      <c r="B3" s="87" t="s">
        <v>69</v>
      </c>
      <c r="C3" s="87" t="s">
        <v>71</v>
      </c>
      <c r="D3" s="87" t="s">
        <v>67</v>
      </c>
      <c r="E3" s="1" t="s">
        <v>2</v>
      </c>
      <c r="F3" s="1" t="s">
        <v>57</v>
      </c>
      <c r="G3" s="1" t="s">
        <v>63</v>
      </c>
      <c r="H3" s="1" t="s">
        <v>58</v>
      </c>
      <c r="I3" s="1" t="s">
        <v>99</v>
      </c>
      <c r="J3" s="1" t="s">
        <v>3</v>
      </c>
      <c r="K3" s="1" t="s">
        <v>4</v>
      </c>
      <c r="L3" s="1" t="s">
        <v>60</v>
      </c>
      <c r="M3" s="1" t="s">
        <v>49</v>
      </c>
      <c r="N3" s="1" t="s">
        <v>43</v>
      </c>
      <c r="O3" s="1" t="s">
        <v>5</v>
      </c>
      <c r="P3" s="1" t="s">
        <v>64</v>
      </c>
      <c r="Q3" s="1" t="s">
        <v>61</v>
      </c>
      <c r="R3" s="1" t="s">
        <v>68</v>
      </c>
      <c r="S3" s="1" t="s">
        <v>54</v>
      </c>
    </row>
    <row r="4" spans="1:19" s="83" customFormat="1" ht="24.75" customHeight="1" thickBot="1">
      <c r="A4" s="80" t="s">
        <v>8</v>
      </c>
      <c r="B4" s="25">
        <v>9</v>
      </c>
      <c r="C4" s="81">
        <v>2</v>
      </c>
      <c r="D4" s="61" t="s">
        <v>65</v>
      </c>
      <c r="E4" s="82">
        <v>3</v>
      </c>
      <c r="F4" s="91">
        <v>80</v>
      </c>
      <c r="G4" s="91">
        <v>167</v>
      </c>
      <c r="H4" s="61">
        <v>113</v>
      </c>
      <c r="I4" s="81">
        <v>22</v>
      </c>
      <c r="J4" s="81">
        <v>113</v>
      </c>
      <c r="K4" s="61" t="s">
        <v>65</v>
      </c>
      <c r="L4" s="81">
        <v>6</v>
      </c>
      <c r="M4" s="81">
        <v>21</v>
      </c>
      <c r="N4" s="92">
        <v>115</v>
      </c>
      <c r="O4" s="81">
        <v>148</v>
      </c>
      <c r="P4" s="81">
        <v>7</v>
      </c>
      <c r="Q4" s="61" t="s">
        <v>65</v>
      </c>
      <c r="R4" s="61" t="s">
        <v>65</v>
      </c>
      <c r="S4" s="61" t="s">
        <v>65</v>
      </c>
    </row>
    <row r="5" spans="1:19" s="2" customFormat="1" ht="24" customHeight="1" thickBot="1">
      <c r="A5" s="89" t="s">
        <v>73</v>
      </c>
      <c r="B5" s="24">
        <v>3.6666666666666665</v>
      </c>
      <c r="C5" s="75">
        <v>4.5</v>
      </c>
      <c r="D5" s="61" t="s">
        <v>65</v>
      </c>
      <c r="E5" s="30">
        <v>5</v>
      </c>
      <c r="F5" s="75">
        <v>4.3999999999999986</v>
      </c>
      <c r="G5" s="24">
        <v>4.2634730538922154</v>
      </c>
      <c r="H5" s="88">
        <v>4.3362831858407089</v>
      </c>
      <c r="I5" s="19">
        <v>4.5909090909090899</v>
      </c>
      <c r="J5" s="19">
        <v>4.3451327433628331</v>
      </c>
      <c r="K5" s="61" t="s">
        <v>65</v>
      </c>
      <c r="L5" s="19">
        <v>4.3333333333333339</v>
      </c>
      <c r="M5" s="19">
        <v>4.3809523809523805</v>
      </c>
      <c r="N5" s="19">
        <v>4.5130434782608706</v>
      </c>
      <c r="O5" s="19">
        <v>4.2027027027027026</v>
      </c>
      <c r="P5" s="24">
        <v>4.7142857142857135</v>
      </c>
      <c r="Q5" s="61" t="s">
        <v>65</v>
      </c>
      <c r="R5" s="61" t="s">
        <v>65</v>
      </c>
      <c r="S5" s="61" t="s">
        <v>65</v>
      </c>
    </row>
    <row r="6" spans="1:19" s="2" customFormat="1" ht="24" customHeight="1" thickBot="1">
      <c r="A6" s="90" t="s">
        <v>74</v>
      </c>
      <c r="B6" s="24">
        <v>3.6666666666666665</v>
      </c>
      <c r="C6" s="75">
        <v>4.5</v>
      </c>
      <c r="D6" s="61" t="s">
        <v>65</v>
      </c>
      <c r="E6" s="30">
        <v>5</v>
      </c>
      <c r="F6" s="75">
        <v>4.3999999999999995</v>
      </c>
      <c r="G6" s="24">
        <v>4.2934131736526968</v>
      </c>
      <c r="H6" s="88">
        <v>4.3716814159292028</v>
      </c>
      <c r="I6" s="19">
        <v>4.5909090909090899</v>
      </c>
      <c r="J6" s="19">
        <v>4.398230088495577</v>
      </c>
      <c r="K6" s="61" t="s">
        <v>65</v>
      </c>
      <c r="L6" s="19">
        <v>4.5</v>
      </c>
      <c r="M6" s="19">
        <v>4.3809523809523805</v>
      </c>
      <c r="N6" s="19">
        <v>4.5913043478260862</v>
      </c>
      <c r="O6" s="19">
        <v>4.3310810810810789</v>
      </c>
      <c r="P6" s="24">
        <v>4.5714285714285712</v>
      </c>
      <c r="Q6" s="61" t="s">
        <v>65</v>
      </c>
      <c r="R6" s="61" t="s">
        <v>65</v>
      </c>
      <c r="S6" s="61" t="s">
        <v>65</v>
      </c>
    </row>
    <row r="7" spans="1:19" s="2" customFormat="1" ht="24" customHeight="1" thickBot="1">
      <c r="A7" s="90" t="s">
        <v>75</v>
      </c>
      <c r="B7" s="24">
        <v>3.7777777777777777</v>
      </c>
      <c r="C7" s="75">
        <v>4</v>
      </c>
      <c r="D7" s="61" t="s">
        <v>65</v>
      </c>
      <c r="E7" s="30">
        <v>5</v>
      </c>
      <c r="F7" s="75">
        <v>4.4124999999999988</v>
      </c>
      <c r="G7" s="24">
        <v>4.2035928143712589</v>
      </c>
      <c r="H7" s="88">
        <v>4.3805309734513287</v>
      </c>
      <c r="I7" s="19">
        <v>4.545454545454545</v>
      </c>
      <c r="J7" s="19">
        <v>4.380530973451326</v>
      </c>
      <c r="K7" s="61" t="s">
        <v>65</v>
      </c>
      <c r="L7" s="19">
        <v>4.5</v>
      </c>
      <c r="M7" s="19">
        <v>4.428571428571427</v>
      </c>
      <c r="N7" s="19">
        <v>4.5391304347826109</v>
      </c>
      <c r="O7" s="19">
        <v>4.3445945945945974</v>
      </c>
      <c r="P7" s="24">
        <v>4.5714285714285712</v>
      </c>
      <c r="Q7" s="61" t="s">
        <v>65</v>
      </c>
      <c r="R7" s="61" t="s">
        <v>65</v>
      </c>
      <c r="S7" s="61" t="s">
        <v>65</v>
      </c>
    </row>
    <row r="8" spans="1:19" s="2" customFormat="1" ht="24" customHeight="1" thickBot="1">
      <c r="A8" s="90" t="s">
        <v>76</v>
      </c>
      <c r="B8" s="24">
        <v>3.6666666666666665</v>
      </c>
      <c r="C8" s="75">
        <v>4.5</v>
      </c>
      <c r="D8" s="61" t="s">
        <v>65</v>
      </c>
      <c r="E8" s="30">
        <v>5</v>
      </c>
      <c r="F8" s="75">
        <v>4.3875000000000002</v>
      </c>
      <c r="G8" s="24">
        <v>4.2215568862275425</v>
      </c>
      <c r="H8" s="88">
        <v>4.3628318584070804</v>
      </c>
      <c r="I8" s="19">
        <v>4.5454545454545459</v>
      </c>
      <c r="J8" s="19">
        <v>4.3451327433628322</v>
      </c>
      <c r="K8" s="61" t="s">
        <v>65</v>
      </c>
      <c r="L8" s="19">
        <v>4.3333333333333339</v>
      </c>
      <c r="M8" s="19">
        <v>4.4761904761904754</v>
      </c>
      <c r="N8" s="19">
        <v>4.5304347826086957</v>
      </c>
      <c r="O8" s="19">
        <v>4.3040540540540544</v>
      </c>
      <c r="P8" s="24">
        <v>4.5714285714285712</v>
      </c>
      <c r="Q8" s="61" t="s">
        <v>65</v>
      </c>
      <c r="R8" s="61" t="s">
        <v>65</v>
      </c>
      <c r="S8" s="61" t="s">
        <v>65</v>
      </c>
    </row>
    <row r="9" spans="1:19" s="2" customFormat="1" ht="24" customHeight="1" thickBot="1">
      <c r="A9" s="90" t="s">
        <v>77</v>
      </c>
      <c r="B9" s="24">
        <v>3.6666666666666665</v>
      </c>
      <c r="C9" s="75">
        <v>3.5</v>
      </c>
      <c r="D9" s="61" t="s">
        <v>65</v>
      </c>
      <c r="E9" s="30">
        <v>5</v>
      </c>
      <c r="F9" s="75">
        <v>4.1500000000000012</v>
      </c>
      <c r="G9" s="24">
        <v>4.1197604790419202</v>
      </c>
      <c r="H9" s="88">
        <v>4.2477876106194694</v>
      </c>
      <c r="I9" s="19">
        <v>4.4090909090909083</v>
      </c>
      <c r="J9" s="19">
        <v>4.1858407079646032</v>
      </c>
      <c r="K9" s="61" t="s">
        <v>65</v>
      </c>
      <c r="L9" s="19">
        <v>3.6666666666666665</v>
      </c>
      <c r="M9" s="19">
        <v>4.428571428571427</v>
      </c>
      <c r="N9" s="19">
        <v>4.5304347826086957</v>
      </c>
      <c r="O9" s="19">
        <v>4.2500000000000009</v>
      </c>
      <c r="P9" s="24">
        <v>4.4285714285714288</v>
      </c>
      <c r="Q9" s="61" t="s">
        <v>65</v>
      </c>
      <c r="R9" s="61" t="s">
        <v>65</v>
      </c>
      <c r="S9" s="61" t="s">
        <v>65</v>
      </c>
    </row>
    <row r="10" spans="1:19" s="2" customFormat="1" ht="24" customHeight="1" thickBot="1">
      <c r="A10" s="90" t="s">
        <v>78</v>
      </c>
      <c r="B10" s="24">
        <v>3.7777777777777777</v>
      </c>
      <c r="C10" s="75">
        <v>3.5</v>
      </c>
      <c r="D10" s="61" t="s">
        <v>65</v>
      </c>
      <c r="E10" s="30">
        <v>5</v>
      </c>
      <c r="F10" s="75">
        <v>4.1999999999999984</v>
      </c>
      <c r="G10" s="24">
        <v>4.179640718562875</v>
      </c>
      <c r="H10" s="88">
        <v>4.3451327433628348</v>
      </c>
      <c r="I10" s="19">
        <v>4.3636363636363642</v>
      </c>
      <c r="J10" s="19">
        <v>4.2123893805309756</v>
      </c>
      <c r="K10" s="61" t="s">
        <v>65</v>
      </c>
      <c r="L10" s="19">
        <v>3.8333333333333335</v>
      </c>
      <c r="M10" s="19">
        <v>4.3809523809523805</v>
      </c>
      <c r="N10" s="19">
        <v>4.5739130434782611</v>
      </c>
      <c r="O10" s="19">
        <v>4.3310810810810807</v>
      </c>
      <c r="P10" s="24">
        <v>4.4285714285714288</v>
      </c>
      <c r="Q10" s="61" t="s">
        <v>65</v>
      </c>
      <c r="R10" s="61" t="s">
        <v>65</v>
      </c>
      <c r="S10" s="61" t="s">
        <v>65</v>
      </c>
    </row>
    <row r="11" spans="1:19" s="2" customFormat="1" ht="24" customHeight="1" thickBot="1">
      <c r="A11" s="90" t="s">
        <v>79</v>
      </c>
      <c r="B11" s="24">
        <v>3.7777777777777777</v>
      </c>
      <c r="C11" s="75">
        <v>3.5</v>
      </c>
      <c r="D11" s="61" t="s">
        <v>65</v>
      </c>
      <c r="E11" s="30">
        <v>5</v>
      </c>
      <c r="F11" s="75">
        <v>4.2875000000000014</v>
      </c>
      <c r="G11" s="24">
        <v>4.1976047904191605</v>
      </c>
      <c r="H11" s="88">
        <v>4.3451327433628331</v>
      </c>
      <c r="I11" s="19">
        <v>4.3636363636363642</v>
      </c>
      <c r="J11" s="19">
        <v>4.2389380530973453</v>
      </c>
      <c r="K11" s="61" t="s">
        <v>65</v>
      </c>
      <c r="L11" s="19">
        <v>3.5</v>
      </c>
      <c r="M11" s="19">
        <v>4.5238095238095246</v>
      </c>
      <c r="N11" s="19">
        <v>4.5652173913043486</v>
      </c>
      <c r="O11" s="19">
        <v>4.310810810810815</v>
      </c>
      <c r="P11" s="24">
        <v>4.4285714285714288</v>
      </c>
      <c r="Q11" s="61" t="s">
        <v>65</v>
      </c>
      <c r="R11" s="61" t="s">
        <v>65</v>
      </c>
      <c r="S11" s="61" t="s">
        <v>65</v>
      </c>
    </row>
    <row r="12" spans="1:19" s="2" customFormat="1" ht="24" customHeight="1" thickBot="1">
      <c r="A12" s="90" t="s">
        <v>80</v>
      </c>
      <c r="B12" s="24">
        <v>3.6666666666666665</v>
      </c>
      <c r="C12" s="75">
        <v>4</v>
      </c>
      <c r="D12" s="61" t="s">
        <v>65</v>
      </c>
      <c r="E12" s="30">
        <v>5</v>
      </c>
      <c r="F12" s="75">
        <v>4.3374999999999986</v>
      </c>
      <c r="G12" s="24">
        <v>4.1616766467065842</v>
      </c>
      <c r="H12" s="88">
        <v>4.27433628318584</v>
      </c>
      <c r="I12" s="19">
        <v>4.2272727272727266</v>
      </c>
      <c r="J12" s="19">
        <v>4.2035398230088479</v>
      </c>
      <c r="K12" s="61" t="s">
        <v>65</v>
      </c>
      <c r="L12" s="19">
        <v>4.166666666666667</v>
      </c>
      <c r="M12" s="19">
        <v>4.3809523809523805</v>
      </c>
      <c r="N12" s="19">
        <v>4.4956521739130402</v>
      </c>
      <c r="O12" s="19">
        <v>4.3175675675675684</v>
      </c>
      <c r="P12" s="24">
        <v>4.4285714285714288</v>
      </c>
      <c r="Q12" s="61" t="s">
        <v>65</v>
      </c>
      <c r="R12" s="61" t="s">
        <v>65</v>
      </c>
      <c r="S12" s="61" t="s">
        <v>65</v>
      </c>
    </row>
    <row r="13" spans="1:19" s="2" customFormat="1" ht="24" customHeight="1" thickBot="1">
      <c r="A13" s="90" t="s">
        <v>81</v>
      </c>
      <c r="B13" s="24">
        <v>3.6666666666666665</v>
      </c>
      <c r="C13" s="75">
        <v>4</v>
      </c>
      <c r="D13" s="61" t="s">
        <v>65</v>
      </c>
      <c r="E13" s="30">
        <v>5</v>
      </c>
      <c r="F13" s="75">
        <v>4.3624999999999989</v>
      </c>
      <c r="G13" s="24">
        <v>4.2874251497005957</v>
      </c>
      <c r="H13" s="88">
        <v>4.4247787610619476</v>
      </c>
      <c r="I13" s="19">
        <v>4.4090909090909083</v>
      </c>
      <c r="J13" s="19">
        <v>4.3274336283185848</v>
      </c>
      <c r="K13" s="61" t="s">
        <v>65</v>
      </c>
      <c r="L13" s="19">
        <v>3.5</v>
      </c>
      <c r="M13" s="19">
        <v>4.5714285714285712</v>
      </c>
      <c r="N13" s="19">
        <v>4.5478260869565199</v>
      </c>
      <c r="O13" s="19">
        <v>4.310810810810815</v>
      </c>
      <c r="P13" s="24">
        <v>4.4285714285714288</v>
      </c>
      <c r="Q13" s="61" t="s">
        <v>65</v>
      </c>
      <c r="R13" s="61" t="s">
        <v>65</v>
      </c>
      <c r="S13" s="61" t="s">
        <v>65</v>
      </c>
    </row>
    <row r="14" spans="1:19" s="2" customFormat="1" ht="24" customHeight="1" thickBot="1">
      <c r="A14" s="90" t="s">
        <v>82</v>
      </c>
      <c r="B14" s="24">
        <v>3.6666666666666665</v>
      </c>
      <c r="C14" s="75">
        <v>3.5</v>
      </c>
      <c r="D14" s="61" t="s">
        <v>65</v>
      </c>
      <c r="E14" s="30">
        <v>5</v>
      </c>
      <c r="F14" s="75">
        <v>4.3875000000000002</v>
      </c>
      <c r="G14" s="24">
        <v>4.2574850299401179</v>
      </c>
      <c r="H14" s="88">
        <v>4.3982300884955752</v>
      </c>
      <c r="I14" s="19">
        <v>4.3636363636363651</v>
      </c>
      <c r="J14" s="19">
        <v>4.3274336283185866</v>
      </c>
      <c r="K14" s="61" t="s">
        <v>65</v>
      </c>
      <c r="L14" s="19">
        <v>3.5</v>
      </c>
      <c r="M14" s="19">
        <v>4.5714285714285703</v>
      </c>
      <c r="N14" s="19">
        <v>4.6347826086956525</v>
      </c>
      <c r="O14" s="19">
        <v>4.35135135135135</v>
      </c>
      <c r="P14" s="24">
        <v>4.4285714285714288</v>
      </c>
      <c r="Q14" s="61" t="s">
        <v>65</v>
      </c>
      <c r="R14" s="61" t="s">
        <v>65</v>
      </c>
      <c r="S14" s="61" t="s">
        <v>65</v>
      </c>
    </row>
    <row r="15" spans="1:19" s="2" customFormat="1" ht="24" customHeight="1" thickBot="1">
      <c r="A15" s="90" t="s">
        <v>83</v>
      </c>
      <c r="B15" s="24">
        <v>3.6666666666666665</v>
      </c>
      <c r="C15" s="75">
        <v>3.5</v>
      </c>
      <c r="D15" s="61" t="s">
        <v>65</v>
      </c>
      <c r="E15" s="30">
        <v>5</v>
      </c>
      <c r="F15" s="75">
        <v>4.3750000000000018</v>
      </c>
      <c r="G15" s="24">
        <v>4.233532934131734</v>
      </c>
      <c r="H15" s="88">
        <v>4.3716814159292019</v>
      </c>
      <c r="I15" s="19">
        <v>4.4090909090909083</v>
      </c>
      <c r="J15" s="19">
        <v>4.2743362831858374</v>
      </c>
      <c r="K15" s="61" t="s">
        <v>65</v>
      </c>
      <c r="L15" s="19">
        <v>4</v>
      </c>
      <c r="M15" s="19">
        <v>4.4761904761904763</v>
      </c>
      <c r="N15" s="19">
        <v>4.5826086956521719</v>
      </c>
      <c r="O15" s="19">
        <v>4.3108108108108123</v>
      </c>
      <c r="P15" s="24">
        <v>4.4285714285714288</v>
      </c>
      <c r="Q15" s="61" t="s">
        <v>65</v>
      </c>
      <c r="R15" s="61" t="s">
        <v>65</v>
      </c>
      <c r="S15" s="61" t="s">
        <v>65</v>
      </c>
    </row>
    <row r="16" spans="1:19" s="2" customFormat="1" ht="24" customHeight="1" thickBot="1">
      <c r="A16" s="90" t="s">
        <v>84</v>
      </c>
      <c r="B16" s="24">
        <v>3.6666666666666665</v>
      </c>
      <c r="C16" s="75">
        <v>4.5</v>
      </c>
      <c r="D16" s="61" t="s">
        <v>65</v>
      </c>
      <c r="E16" s="30">
        <v>5</v>
      </c>
      <c r="F16" s="75">
        <v>4.4375</v>
      </c>
      <c r="G16" s="24">
        <v>4.2574850299401179</v>
      </c>
      <c r="H16" s="88">
        <v>4.3097345132743374</v>
      </c>
      <c r="I16" s="19">
        <v>4.4090909090909083</v>
      </c>
      <c r="J16" s="19">
        <v>4.318584070796458</v>
      </c>
      <c r="K16" s="61" t="s">
        <v>65</v>
      </c>
      <c r="L16" s="19">
        <v>4.3333333333333339</v>
      </c>
      <c r="M16" s="19">
        <v>4.4761904761904754</v>
      </c>
      <c r="N16" s="19">
        <v>4.5652173913043486</v>
      </c>
      <c r="O16" s="19">
        <v>4.3040540540540544</v>
      </c>
      <c r="P16" s="24">
        <v>4.4285714285714288</v>
      </c>
      <c r="Q16" s="61" t="s">
        <v>65</v>
      </c>
      <c r="R16" s="61" t="s">
        <v>65</v>
      </c>
      <c r="S16" s="61" t="s">
        <v>65</v>
      </c>
    </row>
    <row r="17" spans="1:19" s="2" customFormat="1" ht="24" customHeight="1" thickBot="1">
      <c r="A17" s="90" t="s">
        <v>85</v>
      </c>
      <c r="B17" s="24">
        <v>3.6666666666666665</v>
      </c>
      <c r="C17" s="75">
        <v>4.5</v>
      </c>
      <c r="D17" s="61" t="s">
        <v>65</v>
      </c>
      <c r="E17" s="30">
        <v>5</v>
      </c>
      <c r="F17" s="75">
        <v>4.3500000000000005</v>
      </c>
      <c r="G17" s="24">
        <v>4.2514970059880222</v>
      </c>
      <c r="H17" s="88">
        <v>4.2920353982300865</v>
      </c>
      <c r="I17" s="19">
        <v>4.4545454545454541</v>
      </c>
      <c r="J17" s="19">
        <v>4.221238938053097</v>
      </c>
      <c r="K17" s="61" t="s">
        <v>65</v>
      </c>
      <c r="L17" s="19">
        <v>4.166666666666667</v>
      </c>
      <c r="M17" s="19">
        <v>4.5238095238095246</v>
      </c>
      <c r="N17" s="19">
        <v>4.5652173913043486</v>
      </c>
      <c r="O17" s="19">
        <v>4.2837837837837833</v>
      </c>
      <c r="P17" s="24">
        <v>4.5714285714285712</v>
      </c>
      <c r="Q17" s="61" t="s">
        <v>65</v>
      </c>
      <c r="R17" s="61" t="s">
        <v>65</v>
      </c>
      <c r="S17" s="61" t="s">
        <v>65</v>
      </c>
    </row>
    <row r="18" spans="1:19" s="2" customFormat="1" ht="24" customHeight="1" thickBot="1">
      <c r="A18" s="90" t="s">
        <v>86</v>
      </c>
      <c r="B18" s="24">
        <v>3.6666666666666665</v>
      </c>
      <c r="C18" s="75">
        <v>4</v>
      </c>
      <c r="D18" s="61" t="s">
        <v>65</v>
      </c>
      <c r="E18" s="30">
        <v>5</v>
      </c>
      <c r="F18" s="75">
        <v>4.3000000000000007</v>
      </c>
      <c r="G18" s="24">
        <v>4.2634730538922145</v>
      </c>
      <c r="H18" s="88">
        <v>4.3274336283185875</v>
      </c>
      <c r="I18" s="19">
        <v>4.3636363636363642</v>
      </c>
      <c r="J18" s="19">
        <v>4.3097345132743357</v>
      </c>
      <c r="K18" s="61" t="s">
        <v>65</v>
      </c>
      <c r="L18" s="19">
        <v>3.8333333333333335</v>
      </c>
      <c r="M18" s="19">
        <v>4.4761904761904754</v>
      </c>
      <c r="N18" s="19">
        <v>4.5826086956521719</v>
      </c>
      <c r="O18" s="19">
        <v>4.3175675675675675</v>
      </c>
      <c r="P18" s="24">
        <v>4.5714285714285712</v>
      </c>
      <c r="Q18" s="61" t="s">
        <v>65</v>
      </c>
      <c r="R18" s="61" t="s">
        <v>65</v>
      </c>
      <c r="S18" s="61" t="s">
        <v>65</v>
      </c>
    </row>
    <row r="19" spans="1:19" s="2" customFormat="1" ht="24" customHeight="1" thickBot="1">
      <c r="A19" s="90" t="s">
        <v>87</v>
      </c>
      <c r="B19" s="24">
        <v>3.6666666666666665</v>
      </c>
      <c r="C19" s="75">
        <v>4</v>
      </c>
      <c r="D19" s="61" t="s">
        <v>65</v>
      </c>
      <c r="E19" s="30">
        <v>5</v>
      </c>
      <c r="F19" s="75">
        <v>4.3875000000000002</v>
      </c>
      <c r="G19" s="24">
        <v>4.2994011976047899</v>
      </c>
      <c r="H19" s="88">
        <v>4.3539823008849563</v>
      </c>
      <c r="I19" s="19">
        <v>4.4999999999999991</v>
      </c>
      <c r="J19" s="19">
        <v>4.3097345132743339</v>
      </c>
      <c r="K19" s="61" t="s">
        <v>65</v>
      </c>
      <c r="L19" s="19">
        <v>4</v>
      </c>
      <c r="M19" s="19">
        <v>4.428571428571427</v>
      </c>
      <c r="N19" s="19">
        <v>4.6173913043478247</v>
      </c>
      <c r="O19" s="19">
        <v>4.3716216216216184</v>
      </c>
      <c r="P19" s="24">
        <v>4.5714285714285712</v>
      </c>
      <c r="Q19" s="61" t="s">
        <v>65</v>
      </c>
      <c r="R19" s="61" t="s">
        <v>65</v>
      </c>
      <c r="S19" s="61" t="s">
        <v>65</v>
      </c>
    </row>
    <row r="20" spans="1:19" s="2" customFormat="1" ht="24" customHeight="1" thickBot="1">
      <c r="A20" s="90" t="s">
        <v>88</v>
      </c>
      <c r="B20" s="24">
        <v>3.7777777777777777</v>
      </c>
      <c r="C20" s="75">
        <v>3.5</v>
      </c>
      <c r="D20" s="61" t="s">
        <v>65</v>
      </c>
      <c r="E20" s="30">
        <v>5</v>
      </c>
      <c r="F20" s="75">
        <v>4.3999999999999995</v>
      </c>
      <c r="G20" s="24">
        <v>4.4011976047904184</v>
      </c>
      <c r="H20" s="88">
        <v>4.4778761061946923</v>
      </c>
      <c r="I20" s="19">
        <v>4.545454545454545</v>
      </c>
      <c r="J20" s="19">
        <v>4.4247787610619476</v>
      </c>
      <c r="K20" s="61" t="s">
        <v>65</v>
      </c>
      <c r="L20" s="19">
        <v>4</v>
      </c>
      <c r="M20" s="19">
        <v>4.5714285714285703</v>
      </c>
      <c r="N20" s="19">
        <v>4.5913043478260871</v>
      </c>
      <c r="O20" s="19">
        <v>4.3783783783783798</v>
      </c>
      <c r="P20" s="24">
        <v>4.7142857142857135</v>
      </c>
      <c r="Q20" s="61" t="s">
        <v>65</v>
      </c>
      <c r="R20" s="61" t="s">
        <v>65</v>
      </c>
      <c r="S20" s="61" t="s">
        <v>65</v>
      </c>
    </row>
    <row r="21" spans="1:19" s="2" customFormat="1" ht="24" customHeight="1">
      <c r="A21" s="15" t="s">
        <v>9</v>
      </c>
      <c r="B21" s="24">
        <v>3.6944444444444446</v>
      </c>
      <c r="C21" s="75">
        <v>3.96875</v>
      </c>
      <c r="D21" s="61" t="s">
        <v>65</v>
      </c>
      <c r="E21" s="30">
        <v>5</v>
      </c>
      <c r="F21" s="75">
        <v>4.3484374999999993</v>
      </c>
      <c r="G21" s="24">
        <v>4.2432634730538936</v>
      </c>
      <c r="H21" s="88">
        <v>4.3512168141592902</v>
      </c>
      <c r="I21" s="19">
        <v>4.4431818181818183</v>
      </c>
      <c r="J21" s="19">
        <v>4.3014380530973453</v>
      </c>
      <c r="K21" s="61" t="s">
        <v>65</v>
      </c>
      <c r="L21" s="19">
        <v>4.010416666666667</v>
      </c>
      <c r="M21" s="19">
        <v>4.4672619047619042</v>
      </c>
      <c r="N21" s="19">
        <v>4.5641304347826104</v>
      </c>
      <c r="O21" s="19">
        <v>4.3137668918918939</v>
      </c>
      <c r="P21" s="24">
        <v>4.5178571428571432</v>
      </c>
      <c r="Q21" s="61" t="s">
        <v>65</v>
      </c>
      <c r="R21" s="61" t="s">
        <v>65</v>
      </c>
      <c r="S21" s="61" t="s">
        <v>65</v>
      </c>
    </row>
    <row r="22" spans="1:19" s="2" customFormat="1" ht="24.75" customHeight="1">
      <c r="A22" s="8" t="s">
        <v>10</v>
      </c>
      <c r="B22" s="63">
        <f t="shared" ref="B22:H22" si="0">B21*20</f>
        <v>73.888888888888886</v>
      </c>
      <c r="C22" s="63">
        <f t="shared" si="0"/>
        <v>79.375</v>
      </c>
      <c r="D22" s="61" t="s">
        <v>65</v>
      </c>
      <c r="E22" s="63">
        <f t="shared" si="0"/>
        <v>100</v>
      </c>
      <c r="F22" s="63">
        <f t="shared" si="0"/>
        <v>86.968749999999986</v>
      </c>
      <c r="G22" s="63">
        <f t="shared" si="0"/>
        <v>84.865269461077872</v>
      </c>
      <c r="H22" s="63">
        <f t="shared" si="0"/>
        <v>87.024336283185804</v>
      </c>
      <c r="I22" s="63">
        <f>I21*20</f>
        <v>88.863636363636374</v>
      </c>
      <c r="J22" s="63">
        <f>J21*20</f>
        <v>86.028761061946909</v>
      </c>
      <c r="K22" s="61" t="s">
        <v>65</v>
      </c>
      <c r="L22" s="63">
        <f>L21*20</f>
        <v>80.208333333333343</v>
      </c>
      <c r="M22" s="63">
        <f>M21*20</f>
        <v>89.345238095238088</v>
      </c>
      <c r="N22" s="63">
        <f>N21*20</f>
        <v>91.282608695652215</v>
      </c>
      <c r="O22" s="63">
        <f>O21*20</f>
        <v>86.275337837837881</v>
      </c>
      <c r="P22" s="63">
        <f>P21*20</f>
        <v>90.357142857142861</v>
      </c>
      <c r="Q22" s="61" t="s">
        <v>65</v>
      </c>
      <c r="R22" s="61" t="s">
        <v>65</v>
      </c>
      <c r="S22" s="61" t="s">
        <v>65</v>
      </c>
    </row>
    <row r="23" spans="1:19">
      <c r="A23" s="16" t="s">
        <v>44</v>
      </c>
      <c r="B23" s="62">
        <v>66.666666666666671</v>
      </c>
      <c r="C23" s="78">
        <v>100</v>
      </c>
      <c r="D23" s="79" t="s">
        <v>66</v>
      </c>
      <c r="E23" s="62">
        <v>100</v>
      </c>
      <c r="F23" s="22">
        <v>88.75</v>
      </c>
      <c r="G23" s="62">
        <v>84.431137724550894</v>
      </c>
      <c r="H23" s="78">
        <v>86.725663716814154</v>
      </c>
      <c r="I23" s="62">
        <v>81.818181818181813</v>
      </c>
      <c r="J23" s="62">
        <v>84.955752212389385</v>
      </c>
      <c r="K23" s="79" t="s">
        <v>66</v>
      </c>
      <c r="L23" s="62">
        <v>83.333333333333329</v>
      </c>
      <c r="M23" s="62">
        <v>85.714285714285708</v>
      </c>
      <c r="N23" s="62">
        <v>82.608695652173907</v>
      </c>
      <c r="O23" s="62">
        <v>87.162162162162161</v>
      </c>
      <c r="P23" s="77">
        <v>100</v>
      </c>
      <c r="Q23" s="79" t="s">
        <v>66</v>
      </c>
      <c r="R23" s="79" t="s">
        <v>66</v>
      </c>
      <c r="S23" s="79" t="s">
        <v>66</v>
      </c>
    </row>
    <row r="25" spans="1:19" ht="24" customHeight="1"/>
    <row r="26" spans="1:19" ht="59.25" customHeight="1">
      <c r="A26" s="6" t="s">
        <v>0</v>
      </c>
      <c r="B26" s="1" t="s">
        <v>93</v>
      </c>
      <c r="C26" s="1" t="s">
        <v>6</v>
      </c>
      <c r="D26" s="1" t="s">
        <v>7</v>
      </c>
      <c r="E26" s="1" t="s">
        <v>56</v>
      </c>
      <c r="F26" s="1" t="s">
        <v>62</v>
      </c>
      <c r="G26" s="1" t="s">
        <v>59</v>
      </c>
      <c r="H26" s="1" t="s">
        <v>94</v>
      </c>
      <c r="I26" s="1" t="s">
        <v>11</v>
      </c>
      <c r="J26" s="1" t="s">
        <v>45</v>
      </c>
      <c r="K26" s="1" t="s">
        <v>70</v>
      </c>
      <c r="L26" s="1" t="s">
        <v>50</v>
      </c>
      <c r="M26" s="1" t="s">
        <v>55</v>
      </c>
      <c r="N26" s="1" t="s">
        <v>1</v>
      </c>
      <c r="O26" s="1" t="s">
        <v>35</v>
      </c>
      <c r="P26" s="1" t="s">
        <v>72</v>
      </c>
      <c r="Q26" s="1" t="s">
        <v>95</v>
      </c>
      <c r="R26" s="1" t="s">
        <v>97</v>
      </c>
    </row>
    <row r="27" spans="1:19" s="26" customFormat="1" ht="24" customHeight="1" thickBot="1">
      <c r="A27" s="8" t="s">
        <v>8</v>
      </c>
      <c r="B27" s="61">
        <v>2</v>
      </c>
      <c r="C27" s="61">
        <v>24</v>
      </c>
      <c r="D27" s="25">
        <v>15</v>
      </c>
      <c r="E27" s="25">
        <v>4</v>
      </c>
      <c r="F27" s="61">
        <v>22</v>
      </c>
      <c r="G27" s="25">
        <v>48</v>
      </c>
      <c r="H27" s="25">
        <v>17</v>
      </c>
      <c r="I27" s="61" t="s">
        <v>65</v>
      </c>
      <c r="J27" s="25">
        <v>37</v>
      </c>
      <c r="K27" s="61">
        <v>24</v>
      </c>
      <c r="L27" s="25">
        <v>17</v>
      </c>
      <c r="M27" s="25">
        <v>35</v>
      </c>
      <c r="N27" s="25">
        <v>7</v>
      </c>
      <c r="O27" s="25">
        <v>35</v>
      </c>
      <c r="P27" s="61" t="s">
        <v>65</v>
      </c>
      <c r="Q27" s="61">
        <v>2</v>
      </c>
      <c r="R27" s="61" t="s">
        <v>65</v>
      </c>
    </row>
    <row r="28" spans="1:19" ht="24" customHeight="1" thickBot="1">
      <c r="A28" s="89" t="s">
        <v>73</v>
      </c>
      <c r="B28" s="88">
        <v>4</v>
      </c>
      <c r="C28" s="75">
        <v>4.25</v>
      </c>
      <c r="D28" s="19">
        <v>4.6000000000000005</v>
      </c>
      <c r="E28" s="24">
        <v>4.5</v>
      </c>
      <c r="F28" s="88">
        <v>4.545454545454545</v>
      </c>
      <c r="G28" s="19">
        <v>4.6875</v>
      </c>
      <c r="H28" s="19">
        <v>4.764705882352942</v>
      </c>
      <c r="I28" s="61" t="s">
        <v>65</v>
      </c>
      <c r="J28" s="19">
        <v>4.5945945945945956</v>
      </c>
      <c r="K28" s="75">
        <v>4.2499999999999991</v>
      </c>
      <c r="L28" s="24">
        <v>4.2352941176470589</v>
      </c>
      <c r="M28" s="19">
        <v>3.7714285714285714</v>
      </c>
      <c r="N28" s="24">
        <v>4.1428571428571432</v>
      </c>
      <c r="O28" s="24">
        <v>4.0857142857142845</v>
      </c>
      <c r="P28" s="61" t="s">
        <v>65</v>
      </c>
      <c r="Q28" s="75">
        <v>4</v>
      </c>
      <c r="R28" s="61" t="s">
        <v>65</v>
      </c>
    </row>
    <row r="29" spans="1:19" ht="24" customHeight="1" thickBot="1">
      <c r="A29" s="90" t="s">
        <v>74</v>
      </c>
      <c r="B29" s="88">
        <v>4</v>
      </c>
      <c r="C29" s="75">
        <v>4.3333333333333321</v>
      </c>
      <c r="D29" s="19">
        <v>4.3999999999999995</v>
      </c>
      <c r="E29" s="24">
        <v>4.25</v>
      </c>
      <c r="F29" s="88">
        <v>4.5909090909090908</v>
      </c>
      <c r="G29" s="19">
        <v>4.666666666666667</v>
      </c>
      <c r="H29" s="19">
        <v>4.764705882352942</v>
      </c>
      <c r="I29" s="61" t="s">
        <v>65</v>
      </c>
      <c r="J29" s="19">
        <v>4.5945945945945956</v>
      </c>
      <c r="K29" s="75">
        <v>4.1666666666666661</v>
      </c>
      <c r="L29" s="24">
        <v>4.2352941176470598</v>
      </c>
      <c r="M29" s="19">
        <v>3.714285714285714</v>
      </c>
      <c r="N29" s="24">
        <v>4.1428571428571432</v>
      </c>
      <c r="O29" s="24">
        <v>4.0857142857142863</v>
      </c>
      <c r="P29" s="61" t="s">
        <v>65</v>
      </c>
      <c r="Q29" s="75">
        <v>4</v>
      </c>
      <c r="R29" s="61" t="s">
        <v>65</v>
      </c>
    </row>
    <row r="30" spans="1:19" ht="24" customHeight="1" thickBot="1">
      <c r="A30" s="90" t="s">
        <v>75</v>
      </c>
      <c r="B30" s="88">
        <v>4</v>
      </c>
      <c r="C30" s="75">
        <v>4.4583333333333321</v>
      </c>
      <c r="D30" s="19">
        <v>4.333333333333333</v>
      </c>
      <c r="E30" s="24">
        <v>4</v>
      </c>
      <c r="F30" s="88">
        <v>4.6363636363636349</v>
      </c>
      <c r="G30" s="19">
        <v>4.6875000000000009</v>
      </c>
      <c r="H30" s="19">
        <v>4.8235294117647065</v>
      </c>
      <c r="I30" s="61" t="s">
        <v>65</v>
      </c>
      <c r="J30" s="19">
        <v>4.5675675675675684</v>
      </c>
      <c r="K30" s="75">
        <v>4.1666666666666661</v>
      </c>
      <c r="L30" s="24">
        <v>4.3529411764705879</v>
      </c>
      <c r="M30" s="19">
        <v>3.7428571428571433</v>
      </c>
      <c r="N30" s="24">
        <v>4.2857142857142856</v>
      </c>
      <c r="O30" s="24">
        <v>4.1428571428571415</v>
      </c>
      <c r="P30" s="61" t="s">
        <v>65</v>
      </c>
      <c r="Q30" s="75">
        <v>4</v>
      </c>
      <c r="R30" s="61" t="s">
        <v>65</v>
      </c>
    </row>
    <row r="31" spans="1:19" ht="24" customHeight="1" thickBot="1">
      <c r="A31" s="90" t="s">
        <v>76</v>
      </c>
      <c r="B31" s="88">
        <v>4.5</v>
      </c>
      <c r="C31" s="75">
        <v>4.2916666666666652</v>
      </c>
      <c r="D31" s="19">
        <v>4.333333333333333</v>
      </c>
      <c r="E31" s="24">
        <v>4.25</v>
      </c>
      <c r="F31" s="88">
        <v>4.5909090909090908</v>
      </c>
      <c r="G31" s="19">
        <v>4.6458333333333339</v>
      </c>
      <c r="H31" s="19">
        <v>4.764705882352942</v>
      </c>
      <c r="I31" s="61" t="s">
        <v>65</v>
      </c>
      <c r="J31" s="19">
        <v>4.5675675675675684</v>
      </c>
      <c r="K31" s="75">
        <v>4.125</v>
      </c>
      <c r="L31" s="24">
        <v>4.1764705882352944</v>
      </c>
      <c r="M31" s="19">
        <v>3.7428571428571424</v>
      </c>
      <c r="N31" s="24">
        <v>4.1428571428571432</v>
      </c>
      <c r="O31" s="24">
        <v>4.0285714285714285</v>
      </c>
      <c r="P31" s="61" t="s">
        <v>65</v>
      </c>
      <c r="Q31" s="75">
        <v>4</v>
      </c>
      <c r="R31" s="61" t="s">
        <v>65</v>
      </c>
    </row>
    <row r="32" spans="1:19" ht="24" customHeight="1" thickBot="1">
      <c r="A32" s="90" t="s">
        <v>77</v>
      </c>
      <c r="B32" s="88">
        <v>4</v>
      </c>
      <c r="C32" s="75">
        <v>4.2916666666666661</v>
      </c>
      <c r="D32" s="19">
        <v>4.3999999999999995</v>
      </c>
      <c r="E32" s="24">
        <v>4.25</v>
      </c>
      <c r="F32" s="88">
        <v>4.8181818181818183</v>
      </c>
      <c r="G32" s="19">
        <v>4.666666666666667</v>
      </c>
      <c r="H32" s="19">
        <v>4.5882352941176467</v>
      </c>
      <c r="I32" s="61" t="s">
        <v>65</v>
      </c>
      <c r="J32" s="19">
        <v>4.8378378378378368</v>
      </c>
      <c r="K32" s="75">
        <v>4.2499999999999982</v>
      </c>
      <c r="L32" s="24">
        <v>4</v>
      </c>
      <c r="M32" s="19">
        <v>3.4857142857142858</v>
      </c>
      <c r="N32" s="24">
        <v>4</v>
      </c>
      <c r="O32" s="24">
        <v>4.114285714285713</v>
      </c>
      <c r="P32" s="61" t="s">
        <v>65</v>
      </c>
      <c r="Q32" s="75">
        <v>3.5</v>
      </c>
      <c r="R32" s="61" t="s">
        <v>65</v>
      </c>
    </row>
    <row r="33" spans="1:18" ht="24" customHeight="1" thickBot="1">
      <c r="A33" s="90" t="s">
        <v>78</v>
      </c>
      <c r="B33" s="88">
        <v>4</v>
      </c>
      <c r="C33" s="75">
        <v>4.125</v>
      </c>
      <c r="D33" s="19">
        <v>4.3333333333333339</v>
      </c>
      <c r="E33" s="24">
        <v>4.5</v>
      </c>
      <c r="F33" s="88">
        <v>4.8636363636363633</v>
      </c>
      <c r="G33" s="19">
        <v>4.7291666666666661</v>
      </c>
      <c r="H33" s="19">
        <v>4.6470588235294121</v>
      </c>
      <c r="I33" s="61" t="s">
        <v>65</v>
      </c>
      <c r="J33" s="19">
        <v>4.7297297297297289</v>
      </c>
      <c r="K33" s="75">
        <v>4.208333333333333</v>
      </c>
      <c r="L33" s="24">
        <v>4.117647058823529</v>
      </c>
      <c r="M33" s="19">
        <v>3.5428571428571431</v>
      </c>
      <c r="N33" s="24">
        <v>3.714285714285714</v>
      </c>
      <c r="O33" s="24">
        <v>4.1428571428571423</v>
      </c>
      <c r="P33" s="61" t="s">
        <v>65</v>
      </c>
      <c r="Q33" s="75">
        <v>4</v>
      </c>
      <c r="R33" s="61" t="s">
        <v>65</v>
      </c>
    </row>
    <row r="34" spans="1:18" ht="24" customHeight="1" thickBot="1">
      <c r="A34" s="90" t="s">
        <v>79</v>
      </c>
      <c r="B34" s="88">
        <v>4</v>
      </c>
      <c r="C34" s="75">
        <v>4.4583333333333321</v>
      </c>
      <c r="D34" s="19">
        <v>4.2</v>
      </c>
      <c r="E34" s="24">
        <v>4.5</v>
      </c>
      <c r="F34" s="88">
        <v>4.7727272727272734</v>
      </c>
      <c r="G34" s="19">
        <v>4.7916666666666661</v>
      </c>
      <c r="H34" s="19">
        <v>4.647058823529413</v>
      </c>
      <c r="I34" s="61" t="s">
        <v>65</v>
      </c>
      <c r="J34" s="19">
        <v>4.8108108108108096</v>
      </c>
      <c r="K34" s="75">
        <v>4.208333333333333</v>
      </c>
      <c r="L34" s="24">
        <v>4.2352941176470589</v>
      </c>
      <c r="M34" s="19">
        <v>3.6571428571428575</v>
      </c>
      <c r="N34" s="24">
        <v>3.714285714285714</v>
      </c>
      <c r="O34" s="24">
        <v>4.1428571428571423</v>
      </c>
      <c r="P34" s="61" t="s">
        <v>65</v>
      </c>
      <c r="Q34" s="75">
        <v>4</v>
      </c>
      <c r="R34" s="61" t="s">
        <v>65</v>
      </c>
    </row>
    <row r="35" spans="1:18" ht="24" customHeight="1" thickBot="1">
      <c r="A35" s="90" t="s">
        <v>80</v>
      </c>
      <c r="B35" s="88">
        <v>4</v>
      </c>
      <c r="C35" s="75">
        <v>4.2083333333333348</v>
      </c>
      <c r="D35" s="19">
        <v>4.2666666666666657</v>
      </c>
      <c r="E35" s="24">
        <v>4.25</v>
      </c>
      <c r="F35" s="88">
        <v>4.7272727272727275</v>
      </c>
      <c r="G35" s="19">
        <v>4.7291666666666661</v>
      </c>
      <c r="H35" s="19">
        <v>4.882352941176471</v>
      </c>
      <c r="I35" s="61" t="s">
        <v>65</v>
      </c>
      <c r="J35" s="19">
        <v>4.6486486486486482</v>
      </c>
      <c r="K35" s="75">
        <v>4.125</v>
      </c>
      <c r="L35" s="24">
        <v>4.117647058823529</v>
      </c>
      <c r="M35" s="19">
        <v>3.5999999999999996</v>
      </c>
      <c r="N35" s="24">
        <v>3.8571428571428572</v>
      </c>
      <c r="O35" s="24">
        <v>4.1428571428571423</v>
      </c>
      <c r="P35" s="61" t="s">
        <v>65</v>
      </c>
      <c r="Q35" s="75">
        <v>3.5</v>
      </c>
      <c r="R35" s="61" t="s">
        <v>65</v>
      </c>
    </row>
    <row r="36" spans="1:18" ht="24" customHeight="1" thickBot="1">
      <c r="A36" s="90" t="s">
        <v>81</v>
      </c>
      <c r="B36" s="88">
        <v>4</v>
      </c>
      <c r="C36" s="75">
        <v>4.166666666666667</v>
      </c>
      <c r="D36" s="19">
        <v>4.5333333333333332</v>
      </c>
      <c r="E36" s="24">
        <v>4.5</v>
      </c>
      <c r="F36" s="88">
        <v>4.8636363636363633</v>
      </c>
      <c r="G36" s="19">
        <v>4.7083333333333348</v>
      </c>
      <c r="H36" s="19">
        <v>4.8235294117647056</v>
      </c>
      <c r="I36" s="61" t="s">
        <v>65</v>
      </c>
      <c r="J36" s="19">
        <v>4.8108108108108087</v>
      </c>
      <c r="K36" s="75">
        <v>4.2083333333333321</v>
      </c>
      <c r="L36" s="24">
        <v>4.4705882352941169</v>
      </c>
      <c r="M36" s="19">
        <v>3.6571428571428575</v>
      </c>
      <c r="N36" s="24">
        <v>3.714285714285714</v>
      </c>
      <c r="O36" s="24">
        <v>4.2285714285714286</v>
      </c>
      <c r="P36" s="61" t="s">
        <v>65</v>
      </c>
      <c r="Q36" s="75">
        <v>4</v>
      </c>
      <c r="R36" s="61" t="s">
        <v>65</v>
      </c>
    </row>
    <row r="37" spans="1:18" ht="24" customHeight="1" thickBot="1">
      <c r="A37" s="90" t="s">
        <v>82</v>
      </c>
      <c r="B37" s="88">
        <v>4</v>
      </c>
      <c r="C37" s="75">
        <v>4.3333333333333339</v>
      </c>
      <c r="D37" s="19">
        <v>4.2</v>
      </c>
      <c r="E37" s="24">
        <v>5</v>
      </c>
      <c r="F37" s="88">
        <v>4.8636363636363633</v>
      </c>
      <c r="G37" s="19">
        <v>4.7500000000000009</v>
      </c>
      <c r="H37" s="19">
        <v>4.882352941176471</v>
      </c>
      <c r="I37" s="61" t="s">
        <v>65</v>
      </c>
      <c r="J37" s="19">
        <v>4.7837837837837833</v>
      </c>
      <c r="K37" s="75">
        <v>4.2916666666666661</v>
      </c>
      <c r="L37" s="24">
        <v>4.1764705882352944</v>
      </c>
      <c r="M37" s="19">
        <v>3.628571428571429</v>
      </c>
      <c r="N37" s="24">
        <v>3.714285714285714</v>
      </c>
      <c r="O37" s="24">
        <v>4.0857142857142854</v>
      </c>
      <c r="P37" s="61" t="s">
        <v>65</v>
      </c>
      <c r="Q37" s="75">
        <v>4</v>
      </c>
      <c r="R37" s="61" t="s">
        <v>65</v>
      </c>
    </row>
    <row r="38" spans="1:18" ht="24" customHeight="1" thickBot="1">
      <c r="A38" s="90" t="s">
        <v>83</v>
      </c>
      <c r="B38" s="88">
        <v>4</v>
      </c>
      <c r="C38" s="75">
        <v>4.166666666666667</v>
      </c>
      <c r="D38" s="19">
        <v>4.2666666666666666</v>
      </c>
      <c r="E38" s="24">
        <v>4.25</v>
      </c>
      <c r="F38" s="88">
        <v>4.7727272727272725</v>
      </c>
      <c r="G38" s="19">
        <v>4.6458333333333339</v>
      </c>
      <c r="H38" s="19">
        <v>4.8235294117647065</v>
      </c>
      <c r="I38" s="61" t="s">
        <v>65</v>
      </c>
      <c r="J38" s="19">
        <v>4.6486486486486482</v>
      </c>
      <c r="K38" s="75">
        <v>4.2083333333333321</v>
      </c>
      <c r="L38" s="24">
        <v>4.4117647058823524</v>
      </c>
      <c r="M38" s="19">
        <v>3.628571428571429</v>
      </c>
      <c r="N38" s="24">
        <v>3.5714285714285712</v>
      </c>
      <c r="O38" s="24">
        <v>4.1428571428571423</v>
      </c>
      <c r="P38" s="61" t="s">
        <v>65</v>
      </c>
      <c r="Q38" s="75">
        <v>4</v>
      </c>
      <c r="R38" s="61" t="s">
        <v>65</v>
      </c>
    </row>
    <row r="39" spans="1:18" ht="24" customHeight="1" thickBot="1">
      <c r="A39" s="90" t="s">
        <v>84</v>
      </c>
      <c r="B39" s="88">
        <v>4</v>
      </c>
      <c r="C39" s="75">
        <v>4.208333333333333</v>
      </c>
      <c r="D39" s="19">
        <v>4.2666666666666675</v>
      </c>
      <c r="E39" s="24">
        <v>4.25</v>
      </c>
      <c r="F39" s="88">
        <v>4.8181818181818183</v>
      </c>
      <c r="G39" s="19">
        <v>4.5833333333333339</v>
      </c>
      <c r="H39" s="19">
        <v>4.764705882352942</v>
      </c>
      <c r="I39" s="61" t="s">
        <v>65</v>
      </c>
      <c r="J39" s="19">
        <v>4.7027027027027026</v>
      </c>
      <c r="K39" s="75">
        <v>4.25</v>
      </c>
      <c r="L39" s="24">
        <v>4.3529411764705879</v>
      </c>
      <c r="M39" s="19">
        <v>3.6857142857142851</v>
      </c>
      <c r="N39" s="24">
        <v>4</v>
      </c>
      <c r="O39" s="24">
        <v>4.0571428571428561</v>
      </c>
      <c r="P39" s="61" t="s">
        <v>65</v>
      </c>
      <c r="Q39" s="75">
        <v>4</v>
      </c>
      <c r="R39" s="61" t="s">
        <v>65</v>
      </c>
    </row>
    <row r="40" spans="1:18" ht="24" customHeight="1" thickBot="1">
      <c r="A40" s="90" t="s">
        <v>85</v>
      </c>
      <c r="B40" s="88">
        <v>4</v>
      </c>
      <c r="C40" s="75">
        <v>4.3333333333333321</v>
      </c>
      <c r="D40" s="19">
        <v>4.3999999999999995</v>
      </c>
      <c r="E40" s="24">
        <v>4.25</v>
      </c>
      <c r="F40" s="88">
        <v>4.8181818181818183</v>
      </c>
      <c r="G40" s="19">
        <v>4.6875000000000009</v>
      </c>
      <c r="H40" s="19">
        <v>4.8235294117647065</v>
      </c>
      <c r="I40" s="61" t="s">
        <v>65</v>
      </c>
      <c r="J40" s="19">
        <v>4.6756756756756754</v>
      </c>
      <c r="K40" s="75">
        <v>4.2916666666666661</v>
      </c>
      <c r="L40" s="24">
        <v>4.2941176470588225</v>
      </c>
      <c r="M40" s="19">
        <v>3.7428571428571429</v>
      </c>
      <c r="N40" s="24">
        <v>4</v>
      </c>
      <c r="O40" s="24">
        <v>4.0857142857142845</v>
      </c>
      <c r="P40" s="61" t="s">
        <v>65</v>
      </c>
      <c r="Q40" s="75">
        <v>4</v>
      </c>
      <c r="R40" s="61" t="s">
        <v>65</v>
      </c>
    </row>
    <row r="41" spans="1:18" ht="24" customHeight="1" thickBot="1">
      <c r="A41" s="90" t="s">
        <v>86</v>
      </c>
      <c r="B41" s="88">
        <v>4</v>
      </c>
      <c r="C41" s="75">
        <v>4.3333333333333321</v>
      </c>
      <c r="D41" s="19">
        <v>4.5333333333333332</v>
      </c>
      <c r="E41" s="24">
        <v>4.25</v>
      </c>
      <c r="F41" s="88">
        <v>4.7272727272727275</v>
      </c>
      <c r="G41" s="19">
        <v>4.625</v>
      </c>
      <c r="H41" s="19">
        <v>4.7058823529411766</v>
      </c>
      <c r="I41" s="61" t="s">
        <v>65</v>
      </c>
      <c r="J41" s="19">
        <v>4.756756756756757</v>
      </c>
      <c r="K41" s="75">
        <v>4.2916666666666652</v>
      </c>
      <c r="L41" s="24">
        <v>4.0588235294117645</v>
      </c>
      <c r="M41" s="19">
        <v>3.5428571428571423</v>
      </c>
      <c r="N41" s="24">
        <v>3.8571428571428572</v>
      </c>
      <c r="O41" s="24">
        <v>4.2285714285714295</v>
      </c>
      <c r="P41" s="61" t="s">
        <v>65</v>
      </c>
      <c r="Q41" s="75">
        <v>3.5</v>
      </c>
      <c r="R41" s="61" t="s">
        <v>65</v>
      </c>
    </row>
    <row r="42" spans="1:18" ht="24" customHeight="1" thickBot="1">
      <c r="A42" s="90" t="s">
        <v>87</v>
      </c>
      <c r="B42" s="88">
        <v>4</v>
      </c>
      <c r="C42" s="75">
        <v>4.208333333333333</v>
      </c>
      <c r="D42" s="19">
        <v>4.4666666666666668</v>
      </c>
      <c r="E42" s="24">
        <v>4.25</v>
      </c>
      <c r="F42" s="88">
        <v>4.9090909090909092</v>
      </c>
      <c r="G42" s="19">
        <v>4.6875</v>
      </c>
      <c r="H42" s="19">
        <v>4.7647058823529411</v>
      </c>
      <c r="I42" s="61" t="s">
        <v>65</v>
      </c>
      <c r="J42" s="19">
        <v>4.756756756756757</v>
      </c>
      <c r="K42" s="75">
        <v>4.2916666666666652</v>
      </c>
      <c r="L42" s="24">
        <v>4.235294117647058</v>
      </c>
      <c r="M42" s="19">
        <v>3.7142857142857144</v>
      </c>
      <c r="N42" s="24">
        <v>4.1428571428571432</v>
      </c>
      <c r="O42" s="24">
        <v>4.1142857142857139</v>
      </c>
      <c r="P42" s="61" t="s">
        <v>65</v>
      </c>
      <c r="Q42" s="75">
        <v>3.5</v>
      </c>
      <c r="R42" s="61" t="s">
        <v>65</v>
      </c>
    </row>
    <row r="43" spans="1:18" ht="24" customHeight="1" thickBot="1">
      <c r="A43" s="90" t="s">
        <v>88</v>
      </c>
      <c r="B43" s="88">
        <v>4</v>
      </c>
      <c r="C43" s="75">
        <v>4.5</v>
      </c>
      <c r="D43" s="19">
        <v>4.6000000000000005</v>
      </c>
      <c r="E43" s="24">
        <v>5</v>
      </c>
      <c r="F43" s="88">
        <v>4.8181818181818183</v>
      </c>
      <c r="G43" s="19">
        <v>4.6875</v>
      </c>
      <c r="H43" s="19">
        <v>4.8235294117647065</v>
      </c>
      <c r="I43" s="61" t="s">
        <v>65</v>
      </c>
      <c r="J43" s="19">
        <v>4.8378378378378395</v>
      </c>
      <c r="K43" s="75">
        <v>4.458333333333333</v>
      </c>
      <c r="L43" s="24">
        <v>4.3529411764705879</v>
      </c>
      <c r="M43" s="19">
        <v>3.7428571428571429</v>
      </c>
      <c r="N43" s="24">
        <v>3.7142857142857144</v>
      </c>
      <c r="O43" s="24">
        <v>4.1714285714285708</v>
      </c>
      <c r="P43" s="61" t="s">
        <v>65</v>
      </c>
      <c r="Q43" s="75">
        <v>3.5</v>
      </c>
      <c r="R43" s="61" t="s">
        <v>65</v>
      </c>
    </row>
    <row r="44" spans="1:18" ht="24" customHeight="1">
      <c r="A44" s="8" t="s">
        <v>9</v>
      </c>
      <c r="B44" s="88">
        <v>4.03125</v>
      </c>
      <c r="C44" s="75">
        <v>4.2916666666666661</v>
      </c>
      <c r="D44" s="19">
        <v>4.3833333333333337</v>
      </c>
      <c r="E44" s="24">
        <v>4.390625</v>
      </c>
      <c r="F44" s="88">
        <v>4.7585227272727266</v>
      </c>
      <c r="G44" s="19">
        <v>4.6861979166666661</v>
      </c>
      <c r="H44" s="19">
        <v>4.7683823529411766</v>
      </c>
      <c r="I44" s="61" t="s">
        <v>65</v>
      </c>
      <c r="J44" s="19">
        <v>4.7077702702702702</v>
      </c>
      <c r="K44" s="75">
        <v>4.2369791666666652</v>
      </c>
      <c r="L44" s="24">
        <v>4.2389705882352944</v>
      </c>
      <c r="M44" s="19">
        <v>3.6624999999999996</v>
      </c>
      <c r="N44" s="24">
        <v>3.9196428571428568</v>
      </c>
      <c r="O44" s="24">
        <v>4.1249999999999991</v>
      </c>
      <c r="P44" s="61" t="s">
        <v>65</v>
      </c>
      <c r="Q44" s="75">
        <v>3.84375</v>
      </c>
      <c r="R44" s="61" t="s">
        <v>65</v>
      </c>
    </row>
    <row r="45" spans="1:18">
      <c r="A45" s="8" t="s">
        <v>10</v>
      </c>
      <c r="B45" s="63">
        <f t="shared" ref="B45:H45" si="1">B44*20</f>
        <v>80.625</v>
      </c>
      <c r="C45" s="63">
        <f>C44*20</f>
        <v>85.833333333333314</v>
      </c>
      <c r="D45" s="63">
        <f t="shared" si="1"/>
        <v>87.666666666666671</v>
      </c>
      <c r="E45" s="63">
        <f t="shared" si="1"/>
        <v>87.8125</v>
      </c>
      <c r="F45" s="63">
        <f t="shared" si="1"/>
        <v>95.170454545454533</v>
      </c>
      <c r="G45" s="63">
        <f t="shared" si="1"/>
        <v>93.723958333333314</v>
      </c>
      <c r="H45" s="63">
        <f t="shared" si="1"/>
        <v>95.367647058823536</v>
      </c>
      <c r="I45" s="61" t="s">
        <v>65</v>
      </c>
      <c r="J45" s="63">
        <f t="shared" ref="J45" si="2">J44*20</f>
        <v>94.155405405405403</v>
      </c>
      <c r="K45" s="63">
        <f>K44*20</f>
        <v>84.7395833333333</v>
      </c>
      <c r="L45" s="63">
        <f>L44*20</f>
        <v>84.779411764705884</v>
      </c>
      <c r="M45" s="63">
        <f>M44*20</f>
        <v>73.25</v>
      </c>
      <c r="N45" s="63">
        <f>N44*20</f>
        <v>78.392857142857139</v>
      </c>
      <c r="O45" s="63">
        <f>O44*20</f>
        <v>82.499999999999986</v>
      </c>
      <c r="P45" s="61" t="s">
        <v>65</v>
      </c>
      <c r="Q45" s="63">
        <f>Q44*20</f>
        <v>76.875</v>
      </c>
      <c r="R45" s="61" t="s">
        <v>65</v>
      </c>
    </row>
    <row r="46" spans="1:18">
      <c r="A46" s="76" t="s">
        <v>44</v>
      </c>
      <c r="B46" s="77">
        <v>100</v>
      </c>
      <c r="C46" s="78">
        <v>100</v>
      </c>
      <c r="D46" s="77">
        <v>93.333333333333329</v>
      </c>
      <c r="E46" s="77">
        <v>100</v>
      </c>
      <c r="F46" s="77">
        <v>100</v>
      </c>
      <c r="G46" s="77">
        <v>95.833333333333329</v>
      </c>
      <c r="H46" s="77">
        <v>100</v>
      </c>
      <c r="I46" s="79" t="s">
        <v>66</v>
      </c>
      <c r="J46" s="77">
        <v>97.297297297297291</v>
      </c>
      <c r="K46" s="78">
        <v>62.5</v>
      </c>
      <c r="L46" s="78">
        <v>94.117647058823536</v>
      </c>
      <c r="M46" s="77">
        <v>88.571428571428569</v>
      </c>
      <c r="N46" s="78">
        <v>85.714285714285708</v>
      </c>
      <c r="O46" s="78">
        <v>88.571428571428569</v>
      </c>
      <c r="P46" s="79" t="s">
        <v>66</v>
      </c>
      <c r="Q46" s="77">
        <v>100</v>
      </c>
      <c r="R46" s="79" t="s">
        <v>66</v>
      </c>
    </row>
    <row r="48" spans="1:18" ht="24" customHeight="1"/>
    <row r="49" spans="1:16" s="14" customFormat="1" ht="24" customHeight="1">
      <c r="A49" s="6" t="s">
        <v>0</v>
      </c>
      <c r="B49" s="5" t="s">
        <v>46</v>
      </c>
      <c r="C49" s="5" t="s">
        <v>12</v>
      </c>
      <c r="D49" s="5" t="s">
        <v>48</v>
      </c>
      <c r="E49" s="5" t="s">
        <v>89</v>
      </c>
      <c r="F49" s="5" t="s">
        <v>14</v>
      </c>
      <c r="G49" s="5" t="s">
        <v>92</v>
      </c>
      <c r="H49" s="17" t="s">
        <v>52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47</v>
      </c>
      <c r="O49" s="5" t="s">
        <v>20</v>
      </c>
      <c r="P49" s="5" t="s">
        <v>21</v>
      </c>
    </row>
    <row r="50" spans="1:16" s="26" customFormat="1" ht="24" customHeight="1" thickBot="1">
      <c r="A50" s="8" t="s">
        <v>8</v>
      </c>
      <c r="B50" s="25">
        <v>22</v>
      </c>
      <c r="C50" s="31">
        <v>81</v>
      </c>
      <c r="D50" s="25">
        <v>23</v>
      </c>
      <c r="E50" s="25">
        <v>12</v>
      </c>
      <c r="F50" s="25">
        <v>8</v>
      </c>
      <c r="G50" s="25">
        <v>6</v>
      </c>
      <c r="H50" s="61" t="s">
        <v>65</v>
      </c>
      <c r="I50" s="25">
        <v>63</v>
      </c>
      <c r="J50" s="25">
        <v>47</v>
      </c>
      <c r="K50" s="61">
        <v>167</v>
      </c>
      <c r="L50" s="27">
        <v>47</v>
      </c>
      <c r="M50" s="28">
        <v>60</v>
      </c>
      <c r="N50" s="25">
        <v>51</v>
      </c>
      <c r="O50" s="61" t="s">
        <v>65</v>
      </c>
      <c r="P50" s="25">
        <v>35</v>
      </c>
    </row>
    <row r="51" spans="1:16" ht="24" customHeight="1" thickBot="1">
      <c r="A51" s="89" t="s">
        <v>73</v>
      </c>
      <c r="B51" s="20">
        <v>4.5909090909090899</v>
      </c>
      <c r="C51" s="32">
        <v>4.0740740740740771</v>
      </c>
      <c r="D51" s="20">
        <v>4.6521739130434785</v>
      </c>
      <c r="E51" s="20">
        <v>4.6666666666666661</v>
      </c>
      <c r="F51" s="20">
        <v>4.75</v>
      </c>
      <c r="G51" s="20">
        <v>4.6666666666666661</v>
      </c>
      <c r="H51" s="61" t="s">
        <v>65</v>
      </c>
      <c r="I51" s="20">
        <v>4.2380952380952381</v>
      </c>
      <c r="J51" s="20">
        <v>4.3404255319148941</v>
      </c>
      <c r="K51" s="75">
        <v>4.5389221556886232</v>
      </c>
      <c r="L51" s="20">
        <v>4.6808510638297873</v>
      </c>
      <c r="M51" s="20">
        <v>4.6333333333333329</v>
      </c>
      <c r="N51" s="20">
        <v>4.5490196078431362</v>
      </c>
      <c r="O51" s="61" t="s">
        <v>65</v>
      </c>
      <c r="P51" s="23">
        <v>4.6000000000000005</v>
      </c>
    </row>
    <row r="52" spans="1:16" ht="24" customHeight="1" thickBot="1">
      <c r="A52" s="90" t="s">
        <v>74</v>
      </c>
      <c r="B52" s="20">
        <v>4.5909090909090899</v>
      </c>
      <c r="C52" s="32">
        <v>4.0740740740740771</v>
      </c>
      <c r="D52" s="20">
        <v>4.7391304347826084</v>
      </c>
      <c r="E52" s="20">
        <v>4.5833333333333339</v>
      </c>
      <c r="F52" s="20">
        <v>4.75</v>
      </c>
      <c r="G52" s="20">
        <v>4.6666666666666661</v>
      </c>
      <c r="H52" s="61" t="s">
        <v>65</v>
      </c>
      <c r="I52" s="20">
        <v>4.3333333333333321</v>
      </c>
      <c r="J52" s="20">
        <v>4.3191489361702136</v>
      </c>
      <c r="K52" s="75">
        <v>4.5449101796407181</v>
      </c>
      <c r="L52" s="20">
        <v>4.6808510638297873</v>
      </c>
      <c r="M52" s="20">
        <v>4.6333333333333329</v>
      </c>
      <c r="N52" s="20">
        <v>4.5686274509803901</v>
      </c>
      <c r="O52" s="61" t="s">
        <v>65</v>
      </c>
      <c r="P52" s="23">
        <v>4.6285714285714281</v>
      </c>
    </row>
    <row r="53" spans="1:16" ht="24" customHeight="1" thickBot="1">
      <c r="A53" s="90" t="s">
        <v>75</v>
      </c>
      <c r="B53" s="20">
        <v>4.6363636363636367</v>
      </c>
      <c r="C53" s="32">
        <v>4.0617283950617278</v>
      </c>
      <c r="D53" s="20">
        <v>4.6521739130434785</v>
      </c>
      <c r="E53" s="20">
        <v>4.6666666666666661</v>
      </c>
      <c r="F53" s="20">
        <v>4.75</v>
      </c>
      <c r="G53" s="20">
        <v>4.6666666666666661</v>
      </c>
      <c r="H53" s="61" t="s">
        <v>65</v>
      </c>
      <c r="I53" s="20">
        <v>4.3015873015873023</v>
      </c>
      <c r="J53" s="20">
        <v>4.2765957446808516</v>
      </c>
      <c r="K53" s="75">
        <v>4.5329341317365257</v>
      </c>
      <c r="L53" s="20">
        <v>4.6595744680851068</v>
      </c>
      <c r="M53" s="20">
        <v>4.6833333333333336</v>
      </c>
      <c r="N53" s="20">
        <v>4.5098039215686292</v>
      </c>
      <c r="O53" s="61" t="s">
        <v>65</v>
      </c>
      <c r="P53" s="23">
        <v>4.571428571428573</v>
      </c>
    </row>
    <row r="54" spans="1:16" ht="24" customHeight="1" thickBot="1">
      <c r="A54" s="90" t="s">
        <v>76</v>
      </c>
      <c r="B54" s="20">
        <v>4.7272727272727266</v>
      </c>
      <c r="C54" s="32">
        <v>4.0740740740740771</v>
      </c>
      <c r="D54" s="20">
        <v>4.6521739130434776</v>
      </c>
      <c r="E54" s="20">
        <v>4.5833333333333339</v>
      </c>
      <c r="F54" s="20">
        <v>4.75</v>
      </c>
      <c r="G54" s="20">
        <v>4.833333333333333</v>
      </c>
      <c r="H54" s="61" t="s">
        <v>65</v>
      </c>
      <c r="I54" s="20">
        <v>4.349206349206348</v>
      </c>
      <c r="J54" s="20">
        <v>4.1914893617021276</v>
      </c>
      <c r="K54" s="75">
        <v>4.544910179640719</v>
      </c>
      <c r="L54" s="20">
        <v>4.5319148936170199</v>
      </c>
      <c r="M54" s="20">
        <v>4.6499999999999995</v>
      </c>
      <c r="N54" s="20">
        <v>4.5098039215686283</v>
      </c>
      <c r="O54" s="61" t="s">
        <v>65</v>
      </c>
      <c r="P54" s="23">
        <v>4.571428571428573</v>
      </c>
    </row>
    <row r="55" spans="1:16" ht="24" customHeight="1" thickBot="1">
      <c r="A55" s="90" t="s">
        <v>77</v>
      </c>
      <c r="B55" s="20">
        <v>4.7727272727272716</v>
      </c>
      <c r="C55" s="32">
        <v>4.0617283950617278</v>
      </c>
      <c r="D55" s="20">
        <v>4.6086956521739131</v>
      </c>
      <c r="E55" s="20">
        <v>4.5833333333333339</v>
      </c>
      <c r="F55" s="20">
        <v>4.75</v>
      </c>
      <c r="G55" s="20">
        <v>4.6666666666666661</v>
      </c>
      <c r="H55" s="61" t="s">
        <v>65</v>
      </c>
      <c r="I55" s="20">
        <v>4.2539682539682548</v>
      </c>
      <c r="J55" s="20">
        <v>4.2765957446808507</v>
      </c>
      <c r="K55" s="75">
        <v>4.5508982035928165</v>
      </c>
      <c r="L55" s="20">
        <v>4.5319148936170199</v>
      </c>
      <c r="M55" s="20">
        <v>4.6666666666666679</v>
      </c>
      <c r="N55" s="20">
        <v>4.450980392156862</v>
      </c>
      <c r="O55" s="61" t="s">
        <v>65</v>
      </c>
      <c r="P55" s="23">
        <v>4.6857142857142842</v>
      </c>
    </row>
    <row r="56" spans="1:16" ht="24" customHeight="1" thickBot="1">
      <c r="A56" s="90" t="s">
        <v>78</v>
      </c>
      <c r="B56" s="20">
        <v>4.6818181818181817</v>
      </c>
      <c r="C56" s="32">
        <v>4.0864197530864201</v>
      </c>
      <c r="D56" s="20">
        <v>4.6956521739130439</v>
      </c>
      <c r="E56" s="20">
        <v>4.6666666666666661</v>
      </c>
      <c r="F56" s="20">
        <v>4.75</v>
      </c>
      <c r="G56" s="20">
        <v>4.3333333333333339</v>
      </c>
      <c r="H56" s="61" t="s">
        <v>65</v>
      </c>
      <c r="I56" s="20">
        <v>4.2698412698412689</v>
      </c>
      <c r="J56" s="20">
        <v>4.255319148936171</v>
      </c>
      <c r="K56" s="75">
        <v>4.5688622754490993</v>
      </c>
      <c r="L56" s="20">
        <v>4.4893617021276579</v>
      </c>
      <c r="M56" s="20">
        <v>4.7333333333333343</v>
      </c>
      <c r="N56" s="20">
        <v>4.4509803921568629</v>
      </c>
      <c r="O56" s="61" t="s">
        <v>65</v>
      </c>
      <c r="P56" s="23">
        <v>4.6571428571428566</v>
      </c>
    </row>
    <row r="57" spans="1:16" ht="24" customHeight="1" thickBot="1">
      <c r="A57" s="90" t="s">
        <v>79</v>
      </c>
      <c r="B57" s="20">
        <v>4.8181818181818175</v>
      </c>
      <c r="C57" s="32">
        <v>4.1358024691358013</v>
      </c>
      <c r="D57" s="20">
        <v>4.6521739130434767</v>
      </c>
      <c r="E57" s="20">
        <v>4.4166666666666652</v>
      </c>
      <c r="F57" s="20">
        <v>4.75</v>
      </c>
      <c r="G57" s="20">
        <v>4.6666666666666661</v>
      </c>
      <c r="H57" s="61" t="s">
        <v>65</v>
      </c>
      <c r="I57" s="20">
        <v>4.2857142857142856</v>
      </c>
      <c r="J57" s="20">
        <v>4.4680851063829792</v>
      </c>
      <c r="K57" s="75">
        <v>4.6347305389221578</v>
      </c>
      <c r="L57" s="20">
        <v>4.5957446808510634</v>
      </c>
      <c r="M57" s="20">
        <v>4.6999999999999984</v>
      </c>
      <c r="N57" s="20">
        <v>4.6078431372549025</v>
      </c>
      <c r="O57" s="61" t="s">
        <v>65</v>
      </c>
      <c r="P57" s="23">
        <v>4.6857142857142851</v>
      </c>
    </row>
    <row r="58" spans="1:16" ht="24" customHeight="1" thickBot="1">
      <c r="A58" s="90" t="s">
        <v>80</v>
      </c>
      <c r="B58" s="20">
        <v>4.6818181818181817</v>
      </c>
      <c r="C58" s="32">
        <v>4.1604938271604963</v>
      </c>
      <c r="D58" s="20">
        <v>4.5652173913043468</v>
      </c>
      <c r="E58" s="20">
        <v>4.583333333333333</v>
      </c>
      <c r="F58" s="20">
        <v>4.75</v>
      </c>
      <c r="G58" s="20">
        <v>4.6666666666666661</v>
      </c>
      <c r="H58" s="61" t="s">
        <v>65</v>
      </c>
      <c r="I58" s="20">
        <v>4.3015873015873023</v>
      </c>
      <c r="J58" s="20">
        <v>4.2127659574468082</v>
      </c>
      <c r="K58" s="75">
        <v>4.5149700598802367</v>
      </c>
      <c r="L58" s="20">
        <v>4.5744680851063837</v>
      </c>
      <c r="M58" s="20">
        <v>4.633333333333332</v>
      </c>
      <c r="N58" s="20">
        <v>4.4117647058823533</v>
      </c>
      <c r="O58" s="61" t="s">
        <v>65</v>
      </c>
      <c r="P58" s="23">
        <v>4.6857142857142851</v>
      </c>
    </row>
    <row r="59" spans="1:16" ht="24" customHeight="1" thickBot="1">
      <c r="A59" s="90" t="s">
        <v>81</v>
      </c>
      <c r="B59" s="20">
        <v>4.6818181818181817</v>
      </c>
      <c r="C59" s="32">
        <v>4.1358024691358013</v>
      </c>
      <c r="D59" s="20">
        <v>4.7391304347826084</v>
      </c>
      <c r="E59" s="20">
        <v>4.583333333333333</v>
      </c>
      <c r="F59" s="20">
        <v>4.75</v>
      </c>
      <c r="G59" s="20">
        <v>4.6666666666666661</v>
      </c>
      <c r="H59" s="61" t="s">
        <v>65</v>
      </c>
      <c r="I59" s="20">
        <v>4.3809523809523805</v>
      </c>
      <c r="J59" s="20">
        <v>4.4680851063829801</v>
      </c>
      <c r="K59" s="75">
        <v>4.616766467065867</v>
      </c>
      <c r="L59" s="20">
        <v>4.5957446808510642</v>
      </c>
      <c r="M59" s="20">
        <v>4.6999999999999993</v>
      </c>
      <c r="N59" s="20">
        <v>4.6274509803921564</v>
      </c>
      <c r="O59" s="61" t="s">
        <v>65</v>
      </c>
      <c r="P59" s="23">
        <v>4.7142857142857135</v>
      </c>
    </row>
    <row r="60" spans="1:16" ht="24" customHeight="1" thickBot="1">
      <c r="A60" s="90" t="s">
        <v>82</v>
      </c>
      <c r="B60" s="20">
        <v>4.6363636363636367</v>
      </c>
      <c r="C60" s="32">
        <v>4.1111111111111116</v>
      </c>
      <c r="D60" s="20">
        <v>4.6521739130434767</v>
      </c>
      <c r="E60" s="20">
        <v>4.4166666666666661</v>
      </c>
      <c r="F60" s="20">
        <v>4.75</v>
      </c>
      <c r="G60" s="20">
        <v>4.6666666666666661</v>
      </c>
      <c r="H60" s="61" t="s">
        <v>65</v>
      </c>
      <c r="I60" s="20">
        <v>4.3968253968253954</v>
      </c>
      <c r="J60" s="20">
        <v>4.3617021276595747</v>
      </c>
      <c r="K60" s="75">
        <v>4.5748502994011968</v>
      </c>
      <c r="L60" s="20">
        <v>4.5106382978723394</v>
      </c>
      <c r="M60" s="20">
        <v>4.7166666666666668</v>
      </c>
      <c r="N60" s="20">
        <v>4.5490196078431371</v>
      </c>
      <c r="O60" s="61" t="s">
        <v>65</v>
      </c>
      <c r="P60" s="23">
        <v>4.7428571428571411</v>
      </c>
    </row>
    <row r="61" spans="1:16" ht="24" customHeight="1" thickBot="1">
      <c r="A61" s="90" t="s">
        <v>83</v>
      </c>
      <c r="B61" s="20">
        <v>4.6363636363636367</v>
      </c>
      <c r="C61" s="32">
        <v>4.1234567901234565</v>
      </c>
      <c r="D61" s="20">
        <v>4.7391304347826084</v>
      </c>
      <c r="E61" s="20">
        <v>4.7499999999999991</v>
      </c>
      <c r="F61" s="20">
        <v>4.75</v>
      </c>
      <c r="G61" s="20">
        <v>4.833333333333333</v>
      </c>
      <c r="H61" s="61" t="s">
        <v>65</v>
      </c>
      <c r="I61" s="20">
        <v>4.3015873015873005</v>
      </c>
      <c r="J61" s="20">
        <v>4.3617021276595747</v>
      </c>
      <c r="K61" s="75">
        <v>4.598802395209578</v>
      </c>
      <c r="L61" s="20">
        <v>4.5106382978723394</v>
      </c>
      <c r="M61" s="20">
        <v>4.7500000000000009</v>
      </c>
      <c r="N61" s="20">
        <v>4.5490196078431362</v>
      </c>
      <c r="O61" s="61" t="s">
        <v>65</v>
      </c>
      <c r="P61" s="23">
        <v>4.8000000000000007</v>
      </c>
    </row>
    <row r="62" spans="1:16" ht="24" customHeight="1" thickBot="1">
      <c r="A62" s="90" t="s">
        <v>84</v>
      </c>
      <c r="B62" s="20">
        <v>4.8181818181818175</v>
      </c>
      <c r="C62" s="32">
        <v>4.0987654320987641</v>
      </c>
      <c r="D62" s="20">
        <v>4.7391304347826075</v>
      </c>
      <c r="E62" s="20">
        <v>4.75</v>
      </c>
      <c r="F62" s="20">
        <v>4.625</v>
      </c>
      <c r="G62" s="20">
        <v>4.6666666666666661</v>
      </c>
      <c r="H62" s="61" t="s">
        <v>65</v>
      </c>
      <c r="I62" s="20">
        <v>4.2857142857142856</v>
      </c>
      <c r="J62" s="20">
        <v>4.255319148936171</v>
      </c>
      <c r="K62" s="75">
        <v>4.5568862275449078</v>
      </c>
      <c r="L62" s="20">
        <v>4.6595744680851068</v>
      </c>
      <c r="M62" s="20">
        <v>4.6833333333333336</v>
      </c>
      <c r="N62" s="20">
        <v>4.4705882352941178</v>
      </c>
      <c r="O62" s="61" t="s">
        <v>65</v>
      </c>
      <c r="P62" s="23">
        <v>4.6571428571428566</v>
      </c>
    </row>
    <row r="63" spans="1:16" ht="24" customHeight="1" thickBot="1">
      <c r="A63" s="90" t="s">
        <v>85</v>
      </c>
      <c r="B63" s="20">
        <v>4.5909090909090899</v>
      </c>
      <c r="C63" s="32">
        <v>4.1111111111111116</v>
      </c>
      <c r="D63" s="20">
        <v>4.7826086956521729</v>
      </c>
      <c r="E63" s="20">
        <v>4.5833333333333339</v>
      </c>
      <c r="F63" s="20">
        <v>4.625</v>
      </c>
      <c r="G63" s="20">
        <v>4.5</v>
      </c>
      <c r="H63" s="61" t="s">
        <v>65</v>
      </c>
      <c r="I63" s="20">
        <v>4.3015873015873014</v>
      </c>
      <c r="J63" s="20">
        <v>4.2765957446808507</v>
      </c>
      <c r="K63" s="75">
        <v>4.5568862275449078</v>
      </c>
      <c r="L63" s="20">
        <v>4.5744680851063837</v>
      </c>
      <c r="M63" s="20">
        <v>4.6666666666666679</v>
      </c>
      <c r="N63" s="20">
        <v>4.450980392156862</v>
      </c>
      <c r="O63" s="61" t="s">
        <v>65</v>
      </c>
      <c r="P63" s="23">
        <v>4.6571428571428566</v>
      </c>
    </row>
    <row r="64" spans="1:16" ht="24" customHeight="1" thickBot="1">
      <c r="A64" s="90" t="s">
        <v>86</v>
      </c>
      <c r="B64" s="20">
        <v>4.5909090909090917</v>
      </c>
      <c r="C64" s="32">
        <v>4.0740740740740771</v>
      </c>
      <c r="D64" s="20">
        <v>4.7391304347826066</v>
      </c>
      <c r="E64" s="20">
        <v>4.4166666666666661</v>
      </c>
      <c r="F64" s="20">
        <v>4.875</v>
      </c>
      <c r="G64" s="20">
        <v>4.5</v>
      </c>
      <c r="H64" s="61" t="s">
        <v>65</v>
      </c>
      <c r="I64" s="20">
        <v>4.3650793650793647</v>
      </c>
      <c r="J64" s="20">
        <v>4.3404255319148941</v>
      </c>
      <c r="K64" s="75">
        <v>4.5628742514970098</v>
      </c>
      <c r="L64" s="20">
        <v>4.6170212765957439</v>
      </c>
      <c r="M64" s="20">
        <v>4.6166666666666663</v>
      </c>
      <c r="N64" s="20">
        <v>4.4117647058823533</v>
      </c>
      <c r="O64" s="61" t="s">
        <v>65</v>
      </c>
      <c r="P64" s="23">
        <v>4.7428571428571411</v>
      </c>
    </row>
    <row r="65" spans="1:16" ht="24" customHeight="1" thickBot="1">
      <c r="A65" s="90" t="s">
        <v>87</v>
      </c>
      <c r="B65" s="20">
        <v>4.5909090909090917</v>
      </c>
      <c r="C65" s="32">
        <v>4.0987654320987641</v>
      </c>
      <c r="D65" s="20">
        <v>4.7826086956521738</v>
      </c>
      <c r="E65" s="20">
        <v>4.333333333333333</v>
      </c>
      <c r="F65" s="20">
        <v>4.75</v>
      </c>
      <c r="G65" s="20">
        <v>4.6666666666666661</v>
      </c>
      <c r="H65" s="61" t="s">
        <v>65</v>
      </c>
      <c r="I65" s="20">
        <v>4.3809523809523814</v>
      </c>
      <c r="J65" s="20">
        <v>4.3191489361702144</v>
      </c>
      <c r="K65" s="75">
        <v>4.5688622754491002</v>
      </c>
      <c r="L65" s="20">
        <v>4.6595744680851068</v>
      </c>
      <c r="M65" s="20">
        <v>4.6166666666666663</v>
      </c>
      <c r="N65" s="20">
        <v>4.5294117647058814</v>
      </c>
      <c r="O65" s="61" t="s">
        <v>65</v>
      </c>
      <c r="P65" s="23">
        <v>4.8285714285714292</v>
      </c>
    </row>
    <row r="66" spans="1:16" ht="24" customHeight="1" thickBot="1">
      <c r="A66" s="90" t="s">
        <v>88</v>
      </c>
      <c r="B66" s="20">
        <v>4.7272727272727275</v>
      </c>
      <c r="C66" s="32">
        <v>4.086419753086421</v>
      </c>
      <c r="D66" s="20">
        <v>4.7391304347826066</v>
      </c>
      <c r="E66" s="20">
        <v>4.5833333333333339</v>
      </c>
      <c r="F66" s="20">
        <v>4.625</v>
      </c>
      <c r="G66" s="20">
        <v>4.833333333333333</v>
      </c>
      <c r="H66" s="61" t="s">
        <v>65</v>
      </c>
      <c r="I66" s="20">
        <v>4.333333333333333</v>
      </c>
      <c r="J66" s="20">
        <v>4.5319148936170208</v>
      </c>
      <c r="K66" s="75">
        <v>4.6347305389221578</v>
      </c>
      <c r="L66" s="20">
        <v>4.6595744680851068</v>
      </c>
      <c r="M66" s="20">
        <v>4.7166666666666668</v>
      </c>
      <c r="N66" s="20">
        <v>4.7254901960784332</v>
      </c>
      <c r="O66" s="61" t="s">
        <v>65</v>
      </c>
      <c r="P66" s="23">
        <v>4.8</v>
      </c>
    </row>
    <row r="67" spans="1:16" ht="24" customHeight="1">
      <c r="A67" s="8" t="s">
        <v>9</v>
      </c>
      <c r="B67" s="20">
        <v>4.673295454545455</v>
      </c>
      <c r="C67" s="74">
        <v>4.0979938271604954</v>
      </c>
      <c r="D67" s="20">
        <v>4.6956521739130439</v>
      </c>
      <c r="E67" s="20">
        <v>4.5729166666666661</v>
      </c>
      <c r="F67" s="20">
        <v>4.734375</v>
      </c>
      <c r="G67" s="20">
        <v>4.65625</v>
      </c>
      <c r="H67" s="61" t="s">
        <v>65</v>
      </c>
      <c r="I67" s="20">
        <v>4.3174603174603181</v>
      </c>
      <c r="J67" s="20">
        <v>4.3284574468085104</v>
      </c>
      <c r="K67" s="75">
        <v>4.5688622754490993</v>
      </c>
      <c r="L67" s="20">
        <v>4.5957446808510634</v>
      </c>
      <c r="M67" s="20">
        <v>4.6750000000000007</v>
      </c>
      <c r="N67" s="20">
        <v>4.5232843137254903</v>
      </c>
      <c r="O67" s="61" t="s">
        <v>65</v>
      </c>
      <c r="P67" s="23">
        <v>4.6892857142857149</v>
      </c>
    </row>
    <row r="68" spans="1:16">
      <c r="A68" s="8" t="s">
        <v>10</v>
      </c>
      <c r="B68" s="63">
        <f t="shared" ref="B68:D68" si="3">B67*20</f>
        <v>93.465909090909093</v>
      </c>
      <c r="C68" s="63">
        <f t="shared" si="3"/>
        <v>81.959876543209901</v>
      </c>
      <c r="D68" s="63">
        <f t="shared" si="3"/>
        <v>93.913043478260875</v>
      </c>
      <c r="E68" s="63">
        <f t="shared" ref="E68" si="4">E67*20</f>
        <v>91.458333333333314</v>
      </c>
      <c r="F68" s="63">
        <f t="shared" ref="F68:N68" si="5">F67*20</f>
        <v>94.6875</v>
      </c>
      <c r="G68" s="63">
        <f t="shared" si="5"/>
        <v>93.125</v>
      </c>
      <c r="H68" s="61" t="s">
        <v>65</v>
      </c>
      <c r="I68" s="63">
        <f t="shared" si="5"/>
        <v>86.349206349206355</v>
      </c>
      <c r="J68" s="63">
        <f t="shared" si="5"/>
        <v>86.569148936170208</v>
      </c>
      <c r="K68" s="63">
        <f t="shared" si="5"/>
        <v>91.377245508981986</v>
      </c>
      <c r="L68" s="63">
        <f t="shared" si="5"/>
        <v>91.914893617021264</v>
      </c>
      <c r="M68" s="63">
        <f t="shared" si="5"/>
        <v>93.500000000000014</v>
      </c>
      <c r="N68" s="63">
        <f t="shared" si="5"/>
        <v>90.465686274509807</v>
      </c>
      <c r="O68" s="61" t="s">
        <v>65</v>
      </c>
      <c r="P68" s="63">
        <f>P67*20</f>
        <v>93.785714285714306</v>
      </c>
    </row>
    <row r="69" spans="1:16">
      <c r="A69" s="16" t="s">
        <v>44</v>
      </c>
      <c r="B69" s="62">
        <v>86.36363636363636</v>
      </c>
      <c r="C69" s="62">
        <v>100</v>
      </c>
      <c r="D69" s="62">
        <v>86.956521739130437</v>
      </c>
      <c r="E69" s="62">
        <v>91.666666666666671</v>
      </c>
      <c r="F69" s="62">
        <v>100</v>
      </c>
      <c r="G69" s="62">
        <v>100</v>
      </c>
      <c r="H69" s="79" t="s">
        <v>66</v>
      </c>
      <c r="I69" s="62">
        <v>98.412698412698418</v>
      </c>
      <c r="J69" s="64">
        <v>100</v>
      </c>
      <c r="K69" s="21">
        <v>100</v>
      </c>
      <c r="L69" s="62">
        <v>100</v>
      </c>
      <c r="M69" s="62">
        <v>100</v>
      </c>
      <c r="N69" s="62">
        <v>98.039215686274517</v>
      </c>
      <c r="O69" s="79" t="s">
        <v>66</v>
      </c>
      <c r="P69" s="62">
        <v>100</v>
      </c>
    </row>
    <row r="71" spans="1:16" ht="24" customHeight="1"/>
    <row r="72" spans="1:16" s="14" customFormat="1" ht="24" customHeight="1">
      <c r="A72" s="7" t="s">
        <v>0</v>
      </c>
      <c r="B72" s="5" t="s">
        <v>90</v>
      </c>
      <c r="C72" s="5" t="s">
        <v>91</v>
      </c>
      <c r="D72" s="5" t="s">
        <v>22</v>
      </c>
      <c r="E72" s="5" t="s">
        <v>23</v>
      </c>
      <c r="F72" s="5" t="s">
        <v>96</v>
      </c>
      <c r="G72" s="5" t="s">
        <v>24</v>
      </c>
      <c r="H72" s="9" t="s">
        <v>25</v>
      </c>
      <c r="I72" s="5" t="s">
        <v>26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31</v>
      </c>
      <c r="O72" s="5" t="s">
        <v>32</v>
      </c>
      <c r="P72" s="5" t="s">
        <v>13</v>
      </c>
    </row>
    <row r="73" spans="1:16" s="26" customFormat="1" ht="24" customHeight="1" thickBot="1">
      <c r="A73" s="8" t="s">
        <v>8</v>
      </c>
      <c r="B73" s="95">
        <v>19</v>
      </c>
      <c r="C73" s="25">
        <v>38</v>
      </c>
      <c r="D73" s="25">
        <v>39</v>
      </c>
      <c r="E73" s="25">
        <v>43</v>
      </c>
      <c r="F73" s="25">
        <v>12</v>
      </c>
      <c r="G73" s="25">
        <v>49</v>
      </c>
      <c r="H73" s="25">
        <v>41</v>
      </c>
      <c r="I73" s="25">
        <v>68</v>
      </c>
      <c r="J73" s="25">
        <v>95</v>
      </c>
      <c r="K73" s="25">
        <v>66</v>
      </c>
      <c r="L73" s="25">
        <v>79</v>
      </c>
      <c r="M73" s="25">
        <v>14</v>
      </c>
      <c r="N73" s="61" t="s">
        <v>65</v>
      </c>
      <c r="O73" s="61">
        <v>76</v>
      </c>
      <c r="P73" s="18">
        <v>33</v>
      </c>
    </row>
    <row r="74" spans="1:16" ht="24" customHeight="1" thickBot="1">
      <c r="A74" s="93" t="s">
        <v>73</v>
      </c>
      <c r="B74" s="96">
        <v>4.4736842105263159</v>
      </c>
      <c r="C74" s="20">
        <v>4.4210526315789487</v>
      </c>
      <c r="D74" s="20">
        <v>4.5897435897435903</v>
      </c>
      <c r="E74" s="20">
        <v>4.4418604651162772</v>
      </c>
      <c r="F74" s="20">
        <v>4.75</v>
      </c>
      <c r="G74" s="20">
        <v>4.6122448979591821</v>
      </c>
      <c r="H74" s="20">
        <v>4.5365853658536572</v>
      </c>
      <c r="I74" s="20">
        <v>4.6029411764705879</v>
      </c>
      <c r="J74" s="20">
        <v>4.568421052631578</v>
      </c>
      <c r="K74" s="20">
        <v>4.6818181818181825</v>
      </c>
      <c r="L74" s="20">
        <v>4.822784810126584</v>
      </c>
      <c r="M74" s="20">
        <v>4.4285714285714279</v>
      </c>
      <c r="N74" s="61" t="s">
        <v>65</v>
      </c>
      <c r="O74" s="20">
        <v>4.7105263157894743</v>
      </c>
      <c r="P74" s="20">
        <v>4.8484848484848486</v>
      </c>
    </row>
    <row r="75" spans="1:16" ht="24" customHeight="1" thickBot="1">
      <c r="A75" s="94" t="s">
        <v>74</v>
      </c>
      <c r="B75" s="96">
        <v>4.4736842105263159</v>
      </c>
      <c r="C75" s="20">
        <v>4.4999999999999982</v>
      </c>
      <c r="D75" s="20">
        <v>4.5897435897435903</v>
      </c>
      <c r="E75" s="20">
        <v>4.4186046511627914</v>
      </c>
      <c r="F75" s="20">
        <v>4.5833333333333339</v>
      </c>
      <c r="G75" s="20">
        <v>4.4693877551020407</v>
      </c>
      <c r="H75" s="20">
        <v>4.6341463414634161</v>
      </c>
      <c r="I75" s="20">
        <v>4.5882352941176476</v>
      </c>
      <c r="J75" s="20">
        <v>4.6421052631578936</v>
      </c>
      <c r="K75" s="20">
        <v>4.6666666666666679</v>
      </c>
      <c r="L75" s="20">
        <v>4.822784810126584</v>
      </c>
      <c r="M75" s="20">
        <v>4.4285714285714279</v>
      </c>
      <c r="N75" s="61" t="s">
        <v>65</v>
      </c>
      <c r="O75" s="20">
        <v>4.7368421052631575</v>
      </c>
      <c r="P75" s="20">
        <v>4.7272727272727284</v>
      </c>
    </row>
    <row r="76" spans="1:16" ht="24" customHeight="1" thickBot="1">
      <c r="A76" s="94" t="s">
        <v>75</v>
      </c>
      <c r="B76" s="96">
        <v>4.3684210526315788</v>
      </c>
      <c r="C76" s="20">
        <v>4.4736842105263142</v>
      </c>
      <c r="D76" s="20">
        <v>4.5384615384615383</v>
      </c>
      <c r="E76" s="20">
        <v>4.3720930232558146</v>
      </c>
      <c r="F76" s="20">
        <v>4.5833333333333339</v>
      </c>
      <c r="G76" s="20">
        <v>4.4489795918367347</v>
      </c>
      <c r="H76" s="20">
        <v>4.463414634146341</v>
      </c>
      <c r="I76" s="20">
        <v>4.5588235294117636</v>
      </c>
      <c r="J76" s="20">
        <v>4.4842105263157892</v>
      </c>
      <c r="K76" s="20">
        <v>4.6818181818181843</v>
      </c>
      <c r="L76" s="20">
        <v>4.7848101265822782</v>
      </c>
      <c r="M76" s="20">
        <v>4.5</v>
      </c>
      <c r="N76" s="61" t="s">
        <v>65</v>
      </c>
      <c r="O76" s="20">
        <v>4.697368421052631</v>
      </c>
      <c r="P76" s="20">
        <v>4.787878787878789</v>
      </c>
    </row>
    <row r="77" spans="1:16" ht="24" customHeight="1" thickBot="1">
      <c r="A77" s="94" t="s">
        <v>76</v>
      </c>
      <c r="B77" s="96">
        <v>4.4210526315789478</v>
      </c>
      <c r="C77" s="20">
        <v>4.4210526315789469</v>
      </c>
      <c r="D77" s="20">
        <v>4.5384615384615383</v>
      </c>
      <c r="E77" s="20">
        <v>4.3720930232558146</v>
      </c>
      <c r="F77" s="20">
        <v>4.6666666666666661</v>
      </c>
      <c r="G77" s="20">
        <v>4.4693877551020407</v>
      </c>
      <c r="H77" s="20">
        <v>4.5365853658536572</v>
      </c>
      <c r="I77" s="20">
        <v>4.6470588235294112</v>
      </c>
      <c r="J77" s="20">
        <v>4.6210526315789462</v>
      </c>
      <c r="K77" s="20">
        <v>4.6212121212121211</v>
      </c>
      <c r="L77" s="20">
        <v>4.8607594936708853</v>
      </c>
      <c r="M77" s="20">
        <v>4.3571428571428568</v>
      </c>
      <c r="N77" s="61" t="s">
        <v>65</v>
      </c>
      <c r="O77" s="20">
        <v>4.7105263157894743</v>
      </c>
      <c r="P77" s="20">
        <v>4.8181818181818183</v>
      </c>
    </row>
    <row r="78" spans="1:16" ht="24" customHeight="1" thickBot="1">
      <c r="A78" s="94" t="s">
        <v>77</v>
      </c>
      <c r="B78" s="96">
        <v>4.3157894736842106</v>
      </c>
      <c r="C78" s="20">
        <v>4.5263157894736832</v>
      </c>
      <c r="D78" s="20">
        <v>4.4871794871794854</v>
      </c>
      <c r="E78" s="20">
        <v>4.3488372093023253</v>
      </c>
      <c r="F78" s="20">
        <v>4.583333333333333</v>
      </c>
      <c r="G78" s="20">
        <v>4.6326530612244907</v>
      </c>
      <c r="H78" s="20">
        <v>4.6097560975609762</v>
      </c>
      <c r="I78" s="20">
        <v>4.4411764705882337</v>
      </c>
      <c r="J78" s="20">
        <v>4.6421052631578945</v>
      </c>
      <c r="K78" s="20">
        <v>4.6969696969696972</v>
      </c>
      <c r="L78" s="20">
        <v>4.7341772151898738</v>
      </c>
      <c r="M78" s="20">
        <v>4.3571428571428568</v>
      </c>
      <c r="N78" s="61" t="s">
        <v>65</v>
      </c>
      <c r="O78" s="20">
        <v>4.7105263157894735</v>
      </c>
      <c r="P78" s="20">
        <v>4.7575757575757587</v>
      </c>
    </row>
    <row r="79" spans="1:16" ht="24" customHeight="1" thickBot="1">
      <c r="A79" s="94" t="s">
        <v>78</v>
      </c>
      <c r="B79" s="96">
        <v>4.4736842105263159</v>
      </c>
      <c r="C79" s="20">
        <v>4.4210526315789469</v>
      </c>
      <c r="D79" s="20">
        <v>4.512820512820511</v>
      </c>
      <c r="E79" s="20">
        <v>4.3255813953488378</v>
      </c>
      <c r="F79" s="20">
        <v>4.5833333333333339</v>
      </c>
      <c r="G79" s="20">
        <v>4.5918367346938771</v>
      </c>
      <c r="H79" s="20">
        <v>4.6341463414634152</v>
      </c>
      <c r="I79" s="20">
        <v>4.4558823529411766</v>
      </c>
      <c r="J79" s="20">
        <v>4.6421052631578945</v>
      </c>
      <c r="K79" s="20">
        <v>4.6666666666666661</v>
      </c>
      <c r="L79" s="20">
        <v>4.7594936708860747</v>
      </c>
      <c r="M79" s="20">
        <v>4.3571428571428568</v>
      </c>
      <c r="N79" s="61" t="s">
        <v>65</v>
      </c>
      <c r="O79" s="20">
        <v>4.6578947368421053</v>
      </c>
      <c r="P79" s="20">
        <v>4.6969696969696964</v>
      </c>
    </row>
    <row r="80" spans="1:16" ht="24" customHeight="1" thickBot="1">
      <c r="A80" s="94" t="s">
        <v>79</v>
      </c>
      <c r="B80" s="96">
        <v>4.4736842105263159</v>
      </c>
      <c r="C80" s="20">
        <v>4.6578947368421044</v>
      </c>
      <c r="D80" s="20">
        <v>4.5384615384615383</v>
      </c>
      <c r="E80" s="20">
        <v>4.3953488372093021</v>
      </c>
      <c r="F80" s="20">
        <v>4.6666666666666661</v>
      </c>
      <c r="G80" s="20">
        <v>4.6734693877551026</v>
      </c>
      <c r="H80" s="20">
        <v>4.7073170731707314</v>
      </c>
      <c r="I80" s="20">
        <v>4.5882352941176476</v>
      </c>
      <c r="J80" s="20">
        <v>4.6947368421052653</v>
      </c>
      <c r="K80" s="20">
        <v>4.7575757575757578</v>
      </c>
      <c r="L80" s="20">
        <v>4.7974683544303804</v>
      </c>
      <c r="M80" s="20">
        <v>4.2857142857142847</v>
      </c>
      <c r="N80" s="61" t="s">
        <v>65</v>
      </c>
      <c r="O80" s="20">
        <v>4.776315789473685</v>
      </c>
      <c r="P80" s="20">
        <v>4.8181818181818183</v>
      </c>
    </row>
    <row r="81" spans="1:16" ht="24" customHeight="1" thickBot="1">
      <c r="A81" s="94" t="s">
        <v>80</v>
      </c>
      <c r="B81" s="96">
        <v>4.3684210526315788</v>
      </c>
      <c r="C81" s="20">
        <v>4.447368421052631</v>
      </c>
      <c r="D81" s="20">
        <v>4.4871794871794854</v>
      </c>
      <c r="E81" s="20">
        <v>4.3488372093023253</v>
      </c>
      <c r="F81" s="20">
        <v>4.5833333333333339</v>
      </c>
      <c r="G81" s="20">
        <v>4.5306122448979584</v>
      </c>
      <c r="H81" s="20">
        <v>4.6341463414634152</v>
      </c>
      <c r="I81" s="20">
        <v>4.4264705882352953</v>
      </c>
      <c r="J81" s="20">
        <v>4.6105263157894747</v>
      </c>
      <c r="K81" s="20">
        <v>4.6363636363636358</v>
      </c>
      <c r="L81" s="20">
        <v>4.7594936708860747</v>
      </c>
      <c r="M81" s="20">
        <v>4.2142857142857135</v>
      </c>
      <c r="N81" s="61" t="s">
        <v>65</v>
      </c>
      <c r="O81" s="20">
        <v>4.6578947368421026</v>
      </c>
      <c r="P81" s="20">
        <v>4.7878787878787881</v>
      </c>
    </row>
    <row r="82" spans="1:16" ht="24" customHeight="1" thickBot="1">
      <c r="A82" s="94" t="s">
        <v>81</v>
      </c>
      <c r="B82" s="96">
        <v>4.3684210526315788</v>
      </c>
      <c r="C82" s="20">
        <v>4.5263157894736841</v>
      </c>
      <c r="D82" s="20">
        <v>4.5641025641025639</v>
      </c>
      <c r="E82" s="20">
        <v>4.4186046511627914</v>
      </c>
      <c r="F82" s="20">
        <v>4.5833333333333339</v>
      </c>
      <c r="G82" s="20">
        <v>4.6530612244897966</v>
      </c>
      <c r="H82" s="20">
        <v>4.7317073170731705</v>
      </c>
      <c r="I82" s="20">
        <v>4.5441176470588234</v>
      </c>
      <c r="J82" s="20">
        <v>4.578947368421054</v>
      </c>
      <c r="K82" s="20">
        <v>4.6818181818181834</v>
      </c>
      <c r="L82" s="20">
        <v>4.7721518987341778</v>
      </c>
      <c r="M82" s="20">
        <v>4.3571428571428568</v>
      </c>
      <c r="N82" s="61" t="s">
        <v>65</v>
      </c>
      <c r="O82" s="20">
        <v>4.7236842105263168</v>
      </c>
      <c r="P82" s="20">
        <v>4.7878787878787881</v>
      </c>
    </row>
    <row r="83" spans="1:16" ht="24" customHeight="1" thickBot="1">
      <c r="A83" s="94" t="s">
        <v>82</v>
      </c>
      <c r="B83" s="96">
        <v>4.4210526315789478</v>
      </c>
      <c r="C83" s="20">
        <v>4.4999999999999982</v>
      </c>
      <c r="D83" s="20">
        <v>4.4871794871794854</v>
      </c>
      <c r="E83" s="20">
        <v>4.3953488372093021</v>
      </c>
      <c r="F83" s="20">
        <v>4.5</v>
      </c>
      <c r="G83" s="20">
        <v>4.6734693877551026</v>
      </c>
      <c r="H83" s="20">
        <v>4.6097560975609762</v>
      </c>
      <c r="I83" s="20">
        <v>4.4852941176470589</v>
      </c>
      <c r="J83" s="20">
        <v>4.6105263157894729</v>
      </c>
      <c r="K83" s="20">
        <v>4.6818181818181825</v>
      </c>
      <c r="L83" s="20">
        <v>4.7341772151898738</v>
      </c>
      <c r="M83" s="20">
        <v>4.4285714285714279</v>
      </c>
      <c r="N83" s="61" t="s">
        <v>65</v>
      </c>
      <c r="O83" s="20">
        <v>4.6052631578947363</v>
      </c>
      <c r="P83" s="20">
        <v>4.8181818181818183</v>
      </c>
    </row>
    <row r="84" spans="1:16" ht="24" customHeight="1" thickBot="1">
      <c r="A84" s="94" t="s">
        <v>83</v>
      </c>
      <c r="B84" s="96">
        <v>4.3684210526315788</v>
      </c>
      <c r="C84" s="20">
        <v>4.4736842105263142</v>
      </c>
      <c r="D84" s="20">
        <v>4.5384615384615383</v>
      </c>
      <c r="E84" s="20">
        <v>4.4418604651162772</v>
      </c>
      <c r="F84" s="20">
        <v>4.6666666666666661</v>
      </c>
      <c r="G84" s="20">
        <v>4.6326530612244907</v>
      </c>
      <c r="H84" s="20">
        <v>4.6341463414634152</v>
      </c>
      <c r="I84" s="20">
        <v>4.5441176470588243</v>
      </c>
      <c r="J84" s="20">
        <v>4.6421052631578936</v>
      </c>
      <c r="K84" s="20">
        <v>4.696969696969699</v>
      </c>
      <c r="L84" s="20">
        <v>4.7594936708860747</v>
      </c>
      <c r="M84" s="20">
        <v>4.2857142857142847</v>
      </c>
      <c r="N84" s="61" t="s">
        <v>65</v>
      </c>
      <c r="O84" s="20">
        <v>4.7236842105263168</v>
      </c>
      <c r="P84" s="20">
        <v>4.787878787878789</v>
      </c>
    </row>
    <row r="85" spans="1:16" ht="24" customHeight="1" thickBot="1">
      <c r="A85" s="94" t="s">
        <v>84</v>
      </c>
      <c r="B85" s="96">
        <v>4.3157894736842106</v>
      </c>
      <c r="C85" s="20">
        <v>4.368421052631577</v>
      </c>
      <c r="D85" s="20">
        <v>4.5897435897435903</v>
      </c>
      <c r="E85" s="20">
        <v>4.3255813953488378</v>
      </c>
      <c r="F85" s="20">
        <v>4.5833333333333339</v>
      </c>
      <c r="G85" s="20">
        <v>4.5306122448979584</v>
      </c>
      <c r="H85" s="20">
        <v>4.6829268292682924</v>
      </c>
      <c r="I85" s="20">
        <v>4.5882352941176467</v>
      </c>
      <c r="J85" s="20">
        <v>4.6526315789473687</v>
      </c>
      <c r="K85" s="20">
        <v>4.6969696969696981</v>
      </c>
      <c r="L85" s="20">
        <v>4.8101265822784827</v>
      </c>
      <c r="M85" s="20">
        <v>4.3571428571428568</v>
      </c>
      <c r="N85" s="61" t="s">
        <v>65</v>
      </c>
      <c r="O85" s="20">
        <v>4.7368421052631584</v>
      </c>
      <c r="P85" s="20">
        <v>4.7575757575757587</v>
      </c>
    </row>
    <row r="86" spans="1:16" ht="24" customHeight="1" thickBot="1">
      <c r="A86" s="94" t="s">
        <v>85</v>
      </c>
      <c r="B86" s="96">
        <v>4.3157894736842106</v>
      </c>
      <c r="C86" s="20">
        <v>4.4210526315789478</v>
      </c>
      <c r="D86" s="20">
        <v>4.5641025641025639</v>
      </c>
      <c r="E86" s="20">
        <v>4.3720930232558146</v>
      </c>
      <c r="F86" s="20">
        <v>4.6666666666666661</v>
      </c>
      <c r="G86" s="20">
        <v>4.5306122448979584</v>
      </c>
      <c r="H86" s="20">
        <v>4.6341463414634152</v>
      </c>
      <c r="I86" s="20">
        <v>4.514705882352942</v>
      </c>
      <c r="J86" s="20">
        <v>4.6421052631578936</v>
      </c>
      <c r="K86" s="20">
        <v>4.6818181818181799</v>
      </c>
      <c r="L86" s="20">
        <v>4.7974683544303804</v>
      </c>
      <c r="M86" s="20">
        <v>4.3571428571428568</v>
      </c>
      <c r="N86" s="61" t="s">
        <v>65</v>
      </c>
      <c r="O86" s="20">
        <v>4.6578947368421026</v>
      </c>
      <c r="P86" s="20">
        <v>4.7575757575757587</v>
      </c>
    </row>
    <row r="87" spans="1:16" ht="24" customHeight="1" thickBot="1">
      <c r="A87" s="94" t="s">
        <v>86</v>
      </c>
      <c r="B87" s="96">
        <v>4.3157894736842106</v>
      </c>
      <c r="C87" s="20">
        <v>4.4210526315789478</v>
      </c>
      <c r="D87" s="20">
        <v>4.512820512820511</v>
      </c>
      <c r="E87" s="20">
        <v>4.3953488372093021</v>
      </c>
      <c r="F87" s="20">
        <v>4.8333333333333339</v>
      </c>
      <c r="G87" s="20">
        <v>4.5714285714285721</v>
      </c>
      <c r="H87" s="20">
        <v>4.7073170731707314</v>
      </c>
      <c r="I87" s="20">
        <v>4.5588235294117636</v>
      </c>
      <c r="J87" s="20">
        <v>4.6736842105263143</v>
      </c>
      <c r="K87" s="20">
        <v>4.6818181818181843</v>
      </c>
      <c r="L87" s="20">
        <v>4.7721518987341769</v>
      </c>
      <c r="M87" s="20">
        <v>4.2857142857142856</v>
      </c>
      <c r="N87" s="61" t="s">
        <v>65</v>
      </c>
      <c r="O87" s="20">
        <v>4.6184210526315788</v>
      </c>
      <c r="P87" s="20">
        <v>4.7878787878787881</v>
      </c>
    </row>
    <row r="88" spans="1:16" ht="24" customHeight="1" thickBot="1">
      <c r="A88" s="94" t="s">
        <v>87</v>
      </c>
      <c r="B88" s="96">
        <v>4.2631578947368425</v>
      </c>
      <c r="C88" s="20">
        <v>4.4736842105263142</v>
      </c>
      <c r="D88" s="20">
        <v>4.5641025641025639</v>
      </c>
      <c r="E88" s="20">
        <v>4.3720930232558146</v>
      </c>
      <c r="F88" s="20">
        <v>4.8333333333333339</v>
      </c>
      <c r="G88" s="20">
        <v>4.5918367346938771</v>
      </c>
      <c r="H88" s="20">
        <v>4.6829268292682924</v>
      </c>
      <c r="I88" s="20">
        <v>4.5441176470588243</v>
      </c>
      <c r="J88" s="20">
        <v>4.6842105263157903</v>
      </c>
      <c r="K88" s="20">
        <v>4.6818181818181843</v>
      </c>
      <c r="L88" s="20">
        <v>4.8101265822784818</v>
      </c>
      <c r="M88" s="20">
        <v>4.3571428571428568</v>
      </c>
      <c r="N88" s="61" t="s">
        <v>65</v>
      </c>
      <c r="O88" s="20">
        <v>4.7105263157894726</v>
      </c>
      <c r="P88" s="20">
        <v>4.6969696969696964</v>
      </c>
    </row>
    <row r="89" spans="1:16" ht="24" customHeight="1" thickBot="1">
      <c r="A89" s="94" t="s">
        <v>88</v>
      </c>
      <c r="B89" s="96">
        <v>4.4210526315789478</v>
      </c>
      <c r="C89" s="20">
        <v>4.5789473684210531</v>
      </c>
      <c r="D89" s="20">
        <v>4.6410256410256414</v>
      </c>
      <c r="E89" s="20">
        <v>4.3953488372093021</v>
      </c>
      <c r="F89" s="20">
        <v>4.6666666666666661</v>
      </c>
      <c r="G89" s="20">
        <v>4.6734693877551026</v>
      </c>
      <c r="H89" s="20">
        <v>4.7317073170731705</v>
      </c>
      <c r="I89" s="20">
        <v>4.7205882352941186</v>
      </c>
      <c r="J89" s="20">
        <v>4.6736842105263152</v>
      </c>
      <c r="K89" s="20">
        <v>4.7575757575757587</v>
      </c>
      <c r="L89" s="20">
        <v>4.8227848101265831</v>
      </c>
      <c r="M89" s="20">
        <v>4.4285714285714279</v>
      </c>
      <c r="N89" s="61" t="s">
        <v>65</v>
      </c>
      <c r="O89" s="20">
        <v>4.7631578947368443</v>
      </c>
      <c r="P89" s="20">
        <v>4.8484848484848486</v>
      </c>
    </row>
    <row r="90" spans="1:16" ht="24" customHeight="1">
      <c r="A90" s="8" t="s">
        <v>9</v>
      </c>
      <c r="B90" s="96">
        <v>4.3848684210526319</v>
      </c>
      <c r="C90" s="20">
        <v>4.4769736842105257</v>
      </c>
      <c r="D90" s="20">
        <v>4.5464743589743586</v>
      </c>
      <c r="E90" s="20">
        <v>4.3837209302325579</v>
      </c>
      <c r="F90" s="20">
        <v>4.6458333333333339</v>
      </c>
      <c r="G90" s="20">
        <v>4.5803571428571432</v>
      </c>
      <c r="H90" s="20">
        <v>4.6356707317073162</v>
      </c>
      <c r="I90" s="20">
        <v>4.5505514705882346</v>
      </c>
      <c r="J90" s="20">
        <v>4.6289473684210529</v>
      </c>
      <c r="K90" s="20">
        <v>4.6856060606060614</v>
      </c>
      <c r="L90" s="20">
        <v>4.7887658227848107</v>
      </c>
      <c r="M90" s="20">
        <v>4.3616071428571432</v>
      </c>
      <c r="N90" s="61" t="s">
        <v>65</v>
      </c>
      <c r="O90" s="20">
        <v>4.6998355263157885</v>
      </c>
      <c r="P90" s="20">
        <v>4.7803030303030303</v>
      </c>
    </row>
    <row r="91" spans="1:16" s="66" customFormat="1">
      <c r="A91" s="65" t="s">
        <v>10</v>
      </c>
      <c r="B91" s="68">
        <f t="shared" ref="B91:G91" si="6">B90*20</f>
        <v>87.69736842105263</v>
      </c>
      <c r="C91" s="68">
        <f t="shared" si="6"/>
        <v>89.53947368421052</v>
      </c>
      <c r="D91" s="68">
        <f t="shared" si="6"/>
        <v>90.929487179487168</v>
      </c>
      <c r="E91" s="63">
        <f t="shared" si="6"/>
        <v>87.674418604651152</v>
      </c>
      <c r="F91" s="63">
        <f t="shared" si="6"/>
        <v>92.916666666666686</v>
      </c>
      <c r="G91" s="63">
        <f t="shared" si="6"/>
        <v>91.607142857142861</v>
      </c>
      <c r="H91" s="63">
        <f t="shared" ref="H91:M91" si="7">H90*20</f>
        <v>92.713414634146318</v>
      </c>
      <c r="I91" s="63">
        <f t="shared" si="7"/>
        <v>91.011029411764696</v>
      </c>
      <c r="J91" s="63">
        <f t="shared" si="7"/>
        <v>92.578947368421055</v>
      </c>
      <c r="K91" s="63">
        <f t="shared" si="7"/>
        <v>93.712121212121232</v>
      </c>
      <c r="L91" s="63">
        <f t="shared" si="7"/>
        <v>95.775316455696213</v>
      </c>
      <c r="M91" s="63">
        <f t="shared" si="7"/>
        <v>87.232142857142861</v>
      </c>
      <c r="N91" s="61" t="s">
        <v>65</v>
      </c>
      <c r="O91" s="63">
        <f t="shared" ref="O91" si="8">O90*20</f>
        <v>93.996710526315766</v>
      </c>
      <c r="P91" s="63">
        <f>P90*20</f>
        <v>95.606060606060609</v>
      </c>
    </row>
    <row r="92" spans="1:16">
      <c r="A92" s="16" t="s">
        <v>44</v>
      </c>
      <c r="B92" s="62">
        <v>99</v>
      </c>
      <c r="C92" s="62">
        <v>100</v>
      </c>
      <c r="D92" s="62">
        <v>97.435897435897431</v>
      </c>
      <c r="E92" s="62">
        <v>97.674418604651166</v>
      </c>
      <c r="F92" s="62">
        <v>100</v>
      </c>
      <c r="G92" s="62">
        <v>77.551020408163268</v>
      </c>
      <c r="H92" s="62">
        <v>95.121951219512198</v>
      </c>
      <c r="I92" s="62">
        <v>89.705882352941174</v>
      </c>
      <c r="J92" s="62">
        <v>93.684210526315795</v>
      </c>
      <c r="K92" s="62">
        <v>89.393939393939391</v>
      </c>
      <c r="L92" s="62">
        <v>97.468354430379748</v>
      </c>
      <c r="M92" s="62">
        <v>100</v>
      </c>
      <c r="N92" s="79" t="s">
        <v>66</v>
      </c>
      <c r="O92" s="22">
        <v>96.05263157894737</v>
      </c>
      <c r="P92" s="62">
        <v>100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P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56"/>
  <sheetViews>
    <sheetView tabSelected="1" zoomScale="115" zoomScaleNormal="115" zoomScaleSheetLayoutView="120" workbookViewId="0">
      <selection activeCell="F16" sqref="F16"/>
    </sheetView>
  </sheetViews>
  <sheetFormatPr defaultColWidth="9" defaultRowHeight="21"/>
  <cols>
    <col min="1" max="1" width="4.75" style="34" customWidth="1"/>
    <col min="2" max="2" width="27.625" style="34" customWidth="1"/>
    <col min="3" max="7" width="12" style="34" customWidth="1"/>
    <col min="8" max="8" width="60.625" style="34" customWidth="1"/>
    <col min="9" max="9" width="14.75" style="34" customWidth="1"/>
    <col min="10" max="10" width="7.25" style="34" customWidth="1"/>
    <col min="11" max="16384" width="9" style="34"/>
  </cols>
  <sheetData>
    <row r="1" spans="1:9" s="49" customFormat="1" ht="43.5" customHeight="1">
      <c r="A1" s="106" t="s">
        <v>98</v>
      </c>
      <c r="B1" s="106"/>
      <c r="C1" s="106"/>
      <c r="D1" s="106"/>
      <c r="E1" s="106"/>
      <c r="F1" s="106"/>
      <c r="G1" s="106"/>
      <c r="H1" s="106"/>
      <c r="I1" s="106"/>
    </row>
    <row r="2" spans="1:9" s="49" customFormat="1">
      <c r="A2" s="105" t="s">
        <v>100</v>
      </c>
      <c r="B2" s="105"/>
      <c r="C2" s="105"/>
      <c r="D2" s="105"/>
      <c r="E2" s="105"/>
      <c r="F2" s="105"/>
      <c r="G2" s="105"/>
      <c r="H2" s="105"/>
    </row>
    <row r="3" spans="1:9" s="36" customFormat="1">
      <c r="A3" s="105" t="s">
        <v>101</v>
      </c>
      <c r="B3" s="105"/>
      <c r="C3" s="105"/>
      <c r="D3" s="105"/>
      <c r="E3" s="105"/>
      <c r="F3" s="105"/>
      <c r="G3" s="105"/>
      <c r="H3" s="105"/>
      <c r="I3" s="49"/>
    </row>
    <row r="4" spans="1:9" s="49" customFormat="1">
      <c r="A4" s="105" t="s">
        <v>53</v>
      </c>
      <c r="B4" s="105"/>
      <c r="C4" s="105"/>
      <c r="D4" s="105"/>
      <c r="E4" s="105"/>
      <c r="F4" s="105"/>
      <c r="G4" s="105"/>
      <c r="H4" s="51"/>
      <c r="I4" s="36"/>
    </row>
    <row r="5" spans="1:9" s="49" customFormat="1">
      <c r="B5" s="108" t="s">
        <v>202</v>
      </c>
      <c r="C5" s="108"/>
      <c r="D5" s="108"/>
      <c r="E5" s="108"/>
      <c r="F5" s="108"/>
      <c r="G5" s="108"/>
      <c r="H5" s="108"/>
    </row>
    <row r="6" spans="1:9" s="86" customFormat="1">
      <c r="A6" s="49"/>
      <c r="B6" s="108" t="s">
        <v>203</v>
      </c>
      <c r="C6" s="108"/>
      <c r="D6" s="108"/>
      <c r="E6" s="108"/>
      <c r="F6" s="108"/>
      <c r="G6" s="108"/>
      <c r="H6" s="108"/>
      <c r="I6" s="49"/>
    </row>
    <row r="7" spans="1:9" s="36" customFormat="1" ht="21.75" customHeight="1">
      <c r="A7" s="86"/>
      <c r="B7" s="109" t="s">
        <v>204</v>
      </c>
      <c r="C7" s="109"/>
      <c r="D7" s="109"/>
      <c r="E7" s="109"/>
      <c r="F7" s="109"/>
      <c r="G7" s="109"/>
      <c r="H7" s="109"/>
      <c r="I7" s="86"/>
    </row>
    <row r="8" spans="1:9" s="36" customFormat="1" ht="21.75" customHeight="1">
      <c r="B8" s="52" t="s">
        <v>0</v>
      </c>
      <c r="C8" s="53" t="s">
        <v>33</v>
      </c>
      <c r="D8" s="53" t="s">
        <v>34</v>
      </c>
      <c r="E8" s="53" t="s">
        <v>35</v>
      </c>
      <c r="F8" s="53" t="s">
        <v>36</v>
      </c>
      <c r="G8" s="53" t="s">
        <v>37</v>
      </c>
    </row>
    <row r="9" spans="1:9" s="36" customFormat="1" ht="21.75" customHeight="1">
      <c r="B9" s="54" t="s">
        <v>8</v>
      </c>
      <c r="C9" s="55">
        <v>1095</v>
      </c>
      <c r="D9" s="55">
        <v>1294</v>
      </c>
      <c r="E9" s="67">
        <v>35</v>
      </c>
      <c r="F9" s="56" t="s">
        <v>205</v>
      </c>
      <c r="G9" s="56">
        <v>48</v>
      </c>
    </row>
    <row r="10" spans="1:9" s="36" customFormat="1" ht="21.75" customHeight="1">
      <c r="B10" s="54" t="s">
        <v>9</v>
      </c>
      <c r="C10" s="29">
        <v>4.3485730593607324</v>
      </c>
      <c r="D10" s="29">
        <v>4.5559795208655354</v>
      </c>
      <c r="E10" s="98">
        <v>4.1249999999999991</v>
      </c>
      <c r="F10" s="84">
        <v>4.88</v>
      </c>
      <c r="G10" s="84">
        <v>4.6861979166666661</v>
      </c>
    </row>
    <row r="11" spans="1:9" s="36" customFormat="1" ht="21.75" customHeight="1">
      <c r="B11" s="54" t="s">
        <v>10</v>
      </c>
      <c r="C11" s="29">
        <v>86.971461187214643</v>
      </c>
      <c r="D11" s="29">
        <v>91.119590417310704</v>
      </c>
      <c r="E11" s="85">
        <f>E10*20</f>
        <v>82.499999999999986</v>
      </c>
      <c r="F11" s="85">
        <v>97.66</v>
      </c>
      <c r="G11" s="85">
        <v>93.723958333333314</v>
      </c>
    </row>
    <row r="12" spans="1:9" s="36" customFormat="1" ht="24" customHeight="1">
      <c r="B12" s="58"/>
      <c r="C12" s="59"/>
      <c r="D12" s="59"/>
      <c r="E12" s="59"/>
      <c r="F12" s="72"/>
      <c r="G12" s="72"/>
    </row>
    <row r="13" spans="1:9" s="36" customFormat="1" ht="24" customHeight="1">
      <c r="A13" s="107" t="s">
        <v>38</v>
      </c>
      <c r="B13" s="107"/>
      <c r="H13" s="36" t="s">
        <v>51</v>
      </c>
    </row>
    <row r="14" spans="1:9" s="36" customFormat="1" ht="24" customHeight="1">
      <c r="B14" s="39" t="s">
        <v>39</v>
      </c>
    </row>
    <row r="15" spans="1:9" s="71" customFormat="1" ht="24" customHeight="1">
      <c r="A15" s="34"/>
      <c r="B15" s="97" t="s">
        <v>142</v>
      </c>
      <c r="C15" s="37"/>
      <c r="D15" s="37"/>
      <c r="E15" s="37"/>
      <c r="F15" s="37"/>
      <c r="G15" s="37"/>
      <c r="H15" s="37"/>
      <c r="I15" s="34"/>
    </row>
    <row r="16" spans="1:9" s="71" customFormat="1" ht="24" customHeight="1">
      <c r="A16" s="34"/>
      <c r="B16" s="97" t="s">
        <v>115</v>
      </c>
      <c r="C16" s="37"/>
      <c r="D16" s="37"/>
      <c r="E16" s="37"/>
      <c r="F16" s="37"/>
      <c r="G16" s="37"/>
      <c r="H16" s="37"/>
      <c r="I16" s="34"/>
    </row>
    <row r="17" spans="1:10" s="71" customFormat="1" ht="24" customHeight="1">
      <c r="A17" s="34"/>
      <c r="B17" s="104" t="s">
        <v>131</v>
      </c>
      <c r="C17" s="104"/>
      <c r="D17" s="104"/>
      <c r="E17" s="104"/>
      <c r="F17" s="104"/>
      <c r="G17" s="104"/>
      <c r="H17" s="37"/>
      <c r="I17" s="34"/>
    </row>
    <row r="18" spans="1:10" s="71" customFormat="1" ht="24" customHeight="1">
      <c r="A18" s="34"/>
      <c r="B18" s="97" t="s">
        <v>123</v>
      </c>
      <c r="C18" s="37"/>
      <c r="D18" s="37"/>
      <c r="E18" s="37"/>
      <c r="F18" s="37"/>
      <c r="G18" s="37"/>
      <c r="H18" s="37"/>
      <c r="I18" s="34"/>
    </row>
    <row r="19" spans="1:10" s="71" customFormat="1" ht="24" customHeight="1">
      <c r="A19" s="34"/>
      <c r="B19" s="97" t="s">
        <v>129</v>
      </c>
      <c r="C19" s="37"/>
      <c r="D19" s="37"/>
      <c r="E19" s="37"/>
      <c r="F19" s="37"/>
      <c r="G19" s="37"/>
      <c r="H19" s="37"/>
      <c r="I19" s="34"/>
    </row>
    <row r="20" spans="1:10" s="71" customFormat="1" ht="24" customHeight="1">
      <c r="A20" s="34"/>
      <c r="B20" s="97" t="s">
        <v>149</v>
      </c>
      <c r="C20" s="37"/>
      <c r="D20" s="37"/>
      <c r="E20" s="37"/>
      <c r="F20" s="37"/>
      <c r="G20" s="37"/>
      <c r="H20" s="37"/>
      <c r="I20" s="34"/>
    </row>
    <row r="21" spans="1:10" s="71" customFormat="1" ht="24" customHeight="1">
      <c r="A21" s="34"/>
      <c r="B21" s="33" t="s">
        <v>141</v>
      </c>
      <c r="C21" s="37"/>
      <c r="D21" s="37"/>
      <c r="E21" s="37"/>
      <c r="F21" s="37"/>
      <c r="G21" s="37"/>
      <c r="H21" s="37"/>
      <c r="I21" s="34"/>
    </row>
    <row r="22" spans="1:10" s="71" customFormat="1" ht="24" customHeight="1">
      <c r="A22" s="34"/>
      <c r="B22" s="33" t="s">
        <v>105</v>
      </c>
      <c r="C22" s="37"/>
      <c r="D22" s="37"/>
      <c r="E22" s="37"/>
      <c r="F22" s="37"/>
      <c r="G22" s="37"/>
      <c r="H22" s="37"/>
      <c r="I22" s="34"/>
    </row>
    <row r="23" spans="1:10" s="71" customFormat="1" ht="24" customHeight="1">
      <c r="A23" s="34"/>
      <c r="B23" s="97" t="s">
        <v>112</v>
      </c>
      <c r="C23" s="37"/>
      <c r="D23" s="37"/>
      <c r="E23" s="37"/>
      <c r="F23" s="37"/>
      <c r="G23" s="37"/>
      <c r="H23" s="37"/>
      <c r="I23" s="34"/>
    </row>
    <row r="24" spans="1:10" s="71" customFormat="1" ht="24" customHeight="1">
      <c r="A24" s="34"/>
      <c r="B24" s="104" t="s">
        <v>114</v>
      </c>
      <c r="C24" s="104"/>
      <c r="D24" s="104"/>
      <c r="E24" s="104"/>
      <c r="F24" s="104"/>
      <c r="G24" s="104"/>
      <c r="H24" s="104"/>
      <c r="I24" s="104"/>
      <c r="J24" s="104"/>
    </row>
    <row r="25" spans="1:10" s="71" customFormat="1" ht="24" customHeight="1">
      <c r="A25" s="34"/>
      <c r="B25" s="99" t="s">
        <v>140</v>
      </c>
      <c r="C25" s="99"/>
      <c r="D25" s="99"/>
      <c r="E25" s="99"/>
      <c r="F25" s="99"/>
      <c r="G25" s="99"/>
      <c r="H25" s="99"/>
      <c r="I25" s="99"/>
      <c r="J25" s="99"/>
    </row>
    <row r="26" spans="1:10" s="71" customFormat="1" ht="24" customHeight="1">
      <c r="A26" s="34"/>
      <c r="B26" s="99" t="s">
        <v>133</v>
      </c>
      <c r="C26" s="99"/>
      <c r="D26" s="99"/>
      <c r="E26" s="99"/>
      <c r="F26" s="99"/>
      <c r="G26" s="99"/>
      <c r="H26" s="99"/>
      <c r="I26" s="99"/>
      <c r="J26" s="99"/>
    </row>
    <row r="27" spans="1:10" s="71" customFormat="1" ht="24" customHeight="1">
      <c r="A27" s="34"/>
      <c r="B27" s="99" t="s">
        <v>132</v>
      </c>
      <c r="C27" s="99"/>
      <c r="D27" s="99"/>
      <c r="E27" s="99"/>
      <c r="F27" s="99"/>
      <c r="G27" s="99"/>
      <c r="H27" s="99"/>
      <c r="I27" s="99"/>
      <c r="J27" s="99"/>
    </row>
    <row r="28" spans="1:10" s="71" customFormat="1" ht="24" customHeight="1">
      <c r="A28" s="34"/>
      <c r="B28" s="97" t="s">
        <v>117</v>
      </c>
      <c r="C28" s="37"/>
      <c r="D28" s="37"/>
      <c r="E28" s="37"/>
      <c r="F28" s="37"/>
      <c r="G28" s="37"/>
      <c r="H28" s="37"/>
      <c r="I28" s="34"/>
    </row>
    <row r="29" spans="1:10" s="71" customFormat="1" ht="24" customHeight="1">
      <c r="A29" s="34"/>
      <c r="B29" s="97" t="s">
        <v>109</v>
      </c>
      <c r="C29" s="37"/>
      <c r="D29" s="37"/>
      <c r="E29" s="37"/>
      <c r="F29" s="37"/>
      <c r="G29" s="37"/>
      <c r="H29" s="37"/>
      <c r="I29" s="34"/>
    </row>
    <row r="30" spans="1:10" s="71" customFormat="1" ht="24" customHeight="1">
      <c r="A30" s="34"/>
      <c r="B30" s="33" t="s">
        <v>102</v>
      </c>
      <c r="C30" s="37"/>
      <c r="D30" s="37"/>
      <c r="E30" s="37"/>
      <c r="F30" s="37"/>
      <c r="G30" s="37"/>
      <c r="H30" s="37"/>
      <c r="I30" s="34"/>
    </row>
    <row r="31" spans="1:10" s="71" customFormat="1" ht="24" customHeight="1">
      <c r="A31" s="34"/>
      <c r="B31" s="33" t="s">
        <v>127</v>
      </c>
      <c r="C31" s="37"/>
      <c r="D31" s="37"/>
      <c r="E31" s="37"/>
      <c r="F31" s="37"/>
      <c r="G31" s="37"/>
      <c r="H31" s="37"/>
      <c r="I31" s="34"/>
    </row>
    <row r="32" spans="1:10" s="71" customFormat="1" ht="24" customHeight="1">
      <c r="A32" s="34"/>
      <c r="B32" s="104" t="s">
        <v>108</v>
      </c>
      <c r="C32" s="104"/>
      <c r="D32" s="104"/>
      <c r="E32" s="104"/>
      <c r="F32" s="104"/>
      <c r="G32" s="104"/>
      <c r="H32" s="104"/>
      <c r="I32" s="104"/>
    </row>
    <row r="33" spans="1:17" s="71" customFormat="1" ht="24" customHeight="1">
      <c r="A33" s="34"/>
      <c r="B33" s="33" t="s">
        <v>110</v>
      </c>
      <c r="C33" s="37"/>
      <c r="D33" s="37"/>
      <c r="E33" s="37"/>
      <c r="F33" s="37"/>
      <c r="G33" s="37"/>
      <c r="H33" s="37"/>
      <c r="I33" s="34"/>
    </row>
    <row r="34" spans="1:17" s="71" customFormat="1" ht="24" customHeight="1">
      <c r="A34" s="34"/>
      <c r="B34" s="71" t="s">
        <v>116</v>
      </c>
      <c r="C34" s="37"/>
      <c r="D34" s="37"/>
      <c r="E34" s="37"/>
      <c r="F34" s="37"/>
      <c r="G34" s="37"/>
      <c r="H34" s="37"/>
      <c r="I34" s="34"/>
    </row>
    <row r="35" spans="1:17" s="71" customFormat="1" ht="24" customHeight="1">
      <c r="A35" s="34"/>
      <c r="B35" s="33" t="s">
        <v>107</v>
      </c>
      <c r="C35" s="37"/>
      <c r="D35" s="37"/>
      <c r="E35" s="37"/>
      <c r="F35" s="37"/>
      <c r="G35" s="37"/>
      <c r="H35" s="37"/>
      <c r="I35" s="34"/>
    </row>
    <row r="36" spans="1:17" s="71" customFormat="1" ht="24" customHeight="1">
      <c r="A36" s="34"/>
      <c r="B36" s="104" t="s">
        <v>103</v>
      </c>
      <c r="C36" s="104"/>
      <c r="D36" s="104"/>
      <c r="E36" s="104"/>
      <c r="F36" s="104"/>
      <c r="G36" s="104"/>
      <c r="H36" s="104"/>
      <c r="I36" s="104"/>
    </row>
    <row r="37" spans="1:17" s="71" customFormat="1" ht="24" customHeight="1">
      <c r="A37" s="34"/>
      <c r="B37" s="71" t="s">
        <v>119</v>
      </c>
      <c r="C37" s="37"/>
      <c r="D37" s="37"/>
      <c r="E37" s="37"/>
      <c r="F37" s="37"/>
      <c r="G37" s="37"/>
      <c r="H37" s="37"/>
      <c r="I37" s="34"/>
    </row>
    <row r="38" spans="1:17" s="71" customFormat="1" ht="24" customHeight="1">
      <c r="A38" s="34"/>
      <c r="B38" s="33" t="s">
        <v>111</v>
      </c>
      <c r="C38" s="37"/>
      <c r="D38" s="37"/>
      <c r="E38" s="37"/>
      <c r="F38" s="37"/>
      <c r="G38" s="37"/>
      <c r="H38" s="37"/>
      <c r="I38" s="34"/>
    </row>
    <row r="39" spans="1:17" s="71" customFormat="1" ht="24" customHeight="1">
      <c r="A39" s="34"/>
      <c r="B39" s="33" t="s">
        <v>106</v>
      </c>
      <c r="C39" s="37"/>
      <c r="D39" s="37"/>
      <c r="E39" s="37"/>
      <c r="F39" s="37"/>
      <c r="G39" s="37"/>
      <c r="H39" s="37"/>
      <c r="I39" s="34"/>
    </row>
    <row r="40" spans="1:17" s="71" customFormat="1" ht="24" customHeight="1">
      <c r="A40" s="34"/>
      <c r="B40" s="33" t="s">
        <v>113</v>
      </c>
      <c r="C40" s="37"/>
      <c r="D40" s="37"/>
      <c r="E40" s="37"/>
      <c r="F40" s="37"/>
      <c r="G40" s="37"/>
      <c r="H40" s="37"/>
      <c r="I40" s="34"/>
    </row>
    <row r="41" spans="1:17" s="71" customFormat="1" ht="24" customHeight="1">
      <c r="A41" s="34"/>
      <c r="B41" s="33" t="s">
        <v>122</v>
      </c>
      <c r="C41" s="37"/>
      <c r="D41" s="37"/>
      <c r="E41" s="37"/>
      <c r="F41" s="37"/>
      <c r="G41" s="37"/>
      <c r="H41" s="37"/>
      <c r="I41" s="34"/>
    </row>
    <row r="42" spans="1:17" s="71" customFormat="1" ht="24" customHeight="1">
      <c r="A42" s="34"/>
      <c r="B42" s="33" t="s">
        <v>126</v>
      </c>
      <c r="C42" s="37"/>
      <c r="D42" s="37"/>
      <c r="E42" s="37"/>
      <c r="F42" s="37"/>
      <c r="G42" s="37"/>
      <c r="H42" s="37"/>
      <c r="I42" s="34"/>
    </row>
    <row r="43" spans="1:17" s="71" customFormat="1" ht="24" customHeight="1">
      <c r="A43" s="34"/>
      <c r="B43" s="33" t="s">
        <v>130</v>
      </c>
      <c r="C43" s="37"/>
      <c r="D43" s="37"/>
      <c r="E43" s="37"/>
      <c r="F43" s="37"/>
      <c r="G43" s="37"/>
      <c r="H43" s="37"/>
      <c r="I43" s="34"/>
    </row>
    <row r="44" spans="1:17" s="71" customFormat="1" ht="24" customHeight="1">
      <c r="A44" s="34"/>
      <c r="B44" s="33" t="s">
        <v>139</v>
      </c>
      <c r="C44" s="37"/>
      <c r="D44" s="37"/>
      <c r="E44" s="37"/>
      <c r="F44" s="37"/>
      <c r="G44" s="37"/>
      <c r="H44" s="37"/>
      <c r="I44" s="34"/>
    </row>
    <row r="45" spans="1:17" s="71" customFormat="1" ht="24" customHeight="1">
      <c r="A45" s="34"/>
      <c r="B45" s="33" t="s">
        <v>146</v>
      </c>
      <c r="C45" s="37"/>
      <c r="D45" s="37"/>
      <c r="E45" s="37"/>
      <c r="F45" s="37"/>
      <c r="G45" s="37"/>
      <c r="H45" s="37"/>
      <c r="I45" s="34"/>
    </row>
    <row r="46" spans="1:17" s="71" customFormat="1" ht="88.5" customHeight="1">
      <c r="A46" s="34"/>
      <c r="B46" s="103" t="s">
        <v>156</v>
      </c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</row>
    <row r="47" spans="1:17" s="71" customFormat="1" ht="88.5" customHeight="1">
      <c r="A47" s="34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</row>
    <row r="48" spans="1:17" s="71" customFormat="1" ht="88.5" customHeight="1">
      <c r="A48" s="34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</row>
    <row r="49" spans="1:17" s="71" customFormat="1" ht="88.5" customHeight="1">
      <c r="A49" s="34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</row>
    <row r="50" spans="1:17" s="71" customFormat="1" ht="24" customHeight="1">
      <c r="A50" s="34"/>
      <c r="B50" s="33"/>
      <c r="C50" s="37"/>
      <c r="D50" s="37"/>
      <c r="E50" s="37"/>
      <c r="F50" s="37"/>
      <c r="G50" s="37"/>
      <c r="H50" s="37"/>
      <c r="I50" s="34"/>
    </row>
    <row r="51" spans="1:17" s="71" customFormat="1" ht="24" customHeight="1">
      <c r="A51" s="73"/>
      <c r="B51" s="39" t="s">
        <v>40</v>
      </c>
      <c r="C51" s="38"/>
      <c r="D51" s="38"/>
      <c r="E51" s="38"/>
      <c r="F51" s="38"/>
      <c r="G51" s="38"/>
      <c r="H51" s="38"/>
    </row>
    <row r="52" spans="1:17" s="71" customFormat="1" ht="24" customHeight="1">
      <c r="A52" s="73"/>
      <c r="B52" s="34" t="s">
        <v>124</v>
      </c>
      <c r="C52" s="38"/>
      <c r="D52" s="38"/>
      <c r="E52" s="38"/>
      <c r="F52" s="38"/>
      <c r="G52" s="38"/>
      <c r="H52" s="38"/>
    </row>
    <row r="53" spans="1:17" s="71" customFormat="1" ht="24" customHeight="1">
      <c r="A53" s="73"/>
      <c r="B53" s="34" t="s">
        <v>144</v>
      </c>
      <c r="C53" s="38"/>
      <c r="D53" s="38"/>
      <c r="E53" s="38"/>
      <c r="F53" s="38"/>
      <c r="G53" s="38"/>
      <c r="H53" s="38"/>
    </row>
    <row r="54" spans="1:17" s="71" customFormat="1" ht="24" customHeight="1">
      <c r="A54" s="73"/>
      <c r="B54" s="34" t="s">
        <v>153</v>
      </c>
      <c r="C54" s="38"/>
      <c r="D54" s="38"/>
      <c r="E54" s="38"/>
      <c r="F54" s="38"/>
      <c r="G54" s="38"/>
      <c r="H54" s="38"/>
    </row>
    <row r="55" spans="1:17" s="71" customFormat="1" ht="24" customHeight="1">
      <c r="A55" s="73"/>
      <c r="B55" s="34" t="s">
        <v>152</v>
      </c>
      <c r="C55" s="38"/>
      <c r="D55" s="38"/>
      <c r="E55" s="38"/>
      <c r="F55" s="38"/>
      <c r="G55" s="38"/>
      <c r="H55" s="38"/>
    </row>
    <row r="56" spans="1:17" s="71" customFormat="1" ht="24" customHeight="1">
      <c r="A56" s="73"/>
      <c r="B56" s="34" t="s">
        <v>151</v>
      </c>
      <c r="C56" s="38"/>
      <c r="D56" s="38"/>
      <c r="E56" s="38"/>
      <c r="F56" s="38"/>
      <c r="G56" s="38"/>
      <c r="H56" s="38"/>
    </row>
    <row r="57" spans="1:17" s="71" customFormat="1" ht="24" customHeight="1">
      <c r="A57" s="73"/>
      <c r="B57" s="34" t="s">
        <v>150</v>
      </c>
      <c r="C57" s="38"/>
      <c r="D57" s="38"/>
      <c r="E57" s="38"/>
      <c r="F57" s="38"/>
      <c r="G57" s="38"/>
      <c r="H57" s="38"/>
    </row>
    <row r="58" spans="1:17" s="42" customFormat="1" ht="24" customHeight="1">
      <c r="A58" s="34"/>
      <c r="B58" s="34" t="s">
        <v>118</v>
      </c>
      <c r="C58" s="37"/>
      <c r="D58" s="37"/>
      <c r="E58" s="37"/>
      <c r="F58" s="37"/>
      <c r="G58" s="37"/>
      <c r="H58" s="37"/>
      <c r="I58" s="34"/>
    </row>
    <row r="59" spans="1:17" s="42" customFormat="1" ht="24" customHeight="1">
      <c r="A59" s="34"/>
      <c r="B59" s="34" t="s">
        <v>157</v>
      </c>
      <c r="C59" s="37"/>
      <c r="D59" s="37"/>
      <c r="E59" s="37"/>
      <c r="F59" s="37"/>
      <c r="G59" s="37"/>
      <c r="H59" s="37"/>
      <c r="I59" s="34"/>
    </row>
    <row r="60" spans="1:17" s="42" customFormat="1" ht="24" customHeight="1">
      <c r="A60" s="34"/>
      <c r="B60" s="34" t="s">
        <v>104</v>
      </c>
      <c r="C60" s="37"/>
      <c r="D60" s="37"/>
      <c r="E60" s="37"/>
      <c r="F60" s="37"/>
      <c r="G60" s="37"/>
      <c r="H60" s="37"/>
      <c r="I60" s="34"/>
    </row>
    <row r="61" spans="1:17" s="42" customFormat="1" ht="24" customHeight="1">
      <c r="A61" s="34"/>
      <c r="B61" s="34" t="s">
        <v>158</v>
      </c>
      <c r="C61" s="37"/>
      <c r="D61" s="37"/>
      <c r="E61" s="37"/>
      <c r="F61" s="37"/>
      <c r="G61" s="37"/>
      <c r="H61" s="37"/>
      <c r="I61" s="34"/>
    </row>
    <row r="62" spans="1:17" s="42" customFormat="1" ht="24" customHeight="1">
      <c r="A62" s="34"/>
      <c r="B62" s="34" t="s">
        <v>143</v>
      </c>
      <c r="C62" s="37"/>
      <c r="D62" s="37"/>
      <c r="E62" s="37"/>
      <c r="F62" s="37"/>
      <c r="G62" s="37"/>
      <c r="H62" s="37"/>
      <c r="I62" s="34"/>
    </row>
    <row r="63" spans="1:17" s="42" customFormat="1" ht="24" customHeight="1">
      <c r="A63" s="34"/>
      <c r="B63" s="34" t="s">
        <v>145</v>
      </c>
      <c r="C63" s="37"/>
      <c r="D63" s="37"/>
      <c r="E63" s="37"/>
      <c r="F63" s="37"/>
      <c r="G63" s="37"/>
      <c r="H63" s="37"/>
      <c r="I63" s="34"/>
    </row>
    <row r="64" spans="1:17" s="42" customFormat="1" ht="24" customHeight="1">
      <c r="A64" s="34"/>
      <c r="B64" s="34" t="s">
        <v>148</v>
      </c>
      <c r="C64" s="37"/>
      <c r="D64" s="37"/>
      <c r="E64" s="37"/>
      <c r="F64" s="37"/>
      <c r="G64" s="37"/>
      <c r="H64" s="37"/>
      <c r="I64" s="34"/>
    </row>
    <row r="65" spans="1:9" s="42" customFormat="1" ht="24" customHeight="1">
      <c r="A65" s="34"/>
      <c r="B65" s="34" t="s">
        <v>154</v>
      </c>
      <c r="C65" s="37"/>
      <c r="D65" s="37"/>
      <c r="E65" s="37"/>
      <c r="F65" s="37"/>
      <c r="G65" s="37"/>
      <c r="H65" s="37"/>
      <c r="I65" s="34"/>
    </row>
    <row r="66" spans="1:9" s="42" customFormat="1" ht="24" customHeight="1">
      <c r="A66" s="34"/>
      <c r="B66" s="34" t="s">
        <v>155</v>
      </c>
      <c r="C66" s="37"/>
      <c r="D66" s="37"/>
      <c r="E66" s="37"/>
      <c r="F66" s="37"/>
      <c r="G66" s="37"/>
      <c r="H66" s="37"/>
      <c r="I66" s="34"/>
    </row>
    <row r="67" spans="1:9" s="42" customFormat="1" ht="24" customHeight="1">
      <c r="A67" s="34"/>
      <c r="B67" s="34" t="s">
        <v>51</v>
      </c>
      <c r="C67" s="37"/>
      <c r="D67" s="37"/>
      <c r="E67" s="37"/>
      <c r="F67" s="37"/>
      <c r="G67" s="37"/>
      <c r="H67" s="37"/>
      <c r="I67" s="34"/>
    </row>
    <row r="68" spans="1:9" ht="24" customHeight="1">
      <c r="A68" s="57"/>
      <c r="B68" s="50" t="s">
        <v>41</v>
      </c>
      <c r="C68" s="50"/>
      <c r="D68" s="50"/>
      <c r="E68" s="50"/>
      <c r="F68" s="36"/>
      <c r="G68" s="36"/>
      <c r="H68" s="36"/>
      <c r="I68" s="42"/>
    </row>
    <row r="69" spans="1:9" ht="24" customHeight="1">
      <c r="A69" s="57"/>
      <c r="B69" s="58" t="s">
        <v>147</v>
      </c>
      <c r="C69" s="50"/>
      <c r="D69" s="50"/>
      <c r="E69" s="50"/>
      <c r="F69" s="36"/>
      <c r="G69" s="36"/>
      <c r="H69" s="36"/>
      <c r="I69" s="42"/>
    </row>
    <row r="70" spans="1:9" ht="24" customHeight="1">
      <c r="A70" s="57"/>
      <c r="B70" s="102" t="s">
        <v>138</v>
      </c>
      <c r="C70" s="102"/>
      <c r="D70" s="102"/>
      <c r="E70" s="50"/>
      <c r="F70" s="36"/>
      <c r="G70" s="36"/>
      <c r="H70" s="36"/>
      <c r="I70" s="42"/>
    </row>
    <row r="71" spans="1:9" ht="24" customHeight="1">
      <c r="A71" s="57"/>
      <c r="B71" s="102" t="s">
        <v>121</v>
      </c>
      <c r="C71" s="102"/>
      <c r="D71" s="102"/>
      <c r="E71" s="102"/>
      <c r="F71" s="102"/>
      <c r="G71" s="102"/>
      <c r="H71" s="102"/>
      <c r="I71" s="42"/>
    </row>
    <row r="72" spans="1:9" ht="24" customHeight="1">
      <c r="A72" s="71"/>
      <c r="B72" s="33" t="s">
        <v>120</v>
      </c>
      <c r="C72" s="33"/>
      <c r="D72" s="38"/>
      <c r="E72" s="40"/>
      <c r="F72" s="40"/>
      <c r="G72" s="40"/>
      <c r="H72" s="40"/>
      <c r="I72" s="71"/>
    </row>
    <row r="73" spans="1:9" ht="24" customHeight="1">
      <c r="A73" s="71"/>
      <c r="B73" s="33" t="s">
        <v>125</v>
      </c>
      <c r="C73" s="33"/>
      <c r="D73" s="38"/>
      <c r="E73" s="40"/>
      <c r="F73" s="40"/>
      <c r="G73" s="40"/>
      <c r="H73" s="40"/>
      <c r="I73" s="71"/>
    </row>
    <row r="74" spans="1:9" ht="24" customHeight="1">
      <c r="A74" s="71"/>
      <c r="B74" s="33" t="s">
        <v>128</v>
      </c>
      <c r="C74" s="33"/>
      <c r="D74" s="38"/>
      <c r="E74" s="40"/>
      <c r="F74" s="40"/>
      <c r="G74" s="40"/>
      <c r="H74" s="40"/>
      <c r="I74" s="71"/>
    </row>
    <row r="75" spans="1:9" ht="24" customHeight="1">
      <c r="A75" s="71"/>
      <c r="B75" s="33" t="s">
        <v>134</v>
      </c>
      <c r="C75" s="33"/>
      <c r="D75" s="38"/>
      <c r="E75" s="40"/>
      <c r="F75" s="40"/>
      <c r="G75" s="40"/>
      <c r="H75" s="40"/>
      <c r="I75" s="71"/>
    </row>
    <row r="76" spans="1:9" ht="24" customHeight="1">
      <c r="A76" s="71"/>
      <c r="B76" s="33" t="s">
        <v>135</v>
      </c>
      <c r="C76" s="33"/>
      <c r="D76" s="38"/>
      <c r="E76" s="40"/>
      <c r="F76" s="40"/>
      <c r="G76" s="40"/>
      <c r="H76" s="40"/>
      <c r="I76" s="71"/>
    </row>
    <row r="77" spans="1:9" ht="24" customHeight="1">
      <c r="A77" s="71"/>
      <c r="B77" s="33" t="s">
        <v>136</v>
      </c>
      <c r="C77" s="33"/>
      <c r="D77" s="38"/>
      <c r="E77" s="40"/>
      <c r="F77" s="40"/>
      <c r="G77" s="40"/>
      <c r="H77" s="40"/>
      <c r="I77" s="71"/>
    </row>
    <row r="78" spans="1:9" ht="24" customHeight="1">
      <c r="A78" s="71"/>
      <c r="B78" s="33" t="s">
        <v>137</v>
      </c>
      <c r="C78" s="33"/>
      <c r="D78" s="38"/>
      <c r="E78" s="40"/>
      <c r="F78" s="40"/>
      <c r="G78" s="40"/>
      <c r="H78" s="40"/>
      <c r="I78" s="71"/>
    </row>
    <row r="79" spans="1:9" ht="24" customHeight="1">
      <c r="A79" s="71"/>
      <c r="B79" s="33"/>
      <c r="C79" s="33"/>
      <c r="D79" s="38"/>
      <c r="E79" s="40"/>
      <c r="F79" s="40"/>
      <c r="G79" s="40"/>
      <c r="H79" s="40"/>
      <c r="I79" s="71"/>
    </row>
    <row r="80" spans="1:9" ht="24" customHeight="1">
      <c r="A80" s="71"/>
      <c r="B80" s="33"/>
      <c r="C80" s="33"/>
      <c r="D80" s="38"/>
      <c r="E80" s="40"/>
      <c r="F80" s="40"/>
      <c r="G80" s="40"/>
      <c r="H80" s="40"/>
      <c r="I80" s="71"/>
    </row>
    <row r="81" spans="1:8" ht="24" customHeight="1">
      <c r="A81" s="69" t="s">
        <v>42</v>
      </c>
      <c r="C81" s="36"/>
      <c r="D81" s="36"/>
      <c r="E81" s="36"/>
      <c r="F81" s="36"/>
      <c r="G81" s="36"/>
      <c r="H81" s="36"/>
    </row>
    <row r="82" spans="1:8" ht="24" customHeight="1">
      <c r="B82" s="39" t="s">
        <v>39</v>
      </c>
      <c r="C82" s="41"/>
      <c r="D82" s="41"/>
      <c r="E82" s="41"/>
      <c r="F82" s="41"/>
      <c r="G82" s="41"/>
      <c r="H82" s="41"/>
    </row>
    <row r="83" spans="1:8" s="71" customFormat="1" ht="24" customHeight="1">
      <c r="B83" s="71" t="s">
        <v>174</v>
      </c>
    </row>
    <row r="84" spans="1:8" s="71" customFormat="1" ht="24" customHeight="1">
      <c r="B84" s="71" t="s">
        <v>186</v>
      </c>
    </row>
    <row r="85" spans="1:8" s="71" customFormat="1" ht="24" customHeight="1">
      <c r="B85" s="71" t="s">
        <v>159</v>
      </c>
    </row>
    <row r="86" spans="1:8" s="71" customFormat="1" ht="24" customHeight="1">
      <c r="B86" s="71" t="s">
        <v>162</v>
      </c>
    </row>
    <row r="87" spans="1:8" s="71" customFormat="1" ht="24" customHeight="1">
      <c r="B87" s="71" t="s">
        <v>169</v>
      </c>
    </row>
    <row r="88" spans="1:8" s="71" customFormat="1" ht="24" customHeight="1">
      <c r="B88" s="71" t="s">
        <v>171</v>
      </c>
    </row>
    <row r="89" spans="1:8" s="71" customFormat="1" ht="24" customHeight="1">
      <c r="B89" s="71" t="s">
        <v>173</v>
      </c>
    </row>
    <row r="90" spans="1:8" s="71" customFormat="1" ht="24" customHeight="1">
      <c r="B90" s="71" t="s">
        <v>175</v>
      </c>
    </row>
    <row r="91" spans="1:8" s="71" customFormat="1" ht="24" customHeight="1">
      <c r="B91" s="71" t="s">
        <v>176</v>
      </c>
    </row>
    <row r="92" spans="1:8" s="71" customFormat="1" ht="24" customHeight="1">
      <c r="B92" s="71" t="s">
        <v>177</v>
      </c>
    </row>
    <row r="93" spans="1:8" s="71" customFormat="1" ht="24" customHeight="1">
      <c r="B93" s="71" t="s">
        <v>178</v>
      </c>
    </row>
    <row r="94" spans="1:8" s="71" customFormat="1" ht="24" customHeight="1">
      <c r="B94" s="71" t="s">
        <v>181</v>
      </c>
    </row>
    <row r="95" spans="1:8" s="71" customFormat="1" ht="24" customHeight="1">
      <c r="B95" s="71" t="s">
        <v>182</v>
      </c>
    </row>
    <row r="96" spans="1:8" s="71" customFormat="1" ht="24" customHeight="1">
      <c r="B96" s="71" t="s">
        <v>185</v>
      </c>
    </row>
    <row r="97" spans="1:9" s="71" customFormat="1" ht="24" customHeight="1">
      <c r="B97" s="71" t="s">
        <v>190</v>
      </c>
    </row>
    <row r="98" spans="1:9" s="71" customFormat="1" ht="24" customHeight="1">
      <c r="B98" s="71" t="s">
        <v>195</v>
      </c>
    </row>
    <row r="99" spans="1:9" s="71" customFormat="1" ht="24" customHeight="1">
      <c r="B99" s="71" t="s">
        <v>197</v>
      </c>
    </row>
    <row r="100" spans="1:9" s="71" customFormat="1" ht="24" customHeight="1">
      <c r="B100" s="71" t="s">
        <v>201</v>
      </c>
    </row>
    <row r="101" spans="1:9" s="71" customFormat="1" ht="24" customHeight="1"/>
    <row r="102" spans="1:9" ht="24" customHeight="1">
      <c r="A102" s="71"/>
      <c r="B102" s="44" t="s">
        <v>40</v>
      </c>
      <c r="C102" s="40"/>
      <c r="D102" s="40"/>
      <c r="E102" s="40"/>
      <c r="F102" s="40"/>
      <c r="G102" s="40"/>
      <c r="H102" s="40"/>
      <c r="I102" s="71"/>
    </row>
    <row r="103" spans="1:9" s="73" customFormat="1" ht="24" customHeight="1">
      <c r="B103" s="33" t="s">
        <v>161</v>
      </c>
      <c r="C103" s="70"/>
      <c r="D103" s="70"/>
      <c r="E103" s="40"/>
      <c r="F103" s="40"/>
      <c r="G103" s="40"/>
      <c r="H103" s="40"/>
      <c r="I103" s="70"/>
    </row>
    <row r="104" spans="1:9" s="73" customFormat="1" ht="24" customHeight="1">
      <c r="B104" s="33" t="s">
        <v>170</v>
      </c>
      <c r="C104" s="70"/>
      <c r="D104" s="70"/>
      <c r="E104" s="40"/>
      <c r="F104" s="40"/>
      <c r="G104" s="40"/>
      <c r="H104" s="40"/>
      <c r="I104" s="70"/>
    </row>
    <row r="105" spans="1:9" s="73" customFormat="1" ht="24" customHeight="1">
      <c r="B105" s="33" t="s">
        <v>180</v>
      </c>
      <c r="C105" s="70"/>
      <c r="D105" s="70"/>
      <c r="E105" s="40"/>
      <c r="F105" s="40"/>
      <c r="G105" s="40"/>
      <c r="H105" s="40"/>
      <c r="I105" s="70"/>
    </row>
    <row r="106" spans="1:9" s="73" customFormat="1" ht="24" customHeight="1">
      <c r="B106" s="33"/>
      <c r="C106" s="70"/>
      <c r="D106" s="70"/>
      <c r="E106" s="40"/>
      <c r="F106" s="40"/>
      <c r="G106" s="40"/>
      <c r="H106" s="40"/>
      <c r="I106" s="70"/>
    </row>
    <row r="107" spans="1:9" s="73" customFormat="1" ht="24" customHeight="1">
      <c r="B107" s="47" t="s">
        <v>41</v>
      </c>
      <c r="C107" s="38"/>
      <c r="D107" s="38"/>
      <c r="E107" s="38"/>
      <c r="F107" s="38"/>
      <c r="G107" s="38"/>
      <c r="H107" s="38"/>
    </row>
    <row r="108" spans="1:9" s="73" customFormat="1" ht="24" customHeight="1">
      <c r="B108" s="100" t="s">
        <v>189</v>
      </c>
      <c r="C108" s="38"/>
      <c r="D108" s="38"/>
      <c r="E108" s="38"/>
      <c r="F108" s="38"/>
      <c r="G108" s="38"/>
      <c r="H108" s="38"/>
    </row>
    <row r="109" spans="1:9" s="73" customFormat="1" ht="24" customHeight="1">
      <c r="B109" s="100" t="s">
        <v>188</v>
      </c>
      <c r="C109" s="38"/>
      <c r="D109" s="38"/>
      <c r="E109" s="38"/>
      <c r="F109" s="38"/>
      <c r="G109" s="38"/>
      <c r="H109" s="38"/>
    </row>
    <row r="110" spans="1:9" s="73" customFormat="1" ht="24" customHeight="1">
      <c r="B110" s="100" t="s">
        <v>198</v>
      </c>
      <c r="C110" s="38"/>
      <c r="D110" s="38"/>
      <c r="E110" s="38"/>
      <c r="F110" s="38"/>
      <c r="G110" s="38"/>
      <c r="H110" s="38"/>
    </row>
    <row r="111" spans="1:9" s="73" customFormat="1" ht="24" customHeight="1">
      <c r="B111" s="100" t="s">
        <v>191</v>
      </c>
      <c r="C111" s="38"/>
      <c r="D111" s="38"/>
      <c r="E111" s="38"/>
      <c r="F111" s="38"/>
      <c r="G111" s="38"/>
      <c r="H111" s="38"/>
    </row>
    <row r="112" spans="1:9" s="73" customFormat="1" ht="24" customHeight="1">
      <c r="B112" s="100" t="s">
        <v>196</v>
      </c>
      <c r="C112" s="38"/>
      <c r="D112" s="38"/>
      <c r="E112" s="38"/>
      <c r="F112" s="38"/>
      <c r="G112" s="38"/>
      <c r="H112" s="38"/>
    </row>
    <row r="113" spans="1:9" s="73" customFormat="1" ht="24" customHeight="1">
      <c r="B113" s="71" t="s">
        <v>160</v>
      </c>
      <c r="C113" s="38"/>
      <c r="D113" s="38"/>
      <c r="E113" s="38"/>
      <c r="F113" s="38"/>
      <c r="G113" s="38"/>
      <c r="H113" s="38"/>
    </row>
    <row r="114" spans="1:9" s="73" customFormat="1" ht="24" customHeight="1">
      <c r="B114" s="49" t="s">
        <v>163</v>
      </c>
      <c r="C114" s="35"/>
      <c r="D114" s="35"/>
      <c r="E114" s="35"/>
      <c r="F114" s="35"/>
      <c r="G114" s="35"/>
      <c r="H114" s="35"/>
    </row>
    <row r="115" spans="1:9" s="73" customFormat="1" ht="24" customHeight="1">
      <c r="B115" s="49" t="s">
        <v>164</v>
      </c>
      <c r="C115" s="35"/>
      <c r="D115" s="35"/>
      <c r="E115" s="35"/>
      <c r="F115" s="35"/>
      <c r="G115" s="35"/>
      <c r="H115" s="35"/>
    </row>
    <row r="116" spans="1:9" s="73" customFormat="1" ht="24" customHeight="1">
      <c r="B116" s="49" t="s">
        <v>165</v>
      </c>
      <c r="C116" s="38"/>
      <c r="D116" s="38"/>
      <c r="E116" s="38"/>
      <c r="F116" s="38"/>
      <c r="G116" s="38"/>
      <c r="H116" s="38"/>
    </row>
    <row r="117" spans="1:9" s="73" customFormat="1" ht="24" customHeight="1">
      <c r="B117" s="49" t="s">
        <v>166</v>
      </c>
      <c r="C117" s="38"/>
      <c r="D117" s="38"/>
      <c r="E117" s="38"/>
      <c r="F117" s="38"/>
      <c r="G117" s="38"/>
      <c r="H117" s="38"/>
    </row>
    <row r="118" spans="1:9" s="73" customFormat="1" ht="24" customHeight="1">
      <c r="A118" s="71"/>
      <c r="B118" s="49" t="s">
        <v>167</v>
      </c>
      <c r="C118" s="38"/>
      <c r="D118" s="38"/>
      <c r="E118" s="38"/>
      <c r="F118" s="38"/>
      <c r="G118" s="38"/>
      <c r="H118" s="38"/>
    </row>
    <row r="119" spans="1:9" s="73" customFormat="1" ht="24" customHeight="1">
      <c r="A119" s="71"/>
      <c r="B119" s="71" t="s">
        <v>168</v>
      </c>
      <c r="C119" s="38"/>
      <c r="D119" s="38"/>
      <c r="E119" s="38"/>
      <c r="F119" s="38"/>
      <c r="G119" s="38"/>
      <c r="H119" s="38"/>
    </row>
    <row r="120" spans="1:9" ht="24" customHeight="1">
      <c r="A120" s="71"/>
      <c r="B120" s="49" t="s">
        <v>172</v>
      </c>
      <c r="C120" s="38"/>
      <c r="D120" s="38"/>
      <c r="E120" s="38"/>
      <c r="F120" s="38"/>
      <c r="G120" s="38"/>
      <c r="H120" s="38"/>
      <c r="I120" s="73"/>
    </row>
    <row r="121" spans="1:9" s="71" customFormat="1" ht="24" customHeight="1">
      <c r="B121" s="34" t="s">
        <v>179</v>
      </c>
      <c r="C121" s="45"/>
      <c r="D121" s="45"/>
      <c r="E121" s="48"/>
      <c r="F121" s="48"/>
      <c r="G121" s="48"/>
      <c r="H121" s="45"/>
      <c r="I121" s="34"/>
    </row>
    <row r="122" spans="1:9" s="71" customFormat="1" ht="24" customHeight="1">
      <c r="A122" s="73"/>
      <c r="B122" s="71" t="s">
        <v>183</v>
      </c>
      <c r="C122" s="40"/>
      <c r="D122" s="40"/>
      <c r="E122" s="40"/>
      <c r="F122" s="40"/>
      <c r="G122" s="40"/>
      <c r="H122" s="40"/>
    </row>
    <row r="123" spans="1:9" s="73" customFormat="1" ht="24" customHeight="1">
      <c r="A123" s="71"/>
      <c r="B123" s="71" t="s">
        <v>184</v>
      </c>
      <c r="C123" s="40"/>
      <c r="D123" s="40"/>
      <c r="E123" s="40"/>
      <c r="F123" s="40"/>
      <c r="G123" s="40"/>
      <c r="H123" s="40"/>
      <c r="I123" s="71"/>
    </row>
    <row r="124" spans="1:9" s="73" customFormat="1" ht="24" customHeight="1">
      <c r="A124" s="71"/>
      <c r="B124" s="71" t="s">
        <v>187</v>
      </c>
      <c r="C124" s="38"/>
      <c r="D124" s="38"/>
      <c r="E124" s="38"/>
      <c r="F124" s="38"/>
      <c r="G124" s="38"/>
      <c r="H124" s="38"/>
    </row>
    <row r="125" spans="1:9" s="73" customFormat="1" ht="24" customHeight="1">
      <c r="A125" s="71"/>
      <c r="B125" s="71" t="s">
        <v>192</v>
      </c>
      <c r="C125" s="38"/>
      <c r="D125" s="38"/>
      <c r="E125" s="38"/>
      <c r="F125" s="38"/>
      <c r="G125" s="38"/>
      <c r="H125" s="38"/>
    </row>
    <row r="126" spans="1:9" s="73" customFormat="1" ht="24" customHeight="1">
      <c r="A126" s="71"/>
      <c r="B126" s="71" t="s">
        <v>193</v>
      </c>
      <c r="C126" s="38"/>
      <c r="D126" s="38"/>
      <c r="E126" s="38"/>
      <c r="F126" s="38"/>
      <c r="G126" s="38"/>
      <c r="H126" s="38"/>
    </row>
    <row r="127" spans="1:9" s="73" customFormat="1" ht="24" customHeight="1">
      <c r="A127" s="71"/>
      <c r="B127" s="71" t="s">
        <v>194</v>
      </c>
      <c r="C127" s="38"/>
      <c r="D127" s="38"/>
      <c r="E127" s="38"/>
      <c r="F127" s="38"/>
      <c r="G127" s="38"/>
      <c r="H127" s="38"/>
    </row>
    <row r="128" spans="1:9" s="73" customFormat="1" ht="24" customHeight="1">
      <c r="A128" s="71"/>
      <c r="B128" s="71" t="s">
        <v>199</v>
      </c>
      <c r="C128" s="38"/>
      <c r="D128" s="38"/>
      <c r="E128" s="38"/>
      <c r="F128" s="38"/>
      <c r="G128" s="38"/>
      <c r="H128" s="38"/>
    </row>
    <row r="129" spans="1:9" s="73" customFormat="1" ht="24" customHeight="1">
      <c r="A129" s="71"/>
      <c r="B129" s="71" t="s">
        <v>200</v>
      </c>
      <c r="C129" s="38"/>
      <c r="D129" s="38"/>
      <c r="E129" s="38"/>
      <c r="F129" s="38"/>
      <c r="G129" s="38"/>
      <c r="H129" s="38"/>
    </row>
    <row r="130" spans="1:9" s="71" customFormat="1" ht="24" customHeight="1">
      <c r="B130" s="46" t="s">
        <v>51</v>
      </c>
      <c r="C130" s="38"/>
      <c r="D130" s="38"/>
      <c r="E130" s="38"/>
      <c r="F130" s="38"/>
      <c r="G130" s="38"/>
      <c r="H130" s="38"/>
      <c r="I130" s="73"/>
    </row>
    <row r="131" spans="1:9" s="71" customFormat="1" ht="24" customHeight="1">
      <c r="B131" s="46"/>
      <c r="C131" s="40"/>
      <c r="D131" s="40"/>
      <c r="E131" s="40"/>
      <c r="F131" s="40"/>
      <c r="G131" s="40"/>
      <c r="H131" s="40"/>
    </row>
    <row r="132" spans="1:9" s="71" customFormat="1" ht="24" customHeight="1">
      <c r="A132" s="73"/>
      <c r="B132" s="46"/>
      <c r="C132" s="40"/>
      <c r="D132" s="40"/>
      <c r="E132" s="40"/>
      <c r="F132" s="40"/>
      <c r="G132" s="40"/>
      <c r="H132" s="40"/>
    </row>
    <row r="133" spans="1:9" s="71" customFormat="1" ht="24" customHeight="1">
      <c r="B133" s="46"/>
      <c r="C133" s="40"/>
      <c r="D133" s="40"/>
      <c r="E133" s="40"/>
      <c r="F133" s="40"/>
      <c r="G133" s="40"/>
      <c r="H133" s="40"/>
    </row>
    <row r="134" spans="1:9" s="73" customFormat="1" ht="24" customHeight="1">
      <c r="A134" s="71"/>
      <c r="B134" s="46"/>
      <c r="C134" s="40"/>
      <c r="D134" s="40"/>
      <c r="E134" s="40"/>
      <c r="F134" s="40"/>
      <c r="G134" s="40"/>
      <c r="H134" s="40"/>
      <c r="I134" s="71"/>
    </row>
    <row r="135" spans="1:9" s="71" customFormat="1" ht="24" customHeight="1">
      <c r="B135" s="43"/>
      <c r="C135" s="38"/>
      <c r="D135" s="38"/>
      <c r="E135" s="38"/>
      <c r="F135" s="38"/>
      <c r="G135" s="38"/>
      <c r="H135" s="38"/>
      <c r="I135" s="73"/>
    </row>
    <row r="136" spans="1:9" s="71" customFormat="1" ht="24" customHeight="1">
      <c r="B136" s="43"/>
      <c r="C136" s="40"/>
      <c r="D136" s="40"/>
      <c r="E136" s="40"/>
      <c r="F136" s="40"/>
      <c r="G136" s="40"/>
      <c r="H136" s="40"/>
    </row>
    <row r="137" spans="1:9" s="71" customFormat="1" ht="24" customHeight="1">
      <c r="B137" s="43"/>
      <c r="C137" s="40"/>
      <c r="D137" s="40"/>
      <c r="E137" s="40"/>
      <c r="F137" s="40"/>
      <c r="G137" s="40"/>
      <c r="H137" s="40"/>
    </row>
    <row r="138" spans="1:9" s="71" customFormat="1" ht="24" customHeight="1">
      <c r="B138" s="43"/>
      <c r="C138" s="40"/>
      <c r="D138" s="40"/>
      <c r="E138" s="40"/>
      <c r="F138" s="40"/>
      <c r="G138" s="40"/>
      <c r="H138" s="40"/>
    </row>
    <row r="139" spans="1:9" s="71" customFormat="1" ht="24" customHeight="1">
      <c r="B139" s="46"/>
      <c r="C139" s="40"/>
      <c r="D139" s="40"/>
      <c r="E139" s="40"/>
      <c r="F139" s="40"/>
      <c r="G139" s="40"/>
      <c r="H139" s="40"/>
    </row>
    <row r="140" spans="1:9" s="71" customFormat="1" ht="24" customHeight="1">
      <c r="B140" s="46"/>
      <c r="C140" s="40"/>
      <c r="D140" s="40"/>
      <c r="E140" s="40"/>
      <c r="F140" s="40"/>
      <c r="G140" s="40"/>
      <c r="H140" s="40"/>
    </row>
    <row r="141" spans="1:9" s="71" customFormat="1" ht="24" customHeight="1">
      <c r="B141" s="46"/>
      <c r="C141" s="40"/>
      <c r="D141" s="40"/>
      <c r="E141" s="40"/>
      <c r="F141" s="40"/>
      <c r="G141" s="40"/>
      <c r="H141" s="40"/>
    </row>
    <row r="142" spans="1:9" s="71" customFormat="1" ht="24" customHeight="1">
      <c r="B142" s="46"/>
      <c r="C142" s="40"/>
      <c r="D142" s="40"/>
      <c r="E142" s="40"/>
      <c r="F142" s="40"/>
      <c r="G142" s="40"/>
      <c r="H142" s="40"/>
    </row>
    <row r="143" spans="1:9" s="71" customFormat="1" ht="24" customHeight="1">
      <c r="B143" s="46"/>
      <c r="C143" s="40"/>
      <c r="D143" s="40"/>
      <c r="E143" s="40"/>
      <c r="F143" s="40"/>
      <c r="G143" s="40"/>
      <c r="H143" s="40"/>
    </row>
    <row r="144" spans="1:9" s="71" customFormat="1" ht="24" customHeight="1">
      <c r="B144" s="46"/>
      <c r="C144" s="40"/>
      <c r="D144" s="40"/>
      <c r="E144" s="40"/>
      <c r="F144" s="40"/>
      <c r="G144" s="40"/>
      <c r="H144" s="40"/>
    </row>
    <row r="145" spans="1:9" s="71" customFormat="1" ht="24" customHeight="1">
      <c r="B145" s="46"/>
      <c r="C145" s="40"/>
      <c r="D145" s="40"/>
      <c r="E145" s="40"/>
      <c r="F145" s="40"/>
      <c r="G145" s="40"/>
      <c r="H145" s="40"/>
    </row>
    <row r="146" spans="1:9" s="71" customFormat="1" ht="24" customHeight="1">
      <c r="B146" s="46"/>
      <c r="C146" s="40"/>
      <c r="D146" s="40"/>
      <c r="E146" s="40"/>
      <c r="F146" s="40"/>
      <c r="G146" s="40"/>
      <c r="H146" s="40"/>
    </row>
    <row r="147" spans="1:9" s="71" customFormat="1" ht="24" customHeight="1">
      <c r="B147" s="46"/>
      <c r="C147" s="40"/>
      <c r="D147" s="40"/>
      <c r="E147" s="40"/>
      <c r="F147" s="40"/>
      <c r="G147" s="40"/>
      <c r="H147" s="40"/>
    </row>
    <row r="148" spans="1:9" s="71" customFormat="1" ht="24" customHeight="1">
      <c r="B148" s="46"/>
      <c r="C148" s="40"/>
      <c r="D148" s="40"/>
      <c r="E148" s="40"/>
      <c r="F148" s="40"/>
      <c r="G148" s="40"/>
      <c r="H148" s="40"/>
    </row>
    <row r="149" spans="1:9" s="71" customFormat="1" ht="24" customHeight="1">
      <c r="B149" s="46"/>
      <c r="C149" s="40"/>
      <c r="D149" s="40"/>
      <c r="E149" s="40"/>
      <c r="F149" s="40"/>
      <c r="G149" s="40"/>
      <c r="H149" s="40"/>
    </row>
    <row r="150" spans="1:9" s="71" customFormat="1" ht="24" customHeight="1">
      <c r="B150" s="34"/>
      <c r="C150" s="40"/>
      <c r="D150" s="40"/>
      <c r="E150" s="40"/>
      <c r="F150" s="40"/>
      <c r="G150" s="40"/>
      <c r="H150" s="40"/>
    </row>
    <row r="151" spans="1:9" s="71" customFormat="1" ht="24" customHeight="1">
      <c r="B151" s="34"/>
      <c r="C151" s="40"/>
      <c r="D151" s="40"/>
      <c r="E151" s="40"/>
      <c r="F151" s="40"/>
      <c r="G151" s="40"/>
      <c r="H151" s="40"/>
    </row>
    <row r="152" spans="1:9" s="71" customFormat="1" ht="24" customHeight="1">
      <c r="B152" s="34"/>
      <c r="C152" s="40"/>
      <c r="D152" s="40"/>
      <c r="E152" s="40"/>
      <c r="F152" s="40"/>
      <c r="G152" s="40"/>
      <c r="H152" s="40"/>
    </row>
    <row r="153" spans="1:9" s="71" customFormat="1" ht="24" customHeight="1">
      <c r="B153" s="34"/>
      <c r="C153" s="40"/>
      <c r="D153" s="40"/>
      <c r="E153" s="40"/>
      <c r="F153" s="40"/>
      <c r="G153" s="40"/>
      <c r="H153" s="40"/>
    </row>
    <row r="154" spans="1:9" s="71" customFormat="1" ht="24" customHeight="1">
      <c r="A154" s="34"/>
      <c r="B154" s="34"/>
      <c r="C154" s="40"/>
      <c r="D154" s="40"/>
      <c r="E154" s="40"/>
      <c r="F154" s="40"/>
      <c r="G154" s="40"/>
      <c r="H154" s="40"/>
    </row>
    <row r="155" spans="1:9" s="71" customFormat="1" ht="24" customHeight="1">
      <c r="A155" s="34"/>
      <c r="B155" s="34"/>
      <c r="C155" s="40"/>
      <c r="D155" s="40"/>
      <c r="E155" s="40"/>
      <c r="F155" s="40"/>
      <c r="G155" s="40"/>
      <c r="H155" s="40"/>
    </row>
    <row r="156" spans="1:9">
      <c r="C156" s="40"/>
      <c r="D156" s="40"/>
      <c r="E156" s="40"/>
      <c r="F156" s="40"/>
      <c r="G156" s="40"/>
      <c r="H156" s="40"/>
      <c r="I156" s="71"/>
    </row>
  </sheetData>
  <mergeCells count="15">
    <mergeCell ref="A1:I1"/>
    <mergeCell ref="A13:B13"/>
    <mergeCell ref="A2:H2"/>
    <mergeCell ref="B5:H5"/>
    <mergeCell ref="B7:H7"/>
    <mergeCell ref="B6:H6"/>
    <mergeCell ref="A4:G4"/>
    <mergeCell ref="B71:H71"/>
    <mergeCell ref="B70:D70"/>
    <mergeCell ref="B46:Q49"/>
    <mergeCell ref="B36:I36"/>
    <mergeCell ref="A3:H3"/>
    <mergeCell ref="B32:I32"/>
    <mergeCell ref="B24:J24"/>
    <mergeCell ref="B17:G17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ธีราลักษณ์ ฐิติวรารักษ์</cp:lastModifiedBy>
  <cp:lastPrinted>2024-05-20T07:51:08Z</cp:lastPrinted>
  <dcterms:created xsi:type="dcterms:W3CDTF">2023-02-02T03:43:01Z</dcterms:created>
  <dcterms:modified xsi:type="dcterms:W3CDTF">2025-09-15T04:38:32Z</dcterms:modified>
</cp:coreProperties>
</file>